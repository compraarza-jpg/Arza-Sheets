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DEAPAD 3\OneDrive\Escritorio\Escritorio\MAPLE\"/>
    </mc:Choice>
  </mc:AlternateContent>
  <xr:revisionPtr revIDLastSave="0" documentId="13_ncr:1_{662D1ABB-73E4-44F8-AEFE-632CE4164694}" xr6:coauthVersionLast="47" xr6:coauthVersionMax="47" xr10:uidLastSave="{00000000-0000-0000-0000-000000000000}"/>
  <bookViews>
    <workbookView xWindow="28680" yWindow="-120" windowWidth="29040" windowHeight="15720" xr2:uid="{72CDA4E7-8A24-43C9-8852-2D312280E00B}"/>
  </bookViews>
  <sheets>
    <sheet name="GRIFERIA 17 viviendas" sheetId="13" r:id="rId1"/>
    <sheet name="GRIFERIA" sheetId="10" r:id="rId2"/>
    <sheet name="FACHADAS" sheetId="7" r:id="rId3"/>
    <sheet name="19 viviendas" sheetId="8" r:id="rId4"/>
    <sheet name="4 CASAS MUESTRA" sheetId="9" r:id="rId5"/>
    <sheet name="PISO 17 viviendas" sheetId="12" r:id="rId6"/>
    <sheet name="PISO casas muesta-19 viv" sheetId="6" r:id="rId7"/>
    <sheet name="PISO Y AZULEJOS costos" sheetId="5" r:id="rId8"/>
    <sheet name="ACCESORIO ELECTRICO" sheetId="4" r:id="rId9"/>
    <sheet name="ACERO 2DA ETAPA" sheetId="11" r:id="rId10"/>
    <sheet name="ACERO" sheetId="1" r:id="rId11"/>
    <sheet name="CASETON" sheetId="2" r:id="rId12"/>
    <sheet name="Hoja1" sheetId="3" r:id="rId13"/>
  </sheets>
  <externalReferences>
    <externalReference r:id="rId14"/>
    <externalReference r:id="rId15"/>
  </externalReferences>
  <definedNames>
    <definedName name="_xlnm._FilterDatabase" localSheetId="3" hidden="1">'19 viviendas'!$A$7:$I$26</definedName>
    <definedName name="_xlnm._FilterDatabase" localSheetId="4" hidden="1">'4 CASAS MUESTRA'!$A$7:$I$11</definedName>
    <definedName name="_xlnm._FilterDatabase" localSheetId="2" hidden="1">FACHADAS!$B$12:$M$53</definedName>
    <definedName name="_xlnm._FilterDatabase" localSheetId="1" hidden="1">GRIFERIA!$A$10:$Y$35</definedName>
    <definedName name="_xlnm._FilterDatabase" localSheetId="0" hidden="1">'GRIFERIA 17 viviendas'!$A$10:$Y$35</definedName>
    <definedName name="_xlnm._FilterDatabase" localSheetId="5" hidden="1">'PISO 17 viviendas'!$A$10:$H$34</definedName>
    <definedName name="_xlnm._FilterDatabase" localSheetId="6" hidden="1">'PISO casas muesta-19 viv'!$A$10:$H$34</definedName>
    <definedName name="_xlnm._FilterDatabase" localSheetId="7" hidden="1">'PISO Y AZULEJOS costos'!$B$66:$L$89</definedName>
    <definedName name="_xlnm.Print_Area" localSheetId="8">'ACCESORIO ELECTRICO'!$C$2:$Q$82</definedName>
    <definedName name="_xlnm.Print_Area">#REF!</definedName>
    <definedName name="data10" localSheetId="8">'ACCESORIO ELECTRICO'!$O$17</definedName>
    <definedName name="data4" localSheetId="8">'ACCESORIO ELECTRICO'!$H$17</definedName>
    <definedName name="dflt6">[1]Personalizar!$F$28</definedName>
    <definedName name="dflt7">[1]Personalizar!$E$29</definedName>
    <definedName name="IGNIS" localSheetId="8">#REF!</definedName>
    <definedName name="IGNIS" localSheetId="2">#REF!</definedName>
    <definedName name="IGNIS" localSheetId="7">#REF!</definedName>
    <definedName name="IGNIS">#REF!</definedName>
    <definedName name="MAPLE">#REF!</definedName>
    <definedName name="Prot." comment="IGNIS" localSheetId="8">#REF!</definedName>
    <definedName name="Prot." comment="IGNIS" localSheetId="2">#REF!</definedName>
    <definedName name="Prot." comment="IGNIS" localSheetId="7">#REF!</definedName>
    <definedName name="Prot." comment="IGNIS">#REF!</definedName>
    <definedName name="_xlnm.Print_Titles" localSheetId="8">#REF!</definedName>
    <definedName name="_xlnm.Print_Titles" localSheetId="2">#REF!</definedName>
    <definedName name="_xlnm.Print_Titles" localSheetId="7">#REF!</definedName>
    <definedName name="_xlnm.Print_Titl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1" i="13" l="1"/>
  <c r="I54" i="13"/>
  <c r="K54" i="13" s="1"/>
  <c r="I47" i="13"/>
  <c r="I46" i="13"/>
  <c r="I50" i="13" s="1"/>
  <c r="J50" i="13" s="1"/>
  <c r="K42" i="13"/>
  <c r="X35" i="13"/>
  <c r="V35" i="13"/>
  <c r="U35" i="13"/>
  <c r="T35" i="13"/>
  <c r="S35" i="13"/>
  <c r="R35" i="13"/>
  <c r="Q35" i="13"/>
  <c r="P35" i="13"/>
  <c r="M35" i="13"/>
  <c r="L35" i="13"/>
  <c r="K35" i="13"/>
  <c r="J35" i="13"/>
  <c r="I35" i="13"/>
  <c r="H35" i="13"/>
  <c r="F35" i="13"/>
  <c r="E35" i="13"/>
  <c r="O33" i="13"/>
  <c r="N33" i="13"/>
  <c r="O32" i="13"/>
  <c r="O31" i="13"/>
  <c r="O30" i="13"/>
  <c r="N30" i="13"/>
  <c r="O29" i="13"/>
  <c r="N29" i="13"/>
  <c r="O28" i="13"/>
  <c r="O27" i="13"/>
  <c r="O26" i="13"/>
  <c r="N26" i="13"/>
  <c r="O25" i="13"/>
  <c r="N25" i="13"/>
  <c r="O24" i="13"/>
  <c r="O23" i="13"/>
  <c r="O22" i="13"/>
  <c r="N22" i="13"/>
  <c r="O21" i="13"/>
  <c r="N21" i="13"/>
  <c r="O20" i="13"/>
  <c r="O19" i="13"/>
  <c r="O18" i="13"/>
  <c r="N18" i="13"/>
  <c r="O17" i="13"/>
  <c r="N17" i="13"/>
  <c r="O16" i="13"/>
  <c r="O15" i="13"/>
  <c r="O14" i="13"/>
  <c r="N14" i="13"/>
  <c r="O13" i="13"/>
  <c r="O12" i="13"/>
  <c r="N12" i="13"/>
  <c r="O11" i="13"/>
  <c r="G35" i="12"/>
  <c r="E35" i="12"/>
  <c r="O21" i="11"/>
  <c r="N21" i="11"/>
  <c r="O20" i="11"/>
  <c r="N20" i="11"/>
  <c r="N19" i="11"/>
  <c r="O19" i="11" s="1"/>
  <c r="O18" i="11"/>
  <c r="N18" i="11"/>
  <c r="N17" i="11"/>
  <c r="O17" i="11" s="1"/>
  <c r="N16" i="11"/>
  <c r="O16" i="11" s="1"/>
  <c r="O15" i="11"/>
  <c r="N15" i="11"/>
  <c r="N14" i="11"/>
  <c r="O14" i="11" s="1"/>
  <c r="N13" i="11"/>
  <c r="O13" i="11" s="1"/>
  <c r="N12" i="11"/>
  <c r="O12" i="11" s="1"/>
  <c r="N11" i="11"/>
  <c r="O11" i="11" s="1"/>
  <c r="N10" i="11"/>
  <c r="O10" i="11" s="1"/>
  <c r="O9" i="11"/>
  <c r="N9" i="11"/>
  <c r="N8" i="11"/>
  <c r="O8" i="11" s="1"/>
  <c r="N7" i="11"/>
  <c r="O7" i="11" s="1"/>
  <c r="N6" i="11"/>
  <c r="O6" i="11" s="1"/>
  <c r="N5" i="11"/>
  <c r="O5" i="11" s="1"/>
  <c r="N4" i="11"/>
  <c r="O4" i="11" s="1"/>
  <c r="O3" i="11"/>
  <c r="N3" i="11"/>
  <c r="N35" i="13" l="1"/>
  <c r="O35" i="13"/>
  <c r="J48" i="13"/>
  <c r="I54" i="10"/>
  <c r="K54" i="10" s="1"/>
  <c r="I61" i="10"/>
  <c r="K42" i="10"/>
  <c r="I47" i="10"/>
  <c r="I46" i="10"/>
  <c r="I50" i="10" s="1"/>
  <c r="J50" i="10" s="1"/>
  <c r="P35" i="10"/>
  <c r="N12" i="10"/>
  <c r="O12" i="10"/>
  <c r="O13" i="10"/>
  <c r="N14" i="10"/>
  <c r="O14" i="10"/>
  <c r="O15" i="10"/>
  <c r="O16" i="10"/>
  <c r="N17" i="10"/>
  <c r="O17" i="10"/>
  <c r="N18" i="10"/>
  <c r="O18" i="10"/>
  <c r="O19" i="10"/>
  <c r="O20" i="10"/>
  <c r="N21" i="10"/>
  <c r="O21" i="10"/>
  <c r="N22" i="10"/>
  <c r="O22" i="10"/>
  <c r="O23" i="10"/>
  <c r="O24" i="10"/>
  <c r="N25" i="10"/>
  <c r="O25" i="10"/>
  <c r="N26" i="10"/>
  <c r="O26" i="10"/>
  <c r="O27" i="10"/>
  <c r="O28" i="10"/>
  <c r="N29" i="10"/>
  <c r="O29" i="10"/>
  <c r="N30" i="10"/>
  <c r="O30" i="10"/>
  <c r="O31" i="10"/>
  <c r="O32" i="10"/>
  <c r="N33" i="10"/>
  <c r="O33" i="10"/>
  <c r="O11" i="10"/>
  <c r="K35" i="10"/>
  <c r="F35" i="10"/>
  <c r="E35" i="10"/>
  <c r="F27" i="4"/>
  <c r="F28" i="4"/>
  <c r="F29" i="4"/>
  <c r="F30" i="4"/>
  <c r="F31" i="4"/>
  <c r="F32" i="4"/>
  <c r="F33" i="4"/>
  <c r="F34" i="4"/>
  <c r="F35" i="4"/>
  <c r="F36" i="4"/>
  <c r="F37" i="4"/>
  <c r="AB47" i="4"/>
  <c r="D47" i="4" s="1"/>
  <c r="U48" i="4"/>
  <c r="AB46" i="4"/>
  <c r="D46" i="4" s="1"/>
  <c r="O35" i="10" l="1"/>
  <c r="N35" i="10"/>
  <c r="J48" i="10"/>
  <c r="F24" i="4"/>
  <c r="F25" i="4"/>
  <c r="F26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S4" i="1"/>
  <c r="S5" i="1"/>
  <c r="T5" i="1" s="1"/>
  <c r="S6" i="1"/>
  <c r="T6" i="1" s="1"/>
  <c r="S7" i="1"/>
  <c r="T7" i="1" s="1"/>
  <c r="S8" i="1"/>
  <c r="T8" i="1" s="1"/>
  <c r="S9" i="1"/>
  <c r="T9" i="1" s="1"/>
  <c r="S10" i="1"/>
  <c r="T10" i="1" s="1"/>
  <c r="S11" i="1"/>
  <c r="T11" i="1" s="1"/>
  <c r="S12" i="1"/>
  <c r="T12" i="1" s="1"/>
  <c r="S13" i="1"/>
  <c r="T13" i="1" s="1"/>
  <c r="S14" i="1"/>
  <c r="T14" i="1" s="1"/>
  <c r="S15" i="1"/>
  <c r="T15" i="1" s="1"/>
  <c r="S16" i="1"/>
  <c r="S17" i="1"/>
  <c r="S18" i="1"/>
  <c r="T18" i="1" s="1"/>
  <c r="S19" i="1"/>
  <c r="T19" i="1" s="1"/>
  <c r="S20" i="1"/>
  <c r="T20" i="1" s="1"/>
  <c r="S3" i="1"/>
  <c r="T3" i="1" s="1"/>
  <c r="T4" i="1"/>
  <c r="T16" i="1"/>
  <c r="T17" i="1"/>
  <c r="H35" i="10" l="1"/>
  <c r="I35" i="10"/>
  <c r="J35" i="10"/>
  <c r="L35" i="10"/>
  <c r="M35" i="10"/>
  <c r="Q35" i="10"/>
  <c r="R35" i="10"/>
  <c r="S35" i="10"/>
  <c r="T35" i="10"/>
  <c r="U35" i="10"/>
  <c r="V35" i="10"/>
  <c r="X35" i="10"/>
  <c r="H68" i="5" l="1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67" i="5"/>
  <c r="J35" i="5"/>
  <c r="H35" i="5"/>
  <c r="J32" i="5"/>
  <c r="H32" i="5"/>
  <c r="J31" i="5"/>
  <c r="H31" i="5"/>
  <c r="J28" i="5"/>
  <c r="H28" i="5"/>
  <c r="J27" i="5"/>
  <c r="H27" i="5"/>
  <c r="J24" i="5"/>
  <c r="H24" i="5"/>
  <c r="J23" i="5"/>
  <c r="H23" i="5"/>
  <c r="J20" i="5"/>
  <c r="H20" i="5"/>
  <c r="J19" i="5"/>
  <c r="H19" i="5"/>
  <c r="J17" i="5"/>
  <c r="H17" i="5"/>
  <c r="J16" i="5"/>
  <c r="H16" i="5"/>
  <c r="J13" i="5"/>
  <c r="H13" i="5"/>
  <c r="H15" i="5"/>
  <c r="J15" i="5"/>
  <c r="J34" i="5"/>
  <c r="H34" i="5"/>
  <c r="J33" i="5"/>
  <c r="H33" i="5"/>
  <c r="J30" i="5"/>
  <c r="H30" i="5"/>
  <c r="K30" i="5" s="1"/>
  <c r="J29" i="5"/>
  <c r="H29" i="5"/>
  <c r="J26" i="5"/>
  <c r="H26" i="5"/>
  <c r="J25" i="5"/>
  <c r="H25" i="5"/>
  <c r="J22" i="5"/>
  <c r="H22" i="5"/>
  <c r="J21" i="5"/>
  <c r="H21" i="5"/>
  <c r="J18" i="5"/>
  <c r="H18" i="5"/>
  <c r="C18" i="2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8" i="2"/>
  <c r="C9" i="2" s="1"/>
  <c r="C10" i="2" s="1"/>
  <c r="C11" i="2" s="1"/>
  <c r="C12" i="2" s="1"/>
  <c r="C13" i="2" s="1"/>
  <c r="C14" i="2" s="1"/>
  <c r="C15" i="2" s="1"/>
  <c r="E12" i="9"/>
  <c r="G11" i="9"/>
  <c r="H11" i="9" s="1"/>
  <c r="G10" i="9"/>
  <c r="H10" i="9" s="1"/>
  <c r="G9" i="9"/>
  <c r="H9" i="9" s="1"/>
  <c r="G8" i="9"/>
  <c r="H8" i="9" s="1"/>
  <c r="C32" i="8"/>
  <c r="E27" i="8"/>
  <c r="G26" i="8"/>
  <c r="H26" i="8" s="1"/>
  <c r="G25" i="8"/>
  <c r="H25" i="8" s="1"/>
  <c r="G24" i="8"/>
  <c r="H24" i="8" s="1"/>
  <c r="G23" i="8"/>
  <c r="H23" i="8" s="1"/>
  <c r="G22" i="8"/>
  <c r="H22" i="8" s="1"/>
  <c r="G21" i="8"/>
  <c r="H21" i="8" s="1"/>
  <c r="G20" i="8"/>
  <c r="H20" i="8" s="1"/>
  <c r="G19" i="8"/>
  <c r="H19" i="8" s="1"/>
  <c r="G18" i="8"/>
  <c r="H18" i="8" s="1"/>
  <c r="G17" i="8"/>
  <c r="H17" i="8" s="1"/>
  <c r="G16" i="8"/>
  <c r="H16" i="8" s="1"/>
  <c r="G15" i="8"/>
  <c r="H15" i="8" s="1"/>
  <c r="G14" i="8"/>
  <c r="H14" i="8" s="1"/>
  <c r="G13" i="8"/>
  <c r="H13" i="8" s="1"/>
  <c r="G12" i="8"/>
  <c r="H12" i="8" s="1"/>
  <c r="G11" i="8"/>
  <c r="H11" i="8" s="1"/>
  <c r="G10" i="8"/>
  <c r="H10" i="8" s="1"/>
  <c r="G9" i="8"/>
  <c r="H9" i="8" s="1"/>
  <c r="G8" i="8"/>
  <c r="H8" i="8" s="1"/>
  <c r="H14" i="5"/>
  <c r="J14" i="5"/>
  <c r="G14" i="7"/>
  <c r="J16" i="7"/>
  <c r="J13" i="7"/>
  <c r="E35" i="6"/>
  <c r="G35" i="6"/>
  <c r="K33" i="5" l="1"/>
  <c r="K25" i="5"/>
  <c r="K35" i="5"/>
  <c r="K19" i="5"/>
  <c r="K16" i="5"/>
  <c r="K17" i="5"/>
  <c r="K27" i="5"/>
  <c r="K28" i="5"/>
  <c r="K31" i="5"/>
  <c r="K22" i="5"/>
  <c r="K34" i="5"/>
  <c r="K20" i="5"/>
  <c r="K32" i="5"/>
  <c r="K23" i="5"/>
  <c r="K26" i="5"/>
  <c r="K13" i="5"/>
  <c r="K29" i="5"/>
  <c r="K18" i="5"/>
  <c r="K21" i="5"/>
  <c r="K15" i="5"/>
  <c r="K24" i="5"/>
  <c r="H12" i="9"/>
  <c r="H27" i="8"/>
  <c r="K14" i="5"/>
  <c r="AB59" i="4"/>
  <c r="AB58" i="4"/>
  <c r="D58" i="4" s="1"/>
  <c r="AB57" i="4"/>
  <c r="D57" i="4" s="1"/>
  <c r="AB56" i="4"/>
  <c r="D56" i="4" s="1"/>
  <c r="AB52" i="4"/>
  <c r="D52" i="4" s="1"/>
  <c r="AB51" i="4"/>
  <c r="D51" i="4" s="1"/>
  <c r="AB50" i="4"/>
  <c r="D50" i="4" s="1"/>
  <c r="AB49" i="4"/>
  <c r="D49" i="4" s="1"/>
  <c r="AB48" i="4"/>
  <c r="D48" i="4" s="1"/>
  <c r="AB45" i="4"/>
  <c r="D45" i="4" s="1"/>
  <c r="AB44" i="4"/>
  <c r="D44" i="4" s="1"/>
  <c r="AB43" i="4"/>
  <c r="D43" i="4" s="1"/>
  <c r="AB42" i="4"/>
  <c r="D42" i="4" s="1"/>
  <c r="AB23" i="4"/>
  <c r="D23" i="4" s="1"/>
  <c r="F23" i="4"/>
  <c r="AB22" i="4"/>
  <c r="D22" i="4" s="1"/>
  <c r="F22" i="4"/>
  <c r="AB21" i="4"/>
  <c r="AC21" i="4" s="1"/>
  <c r="F21" i="4"/>
  <c r="E4" i="2"/>
  <c r="E5" i="2"/>
  <c r="F5" i="2"/>
  <c r="H5" i="2" s="1"/>
  <c r="I5" i="2" s="1"/>
  <c r="F4" i="2"/>
  <c r="H4" i="2" s="1"/>
  <c r="I4" i="2" s="1"/>
  <c r="I6" i="2" l="1"/>
  <c r="I7" i="2" s="1"/>
  <c r="D2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IDEAPAD 3</author>
  </authors>
  <commentList>
    <comment ref="S6" authorId="0" shapeId="0" xr:uid="{575786B7-681B-4F8E-B43E-404795F34A92}">
      <text>
        <r>
          <rPr>
            <b/>
            <sz val="9"/>
            <color indexed="81"/>
            <rFont val="Tahoma"/>
            <family val="2"/>
          </rPr>
          <t>IDEAPAD 3:</t>
        </r>
        <r>
          <rPr>
            <sz val="9"/>
            <color indexed="81"/>
            <rFont val="Tahoma"/>
            <family val="2"/>
          </rPr>
          <t xml:space="preserve">
1ER NIVEL
</t>
        </r>
      </text>
    </comment>
    <comment ref="S7" authorId="0" shapeId="0" xr:uid="{8A0F984D-F3D8-4F32-B316-00F6D7C71DC0}">
      <text>
        <r>
          <rPr>
            <b/>
            <sz val="9"/>
            <color indexed="81"/>
            <rFont val="Tahoma"/>
            <family val="2"/>
          </rPr>
          <t>IDEAPAD 3:</t>
        </r>
        <r>
          <rPr>
            <sz val="9"/>
            <color indexed="81"/>
            <rFont val="Tahoma"/>
            <family val="2"/>
          </rPr>
          <t xml:space="preserve">
1ER NIVEL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IDEAPAD 3</author>
  </authors>
  <commentList>
    <comment ref="R6" authorId="0" shapeId="0" xr:uid="{500A5913-E24A-41AD-A43B-C7A2582336C8}">
      <text>
        <r>
          <rPr>
            <b/>
            <sz val="9"/>
            <color indexed="81"/>
            <rFont val="Tahoma"/>
            <family val="2"/>
          </rPr>
          <t>IDEAPAD 3:</t>
        </r>
        <r>
          <rPr>
            <sz val="9"/>
            <color indexed="81"/>
            <rFont val="Tahoma"/>
            <family val="2"/>
          </rPr>
          <t xml:space="preserve">
1ER NIVEL
</t>
        </r>
      </text>
    </comment>
    <comment ref="R7" authorId="0" shapeId="0" xr:uid="{90460566-E5C1-4AC5-814A-DCB3FD71DE30}">
      <text>
        <r>
          <rPr>
            <b/>
            <sz val="9"/>
            <color indexed="81"/>
            <rFont val="Tahoma"/>
            <family val="2"/>
          </rPr>
          <t>IDEAPAD 3:</t>
        </r>
        <r>
          <rPr>
            <sz val="9"/>
            <color indexed="81"/>
            <rFont val="Tahoma"/>
            <family val="2"/>
          </rPr>
          <t xml:space="preserve">
1ER NIVEL
</t>
        </r>
      </text>
    </comment>
  </commentList>
</comments>
</file>

<file path=xl/sharedStrings.xml><?xml version="1.0" encoding="utf-8"?>
<sst xmlns="http://schemas.openxmlformats.org/spreadsheetml/2006/main" count="1094" uniqueCount="260">
  <si>
    <t>CONCEPTO</t>
  </si>
  <si>
    <t>ALAMBRE RECOCIDO#16</t>
  </si>
  <si>
    <t>CANTIDAD</t>
  </si>
  <si>
    <t>KG</t>
  </si>
  <si>
    <t>ALAMBRON No2 (1/4) FY= 2320 KG/CM2 ( LISO )</t>
  </si>
  <si>
    <t>CASTILLO PREFABRICADO 12*12-3 ( PIEZA 6 M)</t>
  </si>
  <si>
    <t>PZA</t>
  </si>
  <si>
    <t>CASTILLO PREFABRICADO 12*12-4 ( PIEZA 6 M)</t>
  </si>
  <si>
    <t>CASTILLO PREFABRICADO 15*15-4 ( PEZA 6M)</t>
  </si>
  <si>
    <t>CASTILLO PREFABRICADO 15*20-4 ( PIEZA 6M)</t>
  </si>
  <si>
    <t>CASTILLO PREFABRICADO 15*25-4 ( PIEZA 6M)</t>
  </si>
  <si>
    <t>CASTILLO PREFABRICADO 15*30-4 ( PIEZA 6M)</t>
  </si>
  <si>
    <t>MALLA 6*6-10*10 ELECTROSOLDADA ROLLO 2.5*40</t>
  </si>
  <si>
    <t>VARILLA CORRUGADA 3/16</t>
  </si>
  <si>
    <t>VARILLA CORRUGADA 5/16</t>
  </si>
  <si>
    <t>VARILLA CORRUGADA No. 3 (3/8)</t>
  </si>
  <si>
    <t>VARILLA CORRUGADA No. 4 (1/2)</t>
  </si>
  <si>
    <t>VARILLA CORRUGADA No. 5 (5/8)</t>
  </si>
  <si>
    <t>VARILLA CORRUGADA No. 6 (3/4)</t>
  </si>
  <si>
    <t>VARILLA CORRUGADA No. 8 (1")</t>
  </si>
  <si>
    <t>ROLLO</t>
  </si>
  <si>
    <t>UNIDAD</t>
  </si>
  <si>
    <t>FOLIO   31783</t>
  </si>
  <si>
    <t>FOLIO   31795</t>
  </si>
  <si>
    <t>FOLIO   31804</t>
  </si>
  <si>
    <t>FOLIO 31818</t>
  </si>
  <si>
    <t>MALLA HOJA 6/6-4/4</t>
  </si>
  <si>
    <t>FOLIO 31819</t>
  </si>
  <si>
    <t>FOLIO 31834</t>
  </si>
  <si>
    <t>FOLIO 31838</t>
  </si>
  <si>
    <t>FOLIO 31843</t>
  </si>
  <si>
    <t>FOLIO 31851</t>
  </si>
  <si>
    <t>FOLIO 31856</t>
  </si>
  <si>
    <t>SUB-TOTAL</t>
  </si>
  <si>
    <t>POR ENTREGAR</t>
  </si>
  <si>
    <t>FOLIO 31873</t>
  </si>
  <si>
    <t>MODELO</t>
  </si>
  <si>
    <t>50X60X15</t>
  </si>
  <si>
    <t>70X60X10</t>
  </si>
  <si>
    <t>N° CASAAS</t>
  </si>
  <si>
    <t>T-176</t>
  </si>
  <si>
    <t>T-182</t>
  </si>
  <si>
    <t>por lote 50x60x15</t>
  </si>
  <si>
    <t>por lote 70x6010</t>
  </si>
  <si>
    <t>No. requisicion:</t>
  </si>
  <si>
    <t>Nombre Obra:</t>
  </si>
  <si>
    <t>Encargado:</t>
  </si>
  <si>
    <t>PROTOTIPO</t>
  </si>
  <si>
    <t>Ciudad:</t>
  </si>
  <si>
    <t xml:space="preserve">  </t>
  </si>
  <si>
    <t>LOTES</t>
  </si>
  <si>
    <t>Teléfono:</t>
  </si>
  <si>
    <t>Cantidad</t>
  </si>
  <si>
    <t>Descripción</t>
  </si>
  <si>
    <t xml:space="preserve">OBSERVACIONES </t>
  </si>
  <si>
    <t>¿</t>
  </si>
  <si>
    <t xml:space="preserve"> </t>
  </si>
  <si>
    <t>elaboro</t>
  </si>
  <si>
    <t>Fecha:</t>
  </si>
  <si>
    <r>
      <t xml:space="preserve">SILLETA PIRAMIDAL SP 300 </t>
    </r>
    <r>
      <rPr>
        <b/>
        <sz val="8"/>
        <rFont val="Tahoma"/>
        <family val="2"/>
      </rPr>
      <t xml:space="preserve"> BOLSA 350 PZA</t>
    </r>
  </si>
  <si>
    <t>Prot.</t>
  </si>
  <si>
    <t>Modelo</t>
  </si>
  <si>
    <t>CONTRATO</t>
  </si>
  <si>
    <t>Lote</t>
  </si>
  <si>
    <t>M2</t>
  </si>
  <si>
    <t>COSTO</t>
  </si>
  <si>
    <t>Fecha de entrega</t>
  </si>
  <si>
    <t>MEDIDA</t>
  </si>
  <si>
    <t>PROVEEDOR</t>
  </si>
  <si>
    <t>LEIGHTON LIGHT</t>
  </si>
  <si>
    <t>60X60</t>
  </si>
  <si>
    <t>DECORI</t>
  </si>
  <si>
    <t>PISO DE REGADERA 10X60</t>
  </si>
  <si>
    <t>30X60</t>
  </si>
  <si>
    <t>RIVA BLANCO</t>
  </si>
  <si>
    <t>AREA A INSTALAR</t>
  </si>
  <si>
    <t>EXPOCERAMICA</t>
  </si>
  <si>
    <t>MUROS REGADERA</t>
  </si>
  <si>
    <t>MARMOL NATURAL MATE FORMATO 12"X LARGOS LIBRES</t>
  </si>
  <si>
    <t>FORMATO 12"</t>
  </si>
  <si>
    <t>COMPRA LOCAL</t>
  </si>
  <si>
    <t>MUROS DECORATIVOS EXTERIORES</t>
  </si>
  <si>
    <t>PISO EN GENERAL</t>
  </si>
  <si>
    <t>CENEFA EN MUROS DE REGADERA</t>
  </si>
  <si>
    <t>SANTA MONICA GRAFITO</t>
  </si>
  <si>
    <t>40X40</t>
  </si>
  <si>
    <t>INTERCERAMIC</t>
  </si>
  <si>
    <t>EXTERIOR</t>
  </si>
  <si>
    <t>SANTO TOMAS GRIS ACABADO MATE</t>
  </si>
  <si>
    <t>NARIZ RECTA 1 1/2"</t>
  </si>
  <si>
    <t>PROTOTIPO  182/211</t>
  </si>
  <si>
    <t>ZOCLO</t>
  </si>
  <si>
    <t xml:space="preserve">     HUELLAS Y PERALTES ESCALERAS</t>
  </si>
  <si>
    <t>$</t>
  </si>
  <si>
    <t xml:space="preserve">   </t>
  </si>
  <si>
    <t>Cajas</t>
  </si>
  <si>
    <t>Total</t>
  </si>
  <si>
    <t>TOTAL</t>
  </si>
  <si>
    <t>PROGRAMACION DE PISO MAPLE</t>
  </si>
  <si>
    <t>PISO: LEIGHTON LIGHT 4 VIVIENDAS / 19 VIVIENDAS</t>
  </si>
  <si>
    <t>VERDE</t>
  </si>
  <si>
    <t>ROSA</t>
  </si>
  <si>
    <t>178-207</t>
  </si>
  <si>
    <t>174-190</t>
  </si>
  <si>
    <t>178-190</t>
  </si>
  <si>
    <t>178/207</t>
  </si>
  <si>
    <t>CAJAS</t>
  </si>
  <si>
    <t>4 VIV</t>
  </si>
  <si>
    <t>19 VIV</t>
  </si>
  <si>
    <t>118</t>
  </si>
  <si>
    <t>174</t>
  </si>
  <si>
    <t>TIPO DE FACHADA</t>
  </si>
  <si>
    <t>DENVER RE 20X120</t>
  </si>
  <si>
    <t>CASA MUESTRAS</t>
  </si>
  <si>
    <t>119</t>
  </si>
  <si>
    <t>178</t>
  </si>
  <si>
    <t>FACHALETA LAJA SAN ANDRES 5XVARIABLE</t>
  </si>
  <si>
    <t>120</t>
  </si>
  <si>
    <t>FACHALETA NATURAL MARMOL ROJO 5X15</t>
  </si>
  <si>
    <t>121</t>
  </si>
  <si>
    <t>19 VIVIENDAS</t>
  </si>
  <si>
    <t>55</t>
  </si>
  <si>
    <t>77</t>
  </si>
  <si>
    <t>56</t>
  </si>
  <si>
    <t>57</t>
  </si>
  <si>
    <t>58</t>
  </si>
  <si>
    <t>CANTERA NEGRA</t>
  </si>
  <si>
    <t>CANTERA BLANCO TINAJERO</t>
  </si>
  <si>
    <t>85</t>
  </si>
  <si>
    <t>83</t>
  </si>
  <si>
    <t>82</t>
  </si>
  <si>
    <t xml:space="preserve">59 </t>
  </si>
  <si>
    <t>60</t>
  </si>
  <si>
    <t>81</t>
  </si>
  <si>
    <t>80</t>
  </si>
  <si>
    <t>61</t>
  </si>
  <si>
    <t>62</t>
  </si>
  <si>
    <t>63</t>
  </si>
  <si>
    <t>64</t>
  </si>
  <si>
    <t>79</t>
  </si>
  <si>
    <t>78</t>
  </si>
  <si>
    <t>84</t>
  </si>
  <si>
    <t>FACHALETA NATURAL MARMOL BEIGE 5X15</t>
  </si>
  <si>
    <t>PISO MOD. MADERA VERMONT 20X1.20</t>
  </si>
  <si>
    <t>MARTTEL GRIS 30X60 (PORCELANITE)</t>
  </si>
  <si>
    <t>CAJAS m2</t>
  </si>
  <si>
    <t>COSTO m2</t>
  </si>
  <si>
    <t>COSTO POR CAJA</t>
  </si>
  <si>
    <t>COSTO TOTAL</t>
  </si>
  <si>
    <t>CAJAS REQUERIDAS</t>
  </si>
  <si>
    <t>PISO:  19 VIVIENDAS</t>
  </si>
  <si>
    <t>verde</t>
  </si>
  <si>
    <t>ALTAR STONE GRIS</t>
  </si>
  <si>
    <t>rosa</t>
  </si>
  <si>
    <t>Precio Caja</t>
  </si>
  <si>
    <t>Sub Total</t>
  </si>
  <si>
    <t xml:space="preserve">PISO: ALTAR STONE GRIS  44.3 X 89.3 CM  CASAS MUESTRA </t>
  </si>
  <si>
    <t>AZULEJO REGADERA MARTEL GRIS PROVEEDOR EXPOCERAMICA</t>
  </si>
  <si>
    <t>PISO REGADERA ALTAR GRIS STONE 44.3 X 89.3 PROVEEDOR AZYCO</t>
  </si>
  <si>
    <t>PROGRAMACION DE GRIFERIA</t>
  </si>
  <si>
    <t>CONTRAPUSH</t>
  </si>
  <si>
    <t>CESPOL</t>
  </si>
  <si>
    <t>PORTAPAPEL</t>
  </si>
  <si>
    <t xml:space="preserve">TOALLERO </t>
  </si>
  <si>
    <t>MONOMANDO LAVABO</t>
  </si>
  <si>
    <t>MONOMANDO REGADERA</t>
  </si>
  <si>
    <t>GANCHO SENCILLO</t>
  </si>
  <si>
    <t>TOALLERO MANOS</t>
  </si>
  <si>
    <t>REGADERAS</t>
  </si>
  <si>
    <t>BRAZO DE REGADERA</t>
  </si>
  <si>
    <t>COLADERA ROOF</t>
  </si>
  <si>
    <t>COLADERA REGADERA</t>
  </si>
  <si>
    <t>FOLIO 31883</t>
  </si>
  <si>
    <t>FOLIO 31949</t>
  </si>
  <si>
    <t>FOLIO 32356</t>
  </si>
  <si>
    <t>FOLIO 32355</t>
  </si>
  <si>
    <t xml:space="preserve">SANITARIO: </t>
  </si>
  <si>
    <t>ONE PIECES HERMES</t>
  </si>
  <si>
    <t>LAVABO:</t>
  </si>
  <si>
    <t>ARAL</t>
  </si>
  <si>
    <t xml:space="preserve">PROVEEDOR </t>
  </si>
  <si>
    <t>DECORI / CESANTONI</t>
  </si>
  <si>
    <t xml:space="preserve">RUNIKA / MARISOL </t>
  </si>
  <si>
    <t>BASE TIPO ENCHUFE 4 TERMINALES PARA MEDIDOR</t>
  </si>
  <si>
    <t>T- 176/190</t>
  </si>
  <si>
    <t xml:space="preserve">ADAPTACIÓN QUINTA TERMINAL </t>
  </si>
  <si>
    <t xml:space="preserve">TUBO PVC CONDUIT 1 1/4" </t>
  </si>
  <si>
    <t>TUBO PVC CONDUIT 1/2"</t>
  </si>
  <si>
    <t>CABLE DE COBRE DESNUDO CAL. 8 AWG</t>
  </si>
  <si>
    <t xml:space="preserve">CENTRO DE CARGA 30 CIRCUITOS </t>
  </si>
  <si>
    <t>INTERRUPTOR TERMOMAGNETICO 1 X 15 120/240 V</t>
  </si>
  <si>
    <t>INTERRUPTOR TERMOMAGNETICO 1 X 20 120/240 V</t>
  </si>
  <si>
    <t>INTERRUPTOR SENCILLO 10A 127V</t>
  </si>
  <si>
    <t>INTERRUPTOR DOBLE 10A 127V</t>
  </si>
  <si>
    <t>INTERRUPTOR 3 VÍAS 10A 127V</t>
  </si>
  <si>
    <t>BOTON TIMBRE 10A 250V</t>
  </si>
  <si>
    <t xml:space="preserve">TAPA 1 MODULO CON CHASIS COLOR BLANCO </t>
  </si>
  <si>
    <t>TAPA 2 MODULO CON CHASIS COLOR BLANCO</t>
  </si>
  <si>
    <t>LUMINARIA TIPO SPOT Y LAMPARA LED 5 W</t>
  </si>
  <si>
    <t>LUMINARIA TIPO PORTSPOT 12W</t>
  </si>
  <si>
    <t>LUMINARIA TIPO ARBOTANTE PARA FACHADA INTERIOR</t>
  </si>
  <si>
    <t>LUMINARIA TIPO ARBOTANTE PARA FACHADA EXTERIOR</t>
  </si>
  <si>
    <t xml:space="preserve">LUMINARIA TIPO CANDIL PARA EMPOTRAR </t>
  </si>
  <si>
    <t>TOMACORRIENTE  DUPLEX POLARIZADO 2P+T CON PLACA Y CHASIS 10/16A  127/200V</t>
  </si>
  <si>
    <t>TOMACORRIENTE  DUPLEX POLARIZADO 2P+T CON PLACA Y CHASIS 10/16A  127/200V CON FALLA A TIERRA</t>
  </si>
  <si>
    <t>TOMACORRIENTE DUPLEX POLARIZADO  2P+T CON PLACA Y CHASIS  10/16A 127/200V PARA EXTERIOR</t>
  </si>
  <si>
    <t>T-182/211</t>
  </si>
  <si>
    <t>CENTRO DE CARGA 20 CIRCUITOS</t>
  </si>
  <si>
    <t>INTERRUPTOR TERMOMAGNETICO 2X50  120/240V</t>
  </si>
  <si>
    <t>TAPA 3 MODULO CON CHASIS COLOR BLANCO</t>
  </si>
  <si>
    <t xml:space="preserve"> CABLE THW CAL. 8</t>
  </si>
  <si>
    <t>CABLE THW CAL 14</t>
  </si>
  <si>
    <t>CABLE THW CAL 12</t>
  </si>
  <si>
    <t>TOMA DE TELEVISION CON PLACA Y CHASIS</t>
  </si>
  <si>
    <t>TOMA DE TELEFONO CON PLACA Y CHASIS</t>
  </si>
  <si>
    <t>PAQUETE DE INSTALACIÓN WC</t>
  </si>
  <si>
    <t>PAQUETE INSTALACIÓN LAVABO</t>
  </si>
  <si>
    <t>PAQUETE INSTALACIÓN LAVABO  PSC-152</t>
  </si>
  <si>
    <t xml:space="preserve">DOS LLAVES ANGULARES </t>
  </si>
  <si>
    <t>DOS MANGUERAS</t>
  </si>
  <si>
    <t>CINTA TEFLON</t>
  </si>
  <si>
    <t>CONTRA PUSH 3-PH-201</t>
  </si>
  <si>
    <t>TRAMPA PLATEADA PARA LAVABO</t>
  </si>
  <si>
    <t>DOS LLAVES ANGULARES  IP-144</t>
  </si>
  <si>
    <t>DOS MANGUERAS  VL-K40-SE</t>
  </si>
  <si>
    <t>CHUPON ANGER</t>
  </si>
  <si>
    <t>MEDIO CESPOL URREA 219</t>
  </si>
  <si>
    <t>CONTRA CON REBOSADERO 4606CP DICA</t>
  </si>
  <si>
    <t>INSTALACIÓN DE WC</t>
  </si>
  <si>
    <t>LLAVE ANGULAR IP-133 COFLEX</t>
  </si>
  <si>
    <t xml:space="preserve">MANGUERA C35 </t>
  </si>
  <si>
    <t>CUELLO DE CERA</t>
  </si>
  <si>
    <t>CINTA TEFLON 3/4"</t>
  </si>
  <si>
    <t>LLAVE ANGULAR PARA LAVABO</t>
  </si>
  <si>
    <t xml:space="preserve">CHUPON ANGER </t>
  </si>
  <si>
    <t xml:space="preserve">SOLUM </t>
  </si>
  <si>
    <t>MAPLE</t>
  </si>
  <si>
    <t>TERRA</t>
  </si>
  <si>
    <t>VITAD</t>
  </si>
  <si>
    <t>PAQUETE INSTALACIÓN WC PS-C250</t>
  </si>
  <si>
    <t xml:space="preserve">EXTENCION LATON </t>
  </si>
  <si>
    <t xml:space="preserve">FOLIO 38797 </t>
  </si>
  <si>
    <t>FOLIO 38817</t>
  </si>
  <si>
    <t>FOLIO  38840</t>
  </si>
  <si>
    <t>FOLIO 38865</t>
  </si>
  <si>
    <t>FOLIO 38872</t>
  </si>
  <si>
    <t>FOLIO 38887</t>
  </si>
  <si>
    <t>FOLIO 38906</t>
  </si>
  <si>
    <t>FOLIO 38927</t>
  </si>
  <si>
    <t>FOLIO 38983</t>
  </si>
  <si>
    <t>FOLIO 39031</t>
  </si>
  <si>
    <t>MALLA 6*6-4*4 ELECTROSOLDADA ROLLO 2.5*40</t>
  </si>
  <si>
    <t>VARILLA CORRUGADA 1/4</t>
  </si>
  <si>
    <t>17 VIV</t>
  </si>
  <si>
    <t>LAVABO Y PEDESTAL LUANDA</t>
  </si>
  <si>
    <t>LAVABO ARAL</t>
  </si>
  <si>
    <t>SANITARIO HERMES</t>
  </si>
  <si>
    <t>SANITARIO VENUS</t>
  </si>
  <si>
    <t>PISO: LEIGHTON LIGHT CONTRATO 17 VIVIENDAS</t>
  </si>
  <si>
    <t>17 viv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</si>
</sst>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_-;\-* #,##0_-;_-* &quot;-&quot;??_-;_-@_-"/>
    <numFmt numFmtId="165" formatCode=";;;"/>
    <numFmt numFmtId="166" formatCode="d\ &quot;de&quot;\ mmmm\ &quot;de&quot;\ yyyy"/>
    <numFmt numFmtId="167" formatCode="#,##0_ ;\-#,##0\ "/>
    <numFmt numFmtId="168" formatCode="#,##0.00_ ;\-#,##0.00\ "/>
    <numFmt numFmtId="169" formatCode="[$-F800]dddd\,\ mmmm\ dd\,\ yyyy"/>
    <numFmt numFmtId="170" formatCode="&quot;$&quot;#,##0.00"/>
  </numFmts>
  <fonts count="4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6"/>
      <name val="Arial"/>
      <family val="2"/>
    </font>
    <font>
      <sz val="10"/>
      <color indexed="9"/>
      <name val="Arial"/>
      <family val="2"/>
    </font>
    <font>
      <sz val="11"/>
      <color indexed="8"/>
      <name val="Calibri"/>
      <family val="2"/>
    </font>
    <font>
      <b/>
      <sz val="10"/>
      <name val="Arial"/>
      <family val="2"/>
    </font>
    <font>
      <b/>
      <sz val="15"/>
      <name val="Arial"/>
      <family val="2"/>
    </font>
    <font>
      <b/>
      <sz val="16"/>
      <name val="Arial"/>
      <family val="2"/>
    </font>
    <font>
      <b/>
      <sz val="18"/>
      <color indexed="10"/>
      <name val="System"/>
      <family val="2"/>
    </font>
    <font>
      <sz val="12"/>
      <name val="Arial"/>
      <family val="2"/>
    </font>
    <font>
      <b/>
      <i/>
      <sz val="13"/>
      <name val="Arial"/>
      <family val="2"/>
    </font>
    <font>
      <b/>
      <sz val="12"/>
      <name val="Arial"/>
      <family val="2"/>
    </font>
    <font>
      <sz val="15"/>
      <name val="Arial"/>
      <family val="2"/>
    </font>
    <font>
      <b/>
      <sz val="13"/>
      <name val="Arial"/>
      <family val="2"/>
    </font>
    <font>
      <sz val="10"/>
      <color theme="0"/>
      <name val="Arial"/>
      <family val="2"/>
    </font>
    <font>
      <sz val="7"/>
      <name val="Arial"/>
      <family val="2"/>
    </font>
    <font>
      <sz val="12"/>
      <name val="Stylus BT"/>
      <family val="2"/>
    </font>
    <font>
      <b/>
      <sz val="10"/>
      <color theme="0"/>
      <name val="Arial"/>
      <family val="2"/>
    </font>
    <font>
      <sz val="10"/>
      <color indexed="10"/>
      <name val="Arial"/>
      <family val="2"/>
    </font>
    <font>
      <b/>
      <sz val="12"/>
      <color indexed="8"/>
      <name val="Arial"/>
      <family val="2"/>
    </font>
    <font>
      <b/>
      <sz val="10"/>
      <color indexed="9"/>
      <name val="Arial"/>
      <family val="2"/>
    </font>
    <font>
      <b/>
      <sz val="28"/>
      <name val="Arial"/>
      <family val="2"/>
    </font>
    <font>
      <b/>
      <sz val="18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sz val="8"/>
      <name val="Comic Sans MS"/>
      <family val="4"/>
    </font>
    <font>
      <b/>
      <sz val="8"/>
      <name val="Tahoma"/>
      <family val="2"/>
    </font>
    <font>
      <sz val="2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8"/>
      <color theme="0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8"/>
      <color indexed="63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0"/>
      <color indexed="63"/>
      <name val="Aptos Narrow"/>
      <family val="2"/>
      <scheme val="minor"/>
    </font>
    <font>
      <sz val="10"/>
      <color indexed="63"/>
      <name val="Aptos Narrow"/>
      <family val="2"/>
      <scheme val="minor"/>
    </font>
    <font>
      <sz val="11"/>
      <color theme="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"/>
      <name val="Aptos Narrow"/>
      <family val="2"/>
      <scheme val="minor"/>
    </font>
    <font>
      <b/>
      <u val="singleAccounting"/>
      <sz val="11"/>
      <color theme="1"/>
      <name val="Aptos Narrow"/>
      <family val="2"/>
      <scheme val="minor"/>
    </font>
    <font>
      <u val="singleAccounting"/>
      <sz val="11"/>
      <color theme="1"/>
      <name val="Aptos Narrow"/>
      <family val="2"/>
      <scheme val="minor"/>
    </font>
    <font>
      <b/>
      <sz val="9"/>
      <color indexed="63"/>
      <name val="Aptos Narrow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2B3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294659"/>
        <bgColor indexed="64"/>
      </patternFill>
    </fill>
    <fill>
      <patternFill patternType="solid">
        <fgColor rgb="FF9DA2A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FF000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22"/>
      </left>
      <right/>
      <top style="thick">
        <color indexed="22"/>
      </top>
      <bottom/>
      <diagonal/>
    </border>
    <border>
      <left/>
      <right/>
      <top style="thick">
        <color indexed="22"/>
      </top>
      <bottom/>
      <diagonal/>
    </border>
    <border>
      <left/>
      <right style="thick">
        <color indexed="22"/>
      </right>
      <top style="thick">
        <color indexed="22"/>
      </top>
      <bottom/>
      <diagonal/>
    </border>
    <border>
      <left style="thick">
        <color indexed="22"/>
      </left>
      <right/>
      <top/>
      <bottom/>
      <diagonal/>
    </border>
    <border>
      <left/>
      <right style="thick">
        <color indexed="22"/>
      </right>
      <top/>
      <bottom/>
      <diagonal/>
    </border>
    <border>
      <left/>
      <right/>
      <top style="hair">
        <color indexed="22"/>
      </top>
      <bottom style="hair">
        <color indexed="22"/>
      </bottom>
      <diagonal/>
    </border>
    <border>
      <left/>
      <right/>
      <top/>
      <bottom style="hair">
        <color indexed="2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ck">
        <color indexed="48"/>
      </top>
      <bottom style="thin">
        <color indexed="32"/>
      </bottom>
      <diagonal/>
    </border>
    <border>
      <left style="thick">
        <color indexed="22"/>
      </left>
      <right/>
      <top/>
      <bottom style="thick">
        <color indexed="22"/>
      </bottom>
      <diagonal/>
    </border>
    <border>
      <left/>
      <right/>
      <top/>
      <bottom style="thick">
        <color indexed="22"/>
      </bottom>
      <diagonal/>
    </border>
    <border>
      <left/>
      <right style="thick">
        <color indexed="22"/>
      </right>
      <top/>
      <bottom style="thick">
        <color indexed="22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theme="0" tint="-0.249977111117893"/>
      </left>
      <right/>
      <top/>
      <bottom/>
      <diagonal/>
    </border>
    <border>
      <left/>
      <right/>
      <top/>
      <bottom style="thin">
        <color theme="0"/>
      </bottom>
      <diagonal/>
    </border>
    <border>
      <left style="medium">
        <color theme="0" tint="-0.249977111117893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 tint="-0.249977111117893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3" borderId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4" fontId="8" fillId="0" borderId="0" applyFont="0" applyFill="0" applyBorder="0" applyAlignment="0" applyProtection="0"/>
  </cellStyleXfs>
  <cellXfs count="25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14" fontId="2" fillId="0" borderId="0" xfId="0" applyNumberFormat="1" applyFont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0" borderId="0" xfId="0" applyAlignment="1">
      <alignment wrapText="1"/>
    </xf>
    <xf numFmtId="2" fontId="0" fillId="0" borderId="0" xfId="0" applyNumberFormat="1"/>
    <xf numFmtId="0" fontId="5" fillId="3" borderId="0" xfId="3"/>
    <xf numFmtId="0" fontId="6" fillId="3" borderId="0" xfId="3" applyFont="1"/>
    <xf numFmtId="0" fontId="7" fillId="3" borderId="0" xfId="3" applyFont="1"/>
    <xf numFmtId="43" fontId="9" fillId="3" borderId="0" xfId="4" applyFont="1" applyFill="1"/>
    <xf numFmtId="0" fontId="5" fillId="4" borderId="2" xfId="3" applyFill="1" applyBorder="1"/>
    <xf numFmtId="0" fontId="5" fillId="4" borderId="3" xfId="3" applyFill="1" applyBorder="1"/>
    <xf numFmtId="0" fontId="6" fillId="4" borderId="3" xfId="3" applyFont="1" applyFill="1" applyBorder="1"/>
    <xf numFmtId="0" fontId="5" fillId="4" borderId="4" xfId="3" applyFill="1" applyBorder="1"/>
    <xf numFmtId="0" fontId="5" fillId="4" borderId="5" xfId="3" applyFill="1" applyBorder="1"/>
    <xf numFmtId="0" fontId="5" fillId="4" borderId="0" xfId="3" applyFill="1"/>
    <xf numFmtId="0" fontId="6" fillId="4" borderId="0" xfId="3" applyFont="1" applyFill="1"/>
    <xf numFmtId="0" fontId="11" fillId="4" borderId="0" xfId="3" applyFont="1" applyFill="1"/>
    <xf numFmtId="0" fontId="11" fillId="4" borderId="0" xfId="3" applyFont="1" applyFill="1" applyAlignment="1">
      <alignment horizontal="right"/>
    </xf>
    <xf numFmtId="1" fontId="12" fillId="4" borderId="0" xfId="3" applyNumberFormat="1" applyFont="1" applyFill="1" applyAlignment="1">
      <alignment horizontal="center"/>
    </xf>
    <xf numFmtId="0" fontId="5" fillId="4" borderId="6" xfId="3" applyFill="1" applyBorder="1"/>
    <xf numFmtId="0" fontId="13" fillId="4" borderId="0" xfId="3" applyFont="1" applyFill="1"/>
    <xf numFmtId="0" fontId="13" fillId="4" borderId="0" xfId="3" applyFont="1" applyFill="1" applyAlignment="1">
      <alignment horizontal="center"/>
    </xf>
    <xf numFmtId="0" fontId="7" fillId="3" borderId="0" xfId="3" applyFont="1" applyAlignment="1">
      <alignment horizontal="right"/>
    </xf>
    <xf numFmtId="0" fontId="18" fillId="3" borderId="0" xfId="3" applyFont="1" applyAlignment="1">
      <alignment horizontal="right"/>
    </xf>
    <xf numFmtId="0" fontId="7" fillId="3" borderId="0" xfId="3" applyFont="1" applyAlignment="1">
      <alignment horizontal="center"/>
    </xf>
    <xf numFmtId="0" fontId="9" fillId="4" borderId="16" xfId="3" applyFont="1" applyFill="1" applyBorder="1" applyAlignment="1">
      <alignment horizontal="center"/>
    </xf>
    <xf numFmtId="0" fontId="15" fillId="4" borderId="16" xfId="3" applyFont="1" applyFill="1" applyBorder="1" applyAlignment="1">
      <alignment horizontal="center"/>
    </xf>
    <xf numFmtId="43" fontId="7" fillId="3" borderId="0" xfId="4" applyFont="1" applyFill="1"/>
    <xf numFmtId="0" fontId="7" fillId="3" borderId="0" xfId="3" applyFont="1" applyAlignment="1">
      <alignment horizontal="center" vertical="center"/>
    </xf>
    <xf numFmtId="164" fontId="19" fillId="4" borderId="0" xfId="3" applyNumberFormat="1" applyFont="1" applyFill="1"/>
    <xf numFmtId="43" fontId="13" fillId="0" borderId="17" xfId="6" applyFont="1" applyFill="1" applyBorder="1" applyAlignment="1">
      <alignment horizontal="center" vertical="center"/>
    </xf>
    <xf numFmtId="0" fontId="13" fillId="4" borderId="1" xfId="5" applyFont="1" applyFill="1" applyBorder="1" applyAlignment="1">
      <alignment horizontal="center" vertical="center" wrapText="1"/>
    </xf>
    <xf numFmtId="2" fontId="18" fillId="3" borderId="1" xfId="3" applyNumberFormat="1" applyFont="1" applyBorder="1" applyAlignment="1">
      <alignment horizontal="center" vertical="center"/>
    </xf>
    <xf numFmtId="2" fontId="18" fillId="3" borderId="1" xfId="4" applyNumberFormat="1" applyFont="1" applyFill="1" applyBorder="1" applyAlignment="1">
      <alignment horizontal="center" vertical="center" wrapText="1"/>
    </xf>
    <xf numFmtId="0" fontId="5" fillId="4" borderId="5" xfId="3" applyFill="1" applyBorder="1" applyAlignment="1">
      <alignment vertical="center" wrapText="1"/>
    </xf>
    <xf numFmtId="0" fontId="5" fillId="4" borderId="0" xfId="3" applyFill="1" applyAlignment="1">
      <alignment vertical="center" wrapText="1"/>
    </xf>
    <xf numFmtId="0" fontId="5" fillId="4" borderId="6" xfId="3" applyFill="1" applyBorder="1" applyAlignment="1">
      <alignment vertical="center" wrapText="1"/>
    </xf>
    <xf numFmtId="0" fontId="5" fillId="3" borderId="0" xfId="3" applyAlignment="1">
      <alignment vertical="center" wrapText="1"/>
    </xf>
    <xf numFmtId="2" fontId="18" fillId="3" borderId="1" xfId="3" applyNumberFormat="1" applyFont="1" applyBorder="1" applyAlignment="1">
      <alignment horizontal="center" vertical="center" wrapText="1"/>
    </xf>
    <xf numFmtId="0" fontId="7" fillId="3" borderId="0" xfId="3" applyFont="1" applyAlignment="1">
      <alignment vertical="center" wrapText="1"/>
    </xf>
    <xf numFmtId="0" fontId="7" fillId="3" borderId="0" xfId="3" applyFont="1" applyAlignment="1">
      <alignment horizontal="right" vertical="center" wrapText="1"/>
    </xf>
    <xf numFmtId="2" fontId="21" fillId="3" borderId="1" xfId="4" applyNumberFormat="1" applyFont="1" applyFill="1" applyBorder="1" applyAlignment="1">
      <alignment horizontal="center" vertical="center"/>
    </xf>
    <xf numFmtId="2" fontId="18" fillId="3" borderId="1" xfId="4" applyNumberFormat="1" applyFont="1" applyFill="1" applyBorder="1" applyAlignment="1">
      <alignment horizontal="center" vertical="center"/>
    </xf>
    <xf numFmtId="0" fontId="22" fillId="3" borderId="0" xfId="3" applyFont="1"/>
    <xf numFmtId="2" fontId="7" fillId="3" borderId="1" xfId="3" applyNumberFormat="1" applyFont="1" applyBorder="1" applyAlignment="1">
      <alignment horizontal="center" vertical="center"/>
    </xf>
    <xf numFmtId="0" fontId="18" fillId="3" borderId="0" xfId="3" applyFont="1" applyAlignment="1">
      <alignment horizontal="center" vertical="center"/>
    </xf>
    <xf numFmtId="2" fontId="18" fillId="3" borderId="1" xfId="3" applyNumberFormat="1" applyFont="1" applyBorder="1" applyAlignment="1">
      <alignment horizontal="center"/>
    </xf>
    <xf numFmtId="2" fontId="18" fillId="3" borderId="1" xfId="4" applyNumberFormat="1" applyFont="1" applyFill="1" applyBorder="1" applyAlignment="1">
      <alignment horizontal="center"/>
    </xf>
    <xf numFmtId="43" fontId="13" fillId="2" borderId="17" xfId="6" applyFont="1" applyFill="1" applyBorder="1" applyAlignment="1">
      <alignment horizontal="center" vertical="center"/>
    </xf>
    <xf numFmtId="0" fontId="13" fillId="2" borderId="1" xfId="5" applyFont="1" applyFill="1" applyBorder="1" applyAlignment="1">
      <alignment horizontal="center" vertical="center" wrapText="1"/>
    </xf>
    <xf numFmtId="0" fontId="15" fillId="4" borderId="0" xfId="3" applyFont="1" applyFill="1"/>
    <xf numFmtId="165" fontId="23" fillId="4" borderId="0" xfId="3" applyNumberFormat="1" applyFont="1" applyFill="1" applyAlignment="1">
      <alignment wrapText="1"/>
    </xf>
    <xf numFmtId="0" fontId="13" fillId="4" borderId="0" xfId="3" quotePrefix="1" applyFont="1" applyFill="1"/>
    <xf numFmtId="0" fontId="15" fillId="4" borderId="0" xfId="3" applyFont="1" applyFill="1" applyAlignment="1">
      <alignment horizontal="right"/>
    </xf>
    <xf numFmtId="43" fontId="24" fillId="3" borderId="0" xfId="4" applyFont="1" applyFill="1"/>
    <xf numFmtId="0" fontId="15" fillId="4" borderId="0" xfId="3" quotePrefix="1" applyFont="1" applyFill="1" applyAlignment="1">
      <alignment horizontal="right"/>
    </xf>
    <xf numFmtId="165" fontId="25" fillId="4" borderId="0" xfId="3" applyNumberFormat="1" applyFont="1" applyFill="1" applyAlignment="1">
      <alignment horizontal="center"/>
    </xf>
    <xf numFmtId="0" fontId="9" fillId="4" borderId="0" xfId="3" applyFont="1" applyFill="1" applyAlignment="1">
      <alignment horizontal="right"/>
    </xf>
    <xf numFmtId="0" fontId="27" fillId="4" borderId="0" xfId="3" applyFont="1" applyFill="1"/>
    <xf numFmtId="0" fontId="5" fillId="4" borderId="19" xfId="3" applyFill="1" applyBorder="1"/>
    <xf numFmtId="0" fontId="5" fillId="4" borderId="20" xfId="3" applyFill="1" applyBorder="1"/>
    <xf numFmtId="0" fontId="11" fillId="4" borderId="0" xfId="3" applyFont="1" applyFill="1" applyAlignment="1">
      <alignment vertical="center" wrapText="1"/>
    </xf>
    <xf numFmtId="0" fontId="5" fillId="4" borderId="21" xfId="3" applyFill="1" applyBorder="1"/>
    <xf numFmtId="0" fontId="5" fillId="4" borderId="22" xfId="3" applyFill="1" applyBorder="1"/>
    <xf numFmtId="0" fontId="29" fillId="0" borderId="23" xfId="5" applyFont="1" applyBorder="1" applyAlignment="1">
      <alignment horizontal="left" vertical="center"/>
    </xf>
    <xf numFmtId="0" fontId="32" fillId="10" borderId="0" xfId="0" applyFont="1" applyFill="1" applyAlignment="1">
      <alignment vertical="center" wrapText="1"/>
    </xf>
    <xf numFmtId="0" fontId="33" fillId="11" borderId="0" xfId="0" applyFont="1" applyFill="1" applyAlignment="1">
      <alignment horizontal="center" vertical="center"/>
    </xf>
    <xf numFmtId="0" fontId="34" fillId="11" borderId="0" xfId="0" applyFont="1" applyFill="1" applyAlignment="1">
      <alignment horizontal="center" vertical="center"/>
    </xf>
    <xf numFmtId="0" fontId="34" fillId="11" borderId="0" xfId="1" applyNumberFormat="1" applyFont="1" applyFill="1" applyBorder="1" applyAlignment="1">
      <alignment horizontal="center" vertical="center"/>
    </xf>
    <xf numFmtId="44" fontId="34" fillId="11" borderId="0" xfId="2" applyFont="1" applyFill="1" applyBorder="1" applyAlignment="1">
      <alignment horizontal="center" vertical="center"/>
    </xf>
    <xf numFmtId="44" fontId="34" fillId="11" borderId="0" xfId="2" applyFont="1" applyFill="1" applyBorder="1" applyAlignment="1">
      <alignment horizontal="center" vertical="center" wrapText="1"/>
    </xf>
    <xf numFmtId="0" fontId="33" fillId="10" borderId="0" xfId="0" applyFont="1" applyFill="1" applyAlignment="1">
      <alignment horizontal="center" vertical="center"/>
    </xf>
    <xf numFmtId="49" fontId="33" fillId="12" borderId="0" xfId="0" applyNumberFormat="1" applyFont="1" applyFill="1" applyAlignment="1">
      <alignment horizontal="center" vertical="center" wrapText="1"/>
    </xf>
    <xf numFmtId="49" fontId="2" fillId="12" borderId="0" xfId="0" applyNumberFormat="1" applyFont="1" applyFill="1" applyAlignment="1">
      <alignment horizontal="center" vertical="center" wrapText="1"/>
    </xf>
    <xf numFmtId="0" fontId="35" fillId="13" borderId="0" xfId="1" applyNumberFormat="1" applyFont="1" applyFill="1" applyBorder="1" applyAlignment="1">
      <alignment horizontal="center" vertical="center" wrapText="1"/>
    </xf>
    <xf numFmtId="44" fontId="36" fillId="13" borderId="0" xfId="2" applyFont="1" applyFill="1"/>
    <xf numFmtId="44" fontId="36" fillId="10" borderId="0" xfId="2" applyFont="1" applyFill="1"/>
    <xf numFmtId="0" fontId="35" fillId="13" borderId="0" xfId="1" applyNumberFormat="1" applyFont="1" applyFill="1" applyBorder="1" applyAlignment="1">
      <alignment horizontal="center" vertical="top" wrapText="1"/>
    </xf>
    <xf numFmtId="44" fontId="0" fillId="0" borderId="0" xfId="2" applyFont="1"/>
    <xf numFmtId="0" fontId="35" fillId="13" borderId="25" xfId="1" applyNumberFormat="1" applyFont="1" applyFill="1" applyBorder="1" applyAlignment="1">
      <alignment horizontal="center" vertical="top" wrapText="1"/>
    </xf>
    <xf numFmtId="0" fontId="35" fillId="13" borderId="25" xfId="1" applyNumberFormat="1" applyFont="1" applyFill="1" applyBorder="1" applyAlignment="1">
      <alignment horizontal="center" vertical="center" wrapText="1"/>
    </xf>
    <xf numFmtId="44" fontId="36" fillId="0" borderId="0" xfId="2" applyFont="1"/>
    <xf numFmtId="0" fontId="34" fillId="14" borderId="26" xfId="0" applyFont="1" applyFill="1" applyBorder="1" applyAlignment="1">
      <alignment horizontal="center" vertical="center" wrapText="1"/>
    </xf>
    <xf numFmtId="49" fontId="2" fillId="15" borderId="1" xfId="0" applyNumberFormat="1" applyFont="1" applyFill="1" applyBorder="1" applyAlignment="1">
      <alignment horizontal="left" vertical="center" wrapText="1"/>
    </xf>
    <xf numFmtId="0" fontId="34" fillId="14" borderId="27" xfId="0" applyFont="1" applyFill="1" applyBorder="1" applyAlignment="1">
      <alignment horizontal="center" vertical="center" wrapText="1"/>
    </xf>
    <xf numFmtId="167" fontId="4" fillId="0" borderId="0" xfId="2" applyNumberFormat="1" applyFont="1"/>
    <xf numFmtId="49" fontId="37" fillId="0" borderId="12" xfId="0" applyNumberFormat="1" applyFont="1" applyBorder="1" applyAlignment="1">
      <alignment horizontal="center" vertical="center" wrapText="1"/>
    </xf>
    <xf numFmtId="49" fontId="37" fillId="0" borderId="1" xfId="0" applyNumberFormat="1" applyFont="1" applyBorder="1" applyAlignment="1">
      <alignment horizontal="left" vertical="center" wrapText="1"/>
    </xf>
    <xf numFmtId="168" fontId="35" fillId="0" borderId="1" xfId="2" applyNumberFormat="1" applyFont="1" applyFill="1" applyBorder="1" applyAlignment="1">
      <alignment horizontal="center" vertical="top"/>
    </xf>
    <xf numFmtId="44" fontId="35" fillId="0" borderId="1" xfId="2" applyFont="1" applyFill="1" applyBorder="1" applyAlignment="1">
      <alignment horizontal="center" vertical="top"/>
    </xf>
    <xf numFmtId="169" fontId="35" fillId="0" borderId="1" xfId="1" applyNumberFormat="1" applyFont="1" applyFill="1" applyBorder="1" applyAlignment="1">
      <alignment horizontal="center" vertical="center"/>
    </xf>
    <xf numFmtId="49" fontId="37" fillId="0" borderId="1" xfId="0" applyNumberFormat="1" applyFont="1" applyBorder="1" applyAlignment="1">
      <alignment horizontal="center" vertical="center" wrapText="1"/>
    </xf>
    <xf numFmtId="49" fontId="37" fillId="0" borderId="1" xfId="0" quotePrefix="1" applyNumberFormat="1" applyFont="1" applyBorder="1" applyAlignment="1">
      <alignment horizontal="center" vertical="center" wrapText="1"/>
    </xf>
    <xf numFmtId="49" fontId="38" fillId="0" borderId="1" xfId="0" applyNumberFormat="1" applyFont="1" applyBorder="1" applyAlignment="1">
      <alignment horizontal="center" vertical="center" wrapText="1"/>
    </xf>
    <xf numFmtId="1" fontId="0" fillId="0" borderId="1" xfId="2" applyNumberFormat="1" applyFont="1" applyFill="1" applyBorder="1" applyAlignment="1">
      <alignment horizontal="center" vertical="center"/>
    </xf>
    <xf numFmtId="1" fontId="0" fillId="0" borderId="0" xfId="2" applyNumberFormat="1" applyFont="1"/>
    <xf numFmtId="0" fontId="36" fillId="0" borderId="0" xfId="1" applyNumberFormat="1" applyFont="1"/>
    <xf numFmtId="44" fontId="36" fillId="0" borderId="0" xfId="2" applyFont="1" applyAlignment="1">
      <alignment horizontal="center"/>
    </xf>
    <xf numFmtId="169" fontId="36" fillId="0" borderId="0" xfId="0" applyNumberFormat="1" applyFont="1"/>
    <xf numFmtId="0" fontId="36" fillId="0" borderId="0" xfId="0" applyFont="1"/>
    <xf numFmtId="0" fontId="36" fillId="0" borderId="0" xfId="0" applyFont="1" applyAlignment="1">
      <alignment horizontal="center"/>
    </xf>
    <xf numFmtId="0" fontId="39" fillId="0" borderId="0" xfId="0" applyFont="1"/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35" fillId="13" borderId="0" xfId="1" applyNumberFormat="1" applyFont="1" applyFill="1" applyBorder="1" applyAlignment="1">
      <alignment horizontal="center" vertical="top"/>
    </xf>
    <xf numFmtId="44" fontId="35" fillId="13" borderId="0" xfId="2" applyFont="1" applyFill="1" applyBorder="1" applyAlignment="1">
      <alignment horizontal="center" vertical="center"/>
    </xf>
    <xf numFmtId="0" fontId="37" fillId="0" borderId="12" xfId="0" applyFont="1" applyBorder="1" applyAlignment="1">
      <alignment horizontal="center" vertical="center" wrapText="1"/>
    </xf>
    <xf numFmtId="2" fontId="35" fillId="0" borderId="1" xfId="2" applyNumberFormat="1" applyFont="1" applyFill="1" applyBorder="1" applyAlignment="1">
      <alignment horizontal="center" vertical="top"/>
    </xf>
    <xf numFmtId="0" fontId="37" fillId="0" borderId="1" xfId="0" applyFont="1" applyBorder="1" applyAlignment="1">
      <alignment horizontal="center" vertical="center" wrapText="1"/>
    </xf>
    <xf numFmtId="0" fontId="37" fillId="0" borderId="1" xfId="0" quotePrefix="1" applyFont="1" applyBorder="1" applyAlignment="1">
      <alignment horizontal="center" vertical="center" wrapText="1"/>
    </xf>
    <xf numFmtId="1" fontId="42" fillId="0" borderId="0" xfId="2" applyNumberFormat="1" applyFont="1" applyAlignment="1">
      <alignment horizontal="center"/>
    </xf>
    <xf numFmtId="44" fontId="43" fillId="0" borderId="0" xfId="2" applyFont="1"/>
    <xf numFmtId="2" fontId="0" fillId="0" borderId="0" xfId="2" applyNumberFormat="1" applyFont="1"/>
    <xf numFmtId="44" fontId="44" fillId="0" borderId="0" xfId="2" applyFont="1"/>
    <xf numFmtId="49" fontId="2" fillId="15" borderId="0" xfId="0" applyNumberFormat="1" applyFont="1" applyFill="1" applyAlignment="1">
      <alignment horizontal="left" vertical="center" wrapText="1"/>
    </xf>
    <xf numFmtId="49" fontId="45" fillId="0" borderId="1" xfId="0" applyNumberFormat="1" applyFont="1" applyBorder="1" applyAlignment="1">
      <alignment horizontal="left" vertical="center" wrapText="1"/>
    </xf>
    <xf numFmtId="0" fontId="32" fillId="9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2" fontId="35" fillId="13" borderId="0" xfId="2" applyNumberFormat="1" applyFont="1" applyFill="1" applyBorder="1" applyAlignment="1">
      <alignment horizontal="center" vertical="center"/>
    </xf>
    <xf numFmtId="2" fontId="36" fillId="13" borderId="0" xfId="2" applyNumberFormat="1" applyFon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2" applyNumberFormat="1" applyFont="1" applyAlignment="1">
      <alignment horizontal="center" vertical="center"/>
    </xf>
    <xf numFmtId="44" fontId="0" fillId="0" borderId="0" xfId="2" applyFont="1" applyAlignment="1">
      <alignment horizontal="center" vertical="center"/>
    </xf>
    <xf numFmtId="44" fontId="36" fillId="0" borderId="0" xfId="2" applyFont="1" applyAlignment="1">
      <alignment horizontal="center" vertical="center"/>
    </xf>
    <xf numFmtId="44" fontId="0" fillId="16" borderId="0" xfId="2" applyFont="1" applyFill="1" applyAlignment="1">
      <alignment horizontal="center" vertical="center"/>
    </xf>
    <xf numFmtId="44" fontId="0" fillId="17" borderId="0" xfId="2" applyFont="1" applyFill="1" applyAlignment="1">
      <alignment horizontal="center" vertical="center"/>
    </xf>
    <xf numFmtId="44" fontId="0" fillId="18" borderId="0" xfId="2" applyFont="1" applyFill="1" applyAlignment="1">
      <alignment horizontal="center" vertical="center"/>
    </xf>
    <xf numFmtId="49" fontId="2" fillId="15" borderId="1" xfId="0" applyNumberFormat="1" applyFont="1" applyFill="1" applyBorder="1" applyAlignment="1">
      <alignment horizontal="center" vertical="center" wrapText="1"/>
    </xf>
    <xf numFmtId="49" fontId="2" fillId="15" borderId="0" xfId="0" applyNumberFormat="1" applyFont="1" applyFill="1" applyAlignment="1">
      <alignment horizontal="center" vertical="center" wrapText="1"/>
    </xf>
    <xf numFmtId="44" fontId="0" fillId="19" borderId="0" xfId="2" applyFont="1" applyFill="1" applyAlignment="1">
      <alignment horizontal="center" vertical="center"/>
    </xf>
    <xf numFmtId="16" fontId="0" fillId="0" borderId="0" xfId="0" applyNumberFormat="1"/>
    <xf numFmtId="0" fontId="2" fillId="2" borderId="0" xfId="0" applyFont="1" applyFill="1"/>
    <xf numFmtId="15" fontId="2" fillId="0" borderId="0" xfId="0" applyNumberFormat="1" applyFont="1"/>
    <xf numFmtId="0" fontId="20" fillId="4" borderId="1" xfId="7" applyNumberFormat="1" applyFont="1" applyFill="1" applyBorder="1" applyAlignment="1">
      <alignment horizontal="center" vertical="center" wrapText="1"/>
    </xf>
    <xf numFmtId="0" fontId="20" fillId="0" borderId="11" xfId="7" applyNumberFormat="1" applyFont="1" applyFill="1" applyBorder="1" applyAlignment="1">
      <alignment horizontal="center"/>
    </xf>
    <xf numFmtId="0" fontId="20" fillId="0" borderId="18" xfId="7" applyNumberFormat="1" applyFont="1" applyFill="1" applyBorder="1" applyAlignment="1">
      <alignment horizontal="center"/>
    </xf>
    <xf numFmtId="0" fontId="20" fillId="0" borderId="12" xfId="7" applyNumberFormat="1" applyFont="1" applyFill="1" applyBorder="1" applyAlignment="1">
      <alignment horizontal="center"/>
    </xf>
    <xf numFmtId="2" fontId="18" fillId="3" borderId="1" xfId="3" applyNumberFormat="1" applyFont="1" applyBorder="1" applyAlignment="1">
      <alignment horizontal="center" wrapText="1"/>
    </xf>
    <xf numFmtId="2" fontId="7" fillId="3" borderId="1" xfId="3" applyNumberFormat="1" applyFont="1" applyBorder="1" applyAlignment="1">
      <alignment horizontal="center"/>
    </xf>
    <xf numFmtId="0" fontId="5" fillId="3" borderId="0" xfId="3" applyAlignment="1">
      <alignment vertical="center"/>
    </xf>
    <xf numFmtId="0" fontId="5" fillId="4" borderId="5" xfId="3" applyFill="1" applyBorder="1" applyAlignment="1">
      <alignment vertical="center"/>
    </xf>
    <xf numFmtId="0" fontId="13" fillId="4" borderId="1" xfId="5" applyFont="1" applyFill="1" applyBorder="1" applyAlignment="1">
      <alignment horizontal="center" vertical="center"/>
    </xf>
    <xf numFmtId="0" fontId="5" fillId="4" borderId="0" xfId="3" applyFill="1" applyAlignment="1">
      <alignment vertical="center"/>
    </xf>
    <xf numFmtId="0" fontId="5" fillId="4" borderId="6" xfId="3" applyFill="1" applyBorder="1" applyAlignment="1">
      <alignment vertical="center"/>
    </xf>
    <xf numFmtId="0" fontId="18" fillId="20" borderId="0" xfId="3" applyFont="1" applyFill="1" applyAlignment="1">
      <alignment horizontal="right"/>
    </xf>
    <xf numFmtId="0" fontId="18" fillId="20" borderId="0" xfId="3" applyFont="1" applyFill="1"/>
    <xf numFmtId="43" fontId="18" fillId="20" borderId="0" xfId="4" applyFont="1" applyFill="1"/>
    <xf numFmtId="0" fontId="18" fillId="20" borderId="0" xfId="3" applyFont="1" applyFill="1" applyAlignment="1">
      <alignment horizontal="center" vertical="center"/>
    </xf>
    <xf numFmtId="2" fontId="18" fillId="20" borderId="11" xfId="3" applyNumberFormat="1" applyFont="1" applyFill="1" applyBorder="1" applyAlignment="1">
      <alignment horizontal="center" vertical="center"/>
    </xf>
    <xf numFmtId="2" fontId="18" fillId="20" borderId="12" xfId="3" applyNumberFormat="1" applyFont="1" applyFill="1" applyBorder="1" applyAlignment="1">
      <alignment horizontal="center" vertical="center"/>
    </xf>
    <xf numFmtId="0" fontId="18" fillId="20" borderId="0" xfId="3" applyFont="1" applyFill="1" applyAlignment="1">
      <alignment horizontal="right" vertical="center" wrapText="1"/>
    </xf>
    <xf numFmtId="0" fontId="18" fillId="20" borderId="0" xfId="3" applyFont="1" applyFill="1" applyAlignment="1">
      <alignment horizontal="right" wrapText="1"/>
    </xf>
    <xf numFmtId="0" fontId="18" fillId="20" borderId="0" xfId="3" applyFont="1" applyFill="1" applyAlignment="1">
      <alignment horizontal="left" wrapText="1"/>
    </xf>
    <xf numFmtId="0" fontId="0" fillId="0" borderId="0" xfId="0" applyAlignment="1">
      <alignment horizontal="center"/>
    </xf>
    <xf numFmtId="0" fontId="4" fillId="0" borderId="0" xfId="1" applyNumberFormat="1" applyFont="1"/>
    <xf numFmtId="0" fontId="0" fillId="0" borderId="31" xfId="0" applyBorder="1"/>
    <xf numFmtId="0" fontId="0" fillId="0" borderId="33" xfId="0" applyBorder="1"/>
    <xf numFmtId="170" fontId="0" fillId="0" borderId="0" xfId="0" applyNumberFormat="1"/>
    <xf numFmtId="0" fontId="36" fillId="0" borderId="1" xfId="1" applyNumberFormat="1" applyFont="1" applyBorder="1"/>
    <xf numFmtId="0" fontId="36" fillId="0" borderId="1" xfId="1" applyNumberFormat="1" applyFont="1" applyBorder="1" applyAlignment="1">
      <alignment horizontal="center"/>
    </xf>
    <xf numFmtId="170" fontId="36" fillId="0" borderId="0" xfId="1" applyNumberFormat="1" applyFont="1"/>
    <xf numFmtId="0" fontId="36" fillId="0" borderId="1" xfId="1" applyNumberFormat="1" applyFont="1" applyBorder="1" applyAlignment="1">
      <alignment horizontal="center" vertical="center"/>
    </xf>
    <xf numFmtId="49" fontId="37" fillId="2" borderId="12" xfId="0" applyNumberFormat="1" applyFont="1" applyFill="1" applyBorder="1" applyAlignment="1">
      <alignment horizontal="center" vertical="center" wrapText="1"/>
    </xf>
    <xf numFmtId="0" fontId="37" fillId="2" borderId="12" xfId="0" applyFont="1" applyFill="1" applyBorder="1" applyAlignment="1">
      <alignment horizontal="center" vertical="center" wrapText="1"/>
    </xf>
    <xf numFmtId="49" fontId="37" fillId="2" borderId="1" xfId="0" applyNumberFormat="1" applyFont="1" applyFill="1" applyBorder="1" applyAlignment="1">
      <alignment horizontal="left" vertical="center" wrapText="1"/>
    </xf>
    <xf numFmtId="2" fontId="35" fillId="2" borderId="1" xfId="2" applyNumberFormat="1" applyFont="1" applyFill="1" applyBorder="1" applyAlignment="1">
      <alignment horizontal="center" vertical="top"/>
    </xf>
    <xf numFmtId="49" fontId="37" fillId="21" borderId="12" xfId="0" applyNumberFormat="1" applyFont="1" applyFill="1" applyBorder="1" applyAlignment="1">
      <alignment horizontal="center" vertical="center" wrapText="1"/>
    </xf>
    <xf numFmtId="0" fontId="37" fillId="21" borderId="12" xfId="0" applyFont="1" applyFill="1" applyBorder="1" applyAlignment="1">
      <alignment horizontal="center" vertical="center" wrapText="1"/>
    </xf>
    <xf numFmtId="49" fontId="37" fillId="21" borderId="1" xfId="0" applyNumberFormat="1" applyFont="1" applyFill="1" applyBorder="1" applyAlignment="1">
      <alignment horizontal="left" vertical="center" wrapText="1"/>
    </xf>
    <xf numFmtId="2" fontId="35" fillId="21" borderId="1" xfId="2" applyNumberFormat="1" applyFont="1" applyFill="1" applyBorder="1" applyAlignment="1">
      <alignment horizontal="center" vertical="top"/>
    </xf>
    <xf numFmtId="0" fontId="2" fillId="2" borderId="0" xfId="0" applyFont="1" applyFill="1" applyAlignment="1">
      <alignment wrapText="1"/>
    </xf>
    <xf numFmtId="0" fontId="0" fillId="13" borderId="0" xfId="0" applyFill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31" xfId="0" applyBorder="1" applyAlignment="1">
      <alignment horizontal="right"/>
    </xf>
    <xf numFmtId="0" fontId="0" fillId="0" borderId="0" xfId="0" applyAlignment="1">
      <alignment horizontal="right"/>
    </xf>
    <xf numFmtId="0" fontId="31" fillId="8" borderId="1" xfId="0" applyFont="1" applyFill="1" applyBorder="1" applyAlignment="1">
      <alignment horizontal="center"/>
    </xf>
    <xf numFmtId="0" fontId="32" fillId="9" borderId="24" xfId="0" applyFont="1" applyFill="1" applyBorder="1" applyAlignment="1">
      <alignment horizontal="center" vertical="center" wrapText="1"/>
    </xf>
    <xf numFmtId="0" fontId="32" fillId="9" borderId="0" xfId="0" applyFont="1" applyFill="1" applyAlignment="1">
      <alignment horizontal="center" vertical="center" wrapText="1"/>
    </xf>
    <xf numFmtId="49" fontId="2" fillId="12" borderId="0" xfId="0" applyNumberFormat="1" applyFont="1" applyFill="1" applyAlignment="1">
      <alignment horizontal="center" vertical="center" wrapText="1"/>
    </xf>
    <xf numFmtId="0" fontId="0" fillId="0" borderId="28" xfId="0" applyBorder="1" applyAlignment="1">
      <alignment horizontal="right"/>
    </xf>
    <xf numFmtId="0" fontId="0" fillId="0" borderId="29" xfId="0" applyBorder="1" applyAlignment="1">
      <alignment horizontal="right"/>
    </xf>
    <xf numFmtId="170" fontId="0" fillId="0" borderId="30" xfId="0" applyNumberFormat="1" applyBorder="1" applyAlignment="1">
      <alignment horizontal="center" vertical="center"/>
    </xf>
    <xf numFmtId="170" fontId="0" fillId="0" borderId="32" xfId="0" applyNumberFormat="1" applyBorder="1" applyAlignment="1">
      <alignment horizontal="center" vertical="center"/>
    </xf>
    <xf numFmtId="170" fontId="0" fillId="0" borderId="35" xfId="0" applyNumberFormat="1" applyBorder="1" applyAlignment="1">
      <alignment horizontal="center" vertical="center"/>
    </xf>
    <xf numFmtId="0" fontId="0" fillId="0" borderId="34" xfId="0" applyBorder="1" applyAlignment="1">
      <alignment horizontal="center"/>
    </xf>
    <xf numFmtId="0" fontId="35" fillId="13" borderId="0" xfId="1" applyNumberFormat="1" applyFont="1" applyFill="1" applyBorder="1" applyAlignment="1">
      <alignment horizontal="center" vertical="top" wrapText="1"/>
    </xf>
    <xf numFmtId="0" fontId="35" fillId="13" borderId="25" xfId="1" applyNumberFormat="1" applyFont="1" applyFill="1" applyBorder="1" applyAlignment="1">
      <alignment horizontal="center" vertical="top" wrapText="1"/>
    </xf>
    <xf numFmtId="0" fontId="35" fillId="13" borderId="0" xfId="1" applyNumberFormat="1" applyFont="1" applyFill="1" applyBorder="1" applyAlignment="1">
      <alignment horizontal="center" vertical="center" wrapText="1"/>
    </xf>
    <xf numFmtId="0" fontId="35" fillId="13" borderId="25" xfId="1" applyNumberFormat="1" applyFont="1" applyFill="1" applyBorder="1" applyAlignment="1">
      <alignment horizontal="center" vertical="center" wrapText="1"/>
    </xf>
    <xf numFmtId="44" fontId="35" fillId="13" borderId="0" xfId="2" applyFont="1" applyFill="1" applyBorder="1" applyAlignment="1">
      <alignment horizontal="center" vertical="center" wrapText="1"/>
    </xf>
    <xf numFmtId="44" fontId="35" fillId="13" borderId="25" xfId="2" applyFont="1" applyFill="1" applyBorder="1" applyAlignment="1">
      <alignment horizontal="center" vertical="center" wrapText="1"/>
    </xf>
    <xf numFmtId="2" fontId="18" fillId="20" borderId="11" xfId="3" applyNumberFormat="1" applyFont="1" applyFill="1" applyBorder="1" applyAlignment="1">
      <alignment horizontal="center" vertical="center" wrapText="1"/>
    </xf>
    <xf numFmtId="2" fontId="18" fillId="20" borderId="12" xfId="3" applyNumberFormat="1" applyFont="1" applyFill="1" applyBorder="1" applyAlignment="1">
      <alignment horizontal="center" vertical="center" wrapText="1"/>
    </xf>
    <xf numFmtId="0" fontId="13" fillId="4" borderId="1" xfId="5" applyFont="1" applyFill="1" applyBorder="1" applyAlignment="1">
      <alignment horizontal="left" wrapText="1"/>
    </xf>
    <xf numFmtId="2" fontId="18" fillId="20" borderId="11" xfId="3" applyNumberFormat="1" applyFont="1" applyFill="1" applyBorder="1" applyAlignment="1">
      <alignment horizontal="center" vertical="center"/>
    </xf>
    <xf numFmtId="2" fontId="18" fillId="20" borderId="12" xfId="3" applyNumberFormat="1" applyFont="1" applyFill="1" applyBorder="1" applyAlignment="1">
      <alignment horizontal="center" vertical="center"/>
    </xf>
    <xf numFmtId="2" fontId="18" fillId="3" borderId="11" xfId="3" applyNumberFormat="1" applyFont="1" applyBorder="1" applyAlignment="1">
      <alignment horizontal="center" vertical="center"/>
    </xf>
    <xf numFmtId="2" fontId="18" fillId="3" borderId="12" xfId="3" applyNumberFormat="1" applyFont="1" applyBorder="1" applyAlignment="1">
      <alignment horizontal="center" vertical="center"/>
    </xf>
    <xf numFmtId="49" fontId="10" fillId="4" borderId="8" xfId="3" applyNumberFormat="1" applyFont="1" applyFill="1" applyBorder="1" applyAlignment="1">
      <alignment horizontal="center"/>
    </xf>
    <xf numFmtId="0" fontId="10" fillId="3" borderId="8" xfId="3" applyFont="1" applyBorder="1" applyAlignment="1">
      <alignment horizontal="center"/>
    </xf>
    <xf numFmtId="0" fontId="10" fillId="0" borderId="0" xfId="5" applyFont="1" applyAlignment="1">
      <alignment horizontal="center"/>
    </xf>
    <xf numFmtId="49" fontId="14" fillId="4" borderId="7" xfId="5" applyNumberFormat="1" applyFont="1" applyFill="1" applyBorder="1" applyAlignment="1">
      <alignment horizontal="center"/>
    </xf>
    <xf numFmtId="0" fontId="14" fillId="0" borderId="7" xfId="5" applyFont="1" applyBorder="1" applyAlignment="1">
      <alignment horizontal="center"/>
    </xf>
    <xf numFmtId="49" fontId="15" fillId="4" borderId="7" xfId="3" applyNumberFormat="1" applyFont="1" applyFill="1" applyBorder="1" applyAlignment="1">
      <alignment horizontal="center"/>
    </xf>
    <xf numFmtId="49" fontId="16" fillId="4" borderId="7" xfId="3" applyNumberFormat="1" applyFont="1" applyFill="1" applyBorder="1" applyAlignment="1">
      <alignment horizontal="center"/>
    </xf>
    <xf numFmtId="0" fontId="16" fillId="3" borderId="7" xfId="3" applyFont="1" applyBorder="1" applyAlignment="1">
      <alignment horizontal="center"/>
    </xf>
    <xf numFmtId="49" fontId="10" fillId="4" borderId="7" xfId="3" applyNumberFormat="1" applyFont="1" applyFill="1" applyBorder="1" applyAlignment="1">
      <alignment horizontal="center"/>
    </xf>
    <xf numFmtId="0" fontId="10" fillId="3" borderId="7" xfId="3" applyFont="1" applyBorder="1" applyAlignment="1">
      <alignment horizontal="center"/>
    </xf>
    <xf numFmtId="0" fontId="7" fillId="3" borderId="11" xfId="3" applyFont="1" applyBorder="1" applyAlignment="1">
      <alignment horizontal="center" vertical="center"/>
    </xf>
    <xf numFmtId="0" fontId="7" fillId="3" borderId="12" xfId="3" applyFont="1" applyBorder="1" applyAlignment="1">
      <alignment horizontal="center" vertical="center"/>
    </xf>
    <xf numFmtId="0" fontId="7" fillId="5" borderId="9" xfId="3" applyFont="1" applyFill="1" applyBorder="1" applyAlignment="1">
      <alignment horizontal="center" vertical="center"/>
    </xf>
    <xf numFmtId="0" fontId="7" fillId="5" borderId="10" xfId="3" applyFont="1" applyFill="1" applyBorder="1" applyAlignment="1">
      <alignment horizontal="center" vertical="center"/>
    </xf>
    <xf numFmtId="0" fontId="7" fillId="6" borderId="9" xfId="3" applyFont="1" applyFill="1" applyBorder="1" applyAlignment="1">
      <alignment horizontal="center" vertical="center"/>
    </xf>
    <xf numFmtId="0" fontId="7" fillId="6" borderId="10" xfId="3" applyFont="1" applyFill="1" applyBorder="1" applyAlignment="1">
      <alignment horizontal="center" vertical="center"/>
    </xf>
    <xf numFmtId="0" fontId="7" fillId="7" borderId="9" xfId="3" applyFont="1" applyFill="1" applyBorder="1" applyAlignment="1">
      <alignment horizontal="center" vertical="center"/>
    </xf>
    <xf numFmtId="0" fontId="7" fillId="7" borderId="10" xfId="3" applyFont="1" applyFill="1" applyBorder="1" applyAlignment="1">
      <alignment horizontal="center" vertical="center"/>
    </xf>
    <xf numFmtId="0" fontId="15" fillId="4" borderId="16" xfId="3" applyFont="1" applyFill="1" applyBorder="1" applyAlignment="1">
      <alignment horizontal="center"/>
    </xf>
    <xf numFmtId="0" fontId="13" fillId="3" borderId="16" xfId="3" applyFont="1" applyBorder="1" applyAlignment="1">
      <alignment horizontal="center"/>
    </xf>
    <xf numFmtId="0" fontId="20" fillId="0" borderId="1" xfId="7" applyNumberFormat="1" applyFont="1" applyFill="1" applyBorder="1" applyAlignment="1">
      <alignment horizontal="center"/>
    </xf>
    <xf numFmtId="0" fontId="18" fillId="20" borderId="14" xfId="3" applyFont="1" applyFill="1" applyBorder="1" applyAlignment="1">
      <alignment horizontal="center" vertical="center"/>
    </xf>
    <xf numFmtId="0" fontId="18" fillId="20" borderId="15" xfId="3" applyFont="1" applyFill="1" applyBorder="1" applyAlignment="1">
      <alignment horizontal="center" vertical="center"/>
    </xf>
    <xf numFmtId="0" fontId="7" fillId="7" borderId="14" xfId="3" applyFont="1" applyFill="1" applyBorder="1" applyAlignment="1">
      <alignment horizontal="center" vertical="center"/>
    </xf>
    <xf numFmtId="0" fontId="7" fillId="7" borderId="15" xfId="3" applyFont="1" applyFill="1" applyBorder="1" applyAlignment="1">
      <alignment horizontal="center" vertical="center"/>
    </xf>
    <xf numFmtId="49" fontId="17" fillId="4" borderId="8" xfId="5" applyNumberFormat="1" applyFont="1" applyFill="1" applyBorder="1" applyAlignment="1">
      <alignment horizontal="center"/>
    </xf>
    <xf numFmtId="0" fontId="17" fillId="0" borderId="8" xfId="5" applyFont="1" applyBorder="1" applyAlignment="1">
      <alignment horizontal="center"/>
    </xf>
    <xf numFmtId="49" fontId="10" fillId="4" borderId="13" xfId="3" applyNumberFormat="1" applyFont="1" applyFill="1" applyBorder="1" applyAlignment="1">
      <alignment horizontal="center"/>
    </xf>
    <xf numFmtId="0" fontId="10" fillId="4" borderId="13" xfId="3" applyFont="1" applyFill="1" applyBorder="1" applyAlignment="1">
      <alignment horizontal="center"/>
    </xf>
    <xf numFmtId="0" fontId="20" fillId="4" borderId="11" xfId="7" applyNumberFormat="1" applyFont="1" applyFill="1" applyBorder="1" applyAlignment="1">
      <alignment horizontal="right"/>
    </xf>
    <xf numFmtId="0" fontId="20" fillId="4" borderId="18" xfId="7" applyNumberFormat="1" applyFont="1" applyFill="1" applyBorder="1" applyAlignment="1">
      <alignment horizontal="right"/>
    </xf>
    <xf numFmtId="0" fontId="20" fillId="4" borderId="12" xfId="7" applyNumberFormat="1" applyFont="1" applyFill="1" applyBorder="1" applyAlignment="1">
      <alignment horizontal="right"/>
    </xf>
    <xf numFmtId="0" fontId="20" fillId="4" borderId="1" xfId="7" applyNumberFormat="1" applyFont="1" applyFill="1" applyBorder="1" applyAlignment="1">
      <alignment horizontal="center"/>
    </xf>
    <xf numFmtId="0" fontId="20" fillId="4" borderId="1" xfId="7" applyNumberFormat="1" applyFont="1" applyFill="1" applyBorder="1" applyAlignment="1">
      <alignment horizontal="right"/>
    </xf>
    <xf numFmtId="0" fontId="20" fillId="4" borderId="1" xfId="7" applyNumberFormat="1" applyFont="1" applyFill="1" applyBorder="1" applyAlignment="1">
      <alignment horizontal="center" vertical="center"/>
    </xf>
    <xf numFmtId="0" fontId="20" fillId="2" borderId="1" xfId="7" applyNumberFormat="1" applyFont="1" applyFill="1" applyBorder="1" applyAlignment="1">
      <alignment horizontal="center"/>
    </xf>
    <xf numFmtId="0" fontId="15" fillId="4" borderId="0" xfId="3" applyFont="1" applyFill="1" applyAlignment="1">
      <alignment horizontal="left" wrapText="1"/>
    </xf>
    <xf numFmtId="17" fontId="5" fillId="4" borderId="0" xfId="3" applyNumberFormat="1" applyFill="1"/>
    <xf numFmtId="0" fontId="28" fillId="4" borderId="0" xfId="3" applyFont="1" applyFill="1" applyAlignment="1">
      <alignment horizontal="center" vertical="center" wrapText="1"/>
    </xf>
    <xf numFmtId="49" fontId="26" fillId="4" borderId="0" xfId="3" applyNumberFormat="1" applyFont="1" applyFill="1" applyAlignment="1">
      <alignment horizontal="center" vertical="center"/>
    </xf>
    <xf numFmtId="0" fontId="5" fillId="4" borderId="19" xfId="3" applyFill="1" applyBorder="1" applyAlignment="1">
      <alignment horizontal="center"/>
    </xf>
    <xf numFmtId="0" fontId="10" fillId="4" borderId="0" xfId="3" applyFont="1" applyFill="1" applyAlignment="1">
      <alignment horizontal="center" wrapText="1"/>
    </xf>
    <xf numFmtId="14" fontId="9" fillId="4" borderId="0" xfId="3" applyNumberFormat="1" applyFont="1" applyFill="1" applyAlignment="1">
      <alignment horizontal="center"/>
    </xf>
    <xf numFmtId="0" fontId="9" fillId="3" borderId="0" xfId="3" applyFont="1" applyAlignment="1">
      <alignment horizontal="center"/>
    </xf>
    <xf numFmtId="0" fontId="17" fillId="2" borderId="0" xfId="3" applyFont="1" applyFill="1" applyAlignment="1">
      <alignment horizontal="left" vertical="center"/>
    </xf>
    <xf numFmtId="166" fontId="15" fillId="2" borderId="0" xfId="3" applyNumberFormat="1" applyFont="1" applyFill="1" applyAlignment="1">
      <alignment horizontal="center" vertical="center" wrapText="1"/>
    </xf>
    <xf numFmtId="0" fontId="20" fillId="0" borderId="11" xfId="7" applyNumberFormat="1" applyFont="1" applyFill="1" applyBorder="1" applyAlignment="1">
      <alignment horizontal="center"/>
    </xf>
    <xf numFmtId="0" fontId="20" fillId="0" borderId="18" xfId="7" applyNumberFormat="1" applyFont="1" applyFill="1" applyBorder="1" applyAlignment="1">
      <alignment horizontal="center"/>
    </xf>
    <xf numFmtId="0" fontId="20" fillId="0" borderId="12" xfId="7" applyNumberFormat="1" applyFont="1" applyFill="1" applyBorder="1" applyAlignment="1">
      <alignment horizontal="center"/>
    </xf>
  </cellXfs>
  <cellStyles count="8">
    <cellStyle name="Millares" xfId="1" builtinId="3"/>
    <cellStyle name="Millares 2 2 2" xfId="6" xr:uid="{0B6B7C57-EB93-4198-9DC0-90BE7955E158}"/>
    <cellStyle name="Millares 6 2" xfId="4" xr:uid="{9DB40032-E122-4EC0-B32F-7A6DF6182FDC}"/>
    <cellStyle name="Moneda" xfId="2" builtinId="4"/>
    <cellStyle name="Moneda 2_REQUISICIONES E2 102 A LA 106 2 2" xfId="7" xr:uid="{9DF1C181-6F79-4B50-BD44-A88BFBB993E9}"/>
    <cellStyle name="Normal" xfId="0" builtinId="0"/>
    <cellStyle name="Normal 3" xfId="5" xr:uid="{DBACFFDA-8B06-4D76-8638-9CC1F1F55967}"/>
    <cellStyle name="Normal_MISION CAPISTRANO" xfId="3" xr:uid="{1660C892-DC8B-4B1A-A6EC-F7E6698A5E08}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" name="PORDB6">
          <a:extLst>
            <a:ext uri="{FF2B5EF4-FFF2-40B4-BE49-F238E27FC236}">
              <a16:creationId xmlns:a16="http://schemas.microsoft.com/office/drawing/2014/main" id="{1514CCAC-BE02-44A5-9939-DA0CB78A2FE8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" name="PORDB6">
          <a:extLst>
            <a:ext uri="{FF2B5EF4-FFF2-40B4-BE49-F238E27FC236}">
              <a16:creationId xmlns:a16="http://schemas.microsoft.com/office/drawing/2014/main" id="{1243971D-7D87-49B8-B520-D1E035652F1D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" name="PORDB6">
          <a:extLst>
            <a:ext uri="{FF2B5EF4-FFF2-40B4-BE49-F238E27FC236}">
              <a16:creationId xmlns:a16="http://schemas.microsoft.com/office/drawing/2014/main" id="{E746922C-4F82-4A25-944F-32A1D94111EA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" name="PORDB6">
          <a:extLst>
            <a:ext uri="{FF2B5EF4-FFF2-40B4-BE49-F238E27FC236}">
              <a16:creationId xmlns:a16="http://schemas.microsoft.com/office/drawing/2014/main" id="{38CF83F0-C449-4AE3-8642-6933AE596E4E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" name="PORDB6">
          <a:extLst>
            <a:ext uri="{FF2B5EF4-FFF2-40B4-BE49-F238E27FC236}">
              <a16:creationId xmlns:a16="http://schemas.microsoft.com/office/drawing/2014/main" id="{B4C0B746-6D6E-48BF-8D98-2560891E8702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" name="PORDB6">
          <a:extLst>
            <a:ext uri="{FF2B5EF4-FFF2-40B4-BE49-F238E27FC236}">
              <a16:creationId xmlns:a16="http://schemas.microsoft.com/office/drawing/2014/main" id="{039AF9D8-0495-47A7-BD3C-5787626AC97D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" name="PORDB6">
          <a:extLst>
            <a:ext uri="{FF2B5EF4-FFF2-40B4-BE49-F238E27FC236}">
              <a16:creationId xmlns:a16="http://schemas.microsoft.com/office/drawing/2014/main" id="{72DB3685-C077-4E3E-B580-31F3B07D5FA5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9" name="PORDB6">
          <a:extLst>
            <a:ext uri="{FF2B5EF4-FFF2-40B4-BE49-F238E27FC236}">
              <a16:creationId xmlns:a16="http://schemas.microsoft.com/office/drawing/2014/main" id="{89958645-F4A6-441E-8CDB-36D042AA8253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0" name="PORDB6">
          <a:extLst>
            <a:ext uri="{FF2B5EF4-FFF2-40B4-BE49-F238E27FC236}">
              <a16:creationId xmlns:a16="http://schemas.microsoft.com/office/drawing/2014/main" id="{A9A557BE-55BB-4B94-8B3C-3F73F655B758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1" name="PORDB6">
          <a:extLst>
            <a:ext uri="{FF2B5EF4-FFF2-40B4-BE49-F238E27FC236}">
              <a16:creationId xmlns:a16="http://schemas.microsoft.com/office/drawing/2014/main" id="{378F448A-14D0-4637-9DEC-7ABB34D34EE7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2" name="PORDB6">
          <a:extLst>
            <a:ext uri="{FF2B5EF4-FFF2-40B4-BE49-F238E27FC236}">
              <a16:creationId xmlns:a16="http://schemas.microsoft.com/office/drawing/2014/main" id="{6B0458E4-7548-484D-8571-372C0EE5C5EE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3" name="PORDB6">
          <a:extLst>
            <a:ext uri="{FF2B5EF4-FFF2-40B4-BE49-F238E27FC236}">
              <a16:creationId xmlns:a16="http://schemas.microsoft.com/office/drawing/2014/main" id="{5E817B0E-5ED3-404F-B350-D5096925562C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4" name="PORDB6">
          <a:extLst>
            <a:ext uri="{FF2B5EF4-FFF2-40B4-BE49-F238E27FC236}">
              <a16:creationId xmlns:a16="http://schemas.microsoft.com/office/drawing/2014/main" id="{F8C21A5C-0EDF-4F0B-BECE-F31962060E00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5" name="PORDB6">
          <a:extLst>
            <a:ext uri="{FF2B5EF4-FFF2-40B4-BE49-F238E27FC236}">
              <a16:creationId xmlns:a16="http://schemas.microsoft.com/office/drawing/2014/main" id="{139A6197-BF91-465A-BA61-7DADC895D63B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6" name="PORDB6">
          <a:extLst>
            <a:ext uri="{FF2B5EF4-FFF2-40B4-BE49-F238E27FC236}">
              <a16:creationId xmlns:a16="http://schemas.microsoft.com/office/drawing/2014/main" id="{41DEBE23-93FB-44AC-8648-BB3B8FF7A08E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7" name="PORDB6">
          <a:extLst>
            <a:ext uri="{FF2B5EF4-FFF2-40B4-BE49-F238E27FC236}">
              <a16:creationId xmlns:a16="http://schemas.microsoft.com/office/drawing/2014/main" id="{050C3436-36EF-4177-BC45-0ABE60266F49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8" name="PORDB6">
          <a:extLst>
            <a:ext uri="{FF2B5EF4-FFF2-40B4-BE49-F238E27FC236}">
              <a16:creationId xmlns:a16="http://schemas.microsoft.com/office/drawing/2014/main" id="{4BC19338-1C9F-4DB1-9FA0-83EAA0710CAD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9" name="PORDB6">
          <a:extLst>
            <a:ext uri="{FF2B5EF4-FFF2-40B4-BE49-F238E27FC236}">
              <a16:creationId xmlns:a16="http://schemas.microsoft.com/office/drawing/2014/main" id="{B0AB2EF1-598C-48DE-86E8-B85C2B49C068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0" name="PORDB6">
          <a:extLst>
            <a:ext uri="{FF2B5EF4-FFF2-40B4-BE49-F238E27FC236}">
              <a16:creationId xmlns:a16="http://schemas.microsoft.com/office/drawing/2014/main" id="{BF0BB0BF-A0DA-4653-96FF-305D60EE4017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1" name="PORDB6">
          <a:extLst>
            <a:ext uri="{FF2B5EF4-FFF2-40B4-BE49-F238E27FC236}">
              <a16:creationId xmlns:a16="http://schemas.microsoft.com/office/drawing/2014/main" id="{644FC72F-C110-4BB6-B785-E39BB80BF268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2" name="PORDB6">
          <a:extLst>
            <a:ext uri="{FF2B5EF4-FFF2-40B4-BE49-F238E27FC236}">
              <a16:creationId xmlns:a16="http://schemas.microsoft.com/office/drawing/2014/main" id="{31CF065D-E809-4A97-9FEA-5C81A1AA5E9C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3" name="PORDB6">
          <a:extLst>
            <a:ext uri="{FF2B5EF4-FFF2-40B4-BE49-F238E27FC236}">
              <a16:creationId xmlns:a16="http://schemas.microsoft.com/office/drawing/2014/main" id="{86A29FD0-8244-490F-BDE8-95299916AE52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4" name="PORDB6">
          <a:extLst>
            <a:ext uri="{FF2B5EF4-FFF2-40B4-BE49-F238E27FC236}">
              <a16:creationId xmlns:a16="http://schemas.microsoft.com/office/drawing/2014/main" id="{F7FD6F16-9FC0-4907-B699-1044B1065DB6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5" name="PORDB6">
          <a:extLst>
            <a:ext uri="{FF2B5EF4-FFF2-40B4-BE49-F238E27FC236}">
              <a16:creationId xmlns:a16="http://schemas.microsoft.com/office/drawing/2014/main" id="{E64BEAD9-82B3-458C-A3B3-8CC82F1275DC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6" name="PORDB6">
          <a:extLst>
            <a:ext uri="{FF2B5EF4-FFF2-40B4-BE49-F238E27FC236}">
              <a16:creationId xmlns:a16="http://schemas.microsoft.com/office/drawing/2014/main" id="{51992F8A-0C66-4A47-ACC4-3B2E8B624F86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7" name="PORDB6">
          <a:extLst>
            <a:ext uri="{FF2B5EF4-FFF2-40B4-BE49-F238E27FC236}">
              <a16:creationId xmlns:a16="http://schemas.microsoft.com/office/drawing/2014/main" id="{6DBB86D8-CEAF-4145-9C31-23D95F7720DE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8" name="PORDB6">
          <a:extLst>
            <a:ext uri="{FF2B5EF4-FFF2-40B4-BE49-F238E27FC236}">
              <a16:creationId xmlns:a16="http://schemas.microsoft.com/office/drawing/2014/main" id="{A326B631-53C6-47D8-9DEA-EF460301F6C5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9" name="PORDB6">
          <a:extLst>
            <a:ext uri="{FF2B5EF4-FFF2-40B4-BE49-F238E27FC236}">
              <a16:creationId xmlns:a16="http://schemas.microsoft.com/office/drawing/2014/main" id="{2BA0ED23-2634-4507-8379-7CD67F9ED001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0" name="PORDB6">
          <a:extLst>
            <a:ext uri="{FF2B5EF4-FFF2-40B4-BE49-F238E27FC236}">
              <a16:creationId xmlns:a16="http://schemas.microsoft.com/office/drawing/2014/main" id="{17EFAEEA-C983-4866-A41E-FE198177F125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1" name="PORDB6">
          <a:extLst>
            <a:ext uri="{FF2B5EF4-FFF2-40B4-BE49-F238E27FC236}">
              <a16:creationId xmlns:a16="http://schemas.microsoft.com/office/drawing/2014/main" id="{C417F1F3-7DC3-4115-9319-2680221A33FA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2" name="PORDB6">
          <a:extLst>
            <a:ext uri="{FF2B5EF4-FFF2-40B4-BE49-F238E27FC236}">
              <a16:creationId xmlns:a16="http://schemas.microsoft.com/office/drawing/2014/main" id="{58D226E0-2977-4117-9C6C-2C724BA5A254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3" name="PORDB6">
          <a:extLst>
            <a:ext uri="{FF2B5EF4-FFF2-40B4-BE49-F238E27FC236}">
              <a16:creationId xmlns:a16="http://schemas.microsoft.com/office/drawing/2014/main" id="{CA2CCAF7-BD18-41B4-BD9E-F9B27650642A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4" name="PORDB6">
          <a:extLst>
            <a:ext uri="{FF2B5EF4-FFF2-40B4-BE49-F238E27FC236}">
              <a16:creationId xmlns:a16="http://schemas.microsoft.com/office/drawing/2014/main" id="{E9A0C89E-961C-4DAC-B4ED-90F7715AE82B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5" name="PORDB6">
          <a:extLst>
            <a:ext uri="{FF2B5EF4-FFF2-40B4-BE49-F238E27FC236}">
              <a16:creationId xmlns:a16="http://schemas.microsoft.com/office/drawing/2014/main" id="{C71A231A-C9A3-401C-9F47-DE8D620D2432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6" name="PORDB6">
          <a:extLst>
            <a:ext uri="{FF2B5EF4-FFF2-40B4-BE49-F238E27FC236}">
              <a16:creationId xmlns:a16="http://schemas.microsoft.com/office/drawing/2014/main" id="{0B44DE9A-404B-4451-A66A-C9AAE840C1AF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7" name="PORDB6">
          <a:extLst>
            <a:ext uri="{FF2B5EF4-FFF2-40B4-BE49-F238E27FC236}">
              <a16:creationId xmlns:a16="http://schemas.microsoft.com/office/drawing/2014/main" id="{373D8745-87A6-4ADB-ADFA-B690D23D485C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8" name="PORDB6">
          <a:extLst>
            <a:ext uri="{FF2B5EF4-FFF2-40B4-BE49-F238E27FC236}">
              <a16:creationId xmlns:a16="http://schemas.microsoft.com/office/drawing/2014/main" id="{26D07473-E294-4F6F-BE66-1233DA7F469E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9" name="PORDB6">
          <a:extLst>
            <a:ext uri="{FF2B5EF4-FFF2-40B4-BE49-F238E27FC236}">
              <a16:creationId xmlns:a16="http://schemas.microsoft.com/office/drawing/2014/main" id="{F817C322-EE9A-4FE7-BD2B-7D3D34C7DFE6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0" name="PORDB6">
          <a:extLst>
            <a:ext uri="{FF2B5EF4-FFF2-40B4-BE49-F238E27FC236}">
              <a16:creationId xmlns:a16="http://schemas.microsoft.com/office/drawing/2014/main" id="{D969F72E-ADD3-46B1-8954-D7E7DD34E06C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1" name="PORDB6">
          <a:extLst>
            <a:ext uri="{FF2B5EF4-FFF2-40B4-BE49-F238E27FC236}">
              <a16:creationId xmlns:a16="http://schemas.microsoft.com/office/drawing/2014/main" id="{E8CBF464-B31D-45E3-9C93-7DEBD7012C88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2" name="PORDB6">
          <a:extLst>
            <a:ext uri="{FF2B5EF4-FFF2-40B4-BE49-F238E27FC236}">
              <a16:creationId xmlns:a16="http://schemas.microsoft.com/office/drawing/2014/main" id="{9CE38090-803D-402E-A5CC-9F87CC973658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3" name="PORDB6">
          <a:extLst>
            <a:ext uri="{FF2B5EF4-FFF2-40B4-BE49-F238E27FC236}">
              <a16:creationId xmlns:a16="http://schemas.microsoft.com/office/drawing/2014/main" id="{AC25522A-26E9-4F85-84CE-9D65CEDE7F02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4" name="PORDB6">
          <a:extLst>
            <a:ext uri="{FF2B5EF4-FFF2-40B4-BE49-F238E27FC236}">
              <a16:creationId xmlns:a16="http://schemas.microsoft.com/office/drawing/2014/main" id="{FCFDC504-B9B0-4ED0-85BC-4F5F4445B454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5" name="PORDB6">
          <a:extLst>
            <a:ext uri="{FF2B5EF4-FFF2-40B4-BE49-F238E27FC236}">
              <a16:creationId xmlns:a16="http://schemas.microsoft.com/office/drawing/2014/main" id="{D4774B42-5EFF-4291-9A9D-BDFFB0B0EFC4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6" name="PORDB6">
          <a:extLst>
            <a:ext uri="{FF2B5EF4-FFF2-40B4-BE49-F238E27FC236}">
              <a16:creationId xmlns:a16="http://schemas.microsoft.com/office/drawing/2014/main" id="{67550AF2-C7E3-4C86-A13F-235A0EBCBE8D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7" name="PORDB6">
          <a:extLst>
            <a:ext uri="{FF2B5EF4-FFF2-40B4-BE49-F238E27FC236}">
              <a16:creationId xmlns:a16="http://schemas.microsoft.com/office/drawing/2014/main" id="{54C11C8E-63F6-44CA-BC8D-B2A043C481B6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8" name="PORDB6">
          <a:extLst>
            <a:ext uri="{FF2B5EF4-FFF2-40B4-BE49-F238E27FC236}">
              <a16:creationId xmlns:a16="http://schemas.microsoft.com/office/drawing/2014/main" id="{EA85A6BF-A00F-42E9-A115-0882CF319DDF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9" name="PORDB6">
          <a:extLst>
            <a:ext uri="{FF2B5EF4-FFF2-40B4-BE49-F238E27FC236}">
              <a16:creationId xmlns:a16="http://schemas.microsoft.com/office/drawing/2014/main" id="{85F22A00-AB03-413D-9E33-50AE7C1AC490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0" name="PORDB6">
          <a:extLst>
            <a:ext uri="{FF2B5EF4-FFF2-40B4-BE49-F238E27FC236}">
              <a16:creationId xmlns:a16="http://schemas.microsoft.com/office/drawing/2014/main" id="{47808141-A767-4505-805D-3F4C79D70325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1" name="PORDB6">
          <a:extLst>
            <a:ext uri="{FF2B5EF4-FFF2-40B4-BE49-F238E27FC236}">
              <a16:creationId xmlns:a16="http://schemas.microsoft.com/office/drawing/2014/main" id="{B4973D86-C458-4A0C-B90D-E51CBF5BCC1D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2" name="PORDB6">
          <a:extLst>
            <a:ext uri="{FF2B5EF4-FFF2-40B4-BE49-F238E27FC236}">
              <a16:creationId xmlns:a16="http://schemas.microsoft.com/office/drawing/2014/main" id="{0794C8E2-8223-4008-8983-D624DD478AE1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3" name="PORDB6">
          <a:extLst>
            <a:ext uri="{FF2B5EF4-FFF2-40B4-BE49-F238E27FC236}">
              <a16:creationId xmlns:a16="http://schemas.microsoft.com/office/drawing/2014/main" id="{A7508B08-4BCD-46B2-9C36-085FC76D075F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4" name="PORDB6">
          <a:extLst>
            <a:ext uri="{FF2B5EF4-FFF2-40B4-BE49-F238E27FC236}">
              <a16:creationId xmlns:a16="http://schemas.microsoft.com/office/drawing/2014/main" id="{02E974B3-2AAD-437D-BA41-7874AD7123E6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5" name="PORDB6">
          <a:extLst>
            <a:ext uri="{FF2B5EF4-FFF2-40B4-BE49-F238E27FC236}">
              <a16:creationId xmlns:a16="http://schemas.microsoft.com/office/drawing/2014/main" id="{12199A22-7B13-44D6-AA0E-32D3A2AD790A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6" name="PORDB6">
          <a:extLst>
            <a:ext uri="{FF2B5EF4-FFF2-40B4-BE49-F238E27FC236}">
              <a16:creationId xmlns:a16="http://schemas.microsoft.com/office/drawing/2014/main" id="{D629D325-FB99-430A-AAB7-DBA1576721DB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7" name="PORDB6">
          <a:extLst>
            <a:ext uri="{FF2B5EF4-FFF2-40B4-BE49-F238E27FC236}">
              <a16:creationId xmlns:a16="http://schemas.microsoft.com/office/drawing/2014/main" id="{D9DF9E79-3212-4D29-8031-6444FAD73ECD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8" name="PORDB6">
          <a:extLst>
            <a:ext uri="{FF2B5EF4-FFF2-40B4-BE49-F238E27FC236}">
              <a16:creationId xmlns:a16="http://schemas.microsoft.com/office/drawing/2014/main" id="{BF0BD339-63E2-422B-825C-3DF2FACB715C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9" name="PORDB6">
          <a:extLst>
            <a:ext uri="{FF2B5EF4-FFF2-40B4-BE49-F238E27FC236}">
              <a16:creationId xmlns:a16="http://schemas.microsoft.com/office/drawing/2014/main" id="{4DF97A3C-CE2A-4B06-82B4-32E8529ABBD6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0" name="PORDB6">
          <a:extLst>
            <a:ext uri="{FF2B5EF4-FFF2-40B4-BE49-F238E27FC236}">
              <a16:creationId xmlns:a16="http://schemas.microsoft.com/office/drawing/2014/main" id="{BD065A90-C00A-4043-8DB0-9D7928FEFF8B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1" name="PORDB6">
          <a:extLst>
            <a:ext uri="{FF2B5EF4-FFF2-40B4-BE49-F238E27FC236}">
              <a16:creationId xmlns:a16="http://schemas.microsoft.com/office/drawing/2014/main" id="{CEBEB430-6194-4ED8-8096-2E11D5B5B63B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2" name="PORDB6">
          <a:extLst>
            <a:ext uri="{FF2B5EF4-FFF2-40B4-BE49-F238E27FC236}">
              <a16:creationId xmlns:a16="http://schemas.microsoft.com/office/drawing/2014/main" id="{15CD762D-B629-40FD-9143-AAC4829E95B0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3" name="PORDB6">
          <a:extLst>
            <a:ext uri="{FF2B5EF4-FFF2-40B4-BE49-F238E27FC236}">
              <a16:creationId xmlns:a16="http://schemas.microsoft.com/office/drawing/2014/main" id="{BA4F6E29-E1CC-406D-A961-F1AE68A0AD1E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4" name="PORDB6">
          <a:extLst>
            <a:ext uri="{FF2B5EF4-FFF2-40B4-BE49-F238E27FC236}">
              <a16:creationId xmlns:a16="http://schemas.microsoft.com/office/drawing/2014/main" id="{0A77AD73-59B1-4878-88AF-8099D3C296C3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5" name="PORDB6">
          <a:extLst>
            <a:ext uri="{FF2B5EF4-FFF2-40B4-BE49-F238E27FC236}">
              <a16:creationId xmlns:a16="http://schemas.microsoft.com/office/drawing/2014/main" id="{AFE9EC5D-33A8-4BC0-82F1-4AB0023DD513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6" name="PORDB6">
          <a:extLst>
            <a:ext uri="{FF2B5EF4-FFF2-40B4-BE49-F238E27FC236}">
              <a16:creationId xmlns:a16="http://schemas.microsoft.com/office/drawing/2014/main" id="{A68C1E89-D42F-4DD3-A4C5-50C6DC592710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7" name="PORDB6">
          <a:extLst>
            <a:ext uri="{FF2B5EF4-FFF2-40B4-BE49-F238E27FC236}">
              <a16:creationId xmlns:a16="http://schemas.microsoft.com/office/drawing/2014/main" id="{7D7C3A9A-0324-463E-8485-9C0A1F2EB015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8" name="PORDB6">
          <a:extLst>
            <a:ext uri="{FF2B5EF4-FFF2-40B4-BE49-F238E27FC236}">
              <a16:creationId xmlns:a16="http://schemas.microsoft.com/office/drawing/2014/main" id="{7670C919-D1F7-48C7-B1E2-1A30F071E1FB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9" name="PORDB6">
          <a:extLst>
            <a:ext uri="{FF2B5EF4-FFF2-40B4-BE49-F238E27FC236}">
              <a16:creationId xmlns:a16="http://schemas.microsoft.com/office/drawing/2014/main" id="{0EB3544D-FBD5-4910-91D9-004C0D94499D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0" name="PORDB6">
          <a:extLst>
            <a:ext uri="{FF2B5EF4-FFF2-40B4-BE49-F238E27FC236}">
              <a16:creationId xmlns:a16="http://schemas.microsoft.com/office/drawing/2014/main" id="{6F877DBB-3CC4-4F21-817A-5320B5BEBC52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1" name="PORDB6">
          <a:extLst>
            <a:ext uri="{FF2B5EF4-FFF2-40B4-BE49-F238E27FC236}">
              <a16:creationId xmlns:a16="http://schemas.microsoft.com/office/drawing/2014/main" id="{DA1C97DF-992C-4851-A686-5617C96C9713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2" name="PORDB6">
          <a:extLst>
            <a:ext uri="{FF2B5EF4-FFF2-40B4-BE49-F238E27FC236}">
              <a16:creationId xmlns:a16="http://schemas.microsoft.com/office/drawing/2014/main" id="{B2071E67-0056-4052-AF8F-6B0B05D2B9EA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3" name="PORDB6">
          <a:extLst>
            <a:ext uri="{FF2B5EF4-FFF2-40B4-BE49-F238E27FC236}">
              <a16:creationId xmlns:a16="http://schemas.microsoft.com/office/drawing/2014/main" id="{105AD843-1B0F-465B-BA77-3035D84CBA18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4" name="PORDB6">
          <a:extLst>
            <a:ext uri="{FF2B5EF4-FFF2-40B4-BE49-F238E27FC236}">
              <a16:creationId xmlns:a16="http://schemas.microsoft.com/office/drawing/2014/main" id="{B909C37C-BF1C-460A-9080-E53168011A0A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5" name="PORDB6">
          <a:extLst>
            <a:ext uri="{FF2B5EF4-FFF2-40B4-BE49-F238E27FC236}">
              <a16:creationId xmlns:a16="http://schemas.microsoft.com/office/drawing/2014/main" id="{129DCE98-BFC2-4442-849B-C6D286465617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6" name="PORDB6">
          <a:extLst>
            <a:ext uri="{FF2B5EF4-FFF2-40B4-BE49-F238E27FC236}">
              <a16:creationId xmlns:a16="http://schemas.microsoft.com/office/drawing/2014/main" id="{C3E411C2-F6DF-4E3A-803E-649880242FEA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7" name="PORDB6">
          <a:extLst>
            <a:ext uri="{FF2B5EF4-FFF2-40B4-BE49-F238E27FC236}">
              <a16:creationId xmlns:a16="http://schemas.microsoft.com/office/drawing/2014/main" id="{B90EAD5E-0DCC-4EC6-955F-A57941DB9DA3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8" name="PORDB6">
          <a:extLst>
            <a:ext uri="{FF2B5EF4-FFF2-40B4-BE49-F238E27FC236}">
              <a16:creationId xmlns:a16="http://schemas.microsoft.com/office/drawing/2014/main" id="{E408F59A-7887-42FA-AEA3-B5D15FCF4C3D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9" name="PORDB6">
          <a:extLst>
            <a:ext uri="{FF2B5EF4-FFF2-40B4-BE49-F238E27FC236}">
              <a16:creationId xmlns:a16="http://schemas.microsoft.com/office/drawing/2014/main" id="{B651D2B2-318C-4C58-B5B6-FCFB8DA1B31C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0" name="PORDB6">
          <a:extLst>
            <a:ext uri="{FF2B5EF4-FFF2-40B4-BE49-F238E27FC236}">
              <a16:creationId xmlns:a16="http://schemas.microsoft.com/office/drawing/2014/main" id="{0BC30AD2-C161-435D-B4BB-F1A67272A1A7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1" name="PORDB6">
          <a:extLst>
            <a:ext uri="{FF2B5EF4-FFF2-40B4-BE49-F238E27FC236}">
              <a16:creationId xmlns:a16="http://schemas.microsoft.com/office/drawing/2014/main" id="{34ECDBBA-F6C4-4C0F-A207-58C01E5628E0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2" name="PORDB6">
          <a:extLst>
            <a:ext uri="{FF2B5EF4-FFF2-40B4-BE49-F238E27FC236}">
              <a16:creationId xmlns:a16="http://schemas.microsoft.com/office/drawing/2014/main" id="{5DDE1CA1-241B-4B1E-8726-48E277A75C88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3" name="PORDB6">
          <a:extLst>
            <a:ext uri="{FF2B5EF4-FFF2-40B4-BE49-F238E27FC236}">
              <a16:creationId xmlns:a16="http://schemas.microsoft.com/office/drawing/2014/main" id="{706EE76F-0207-4676-A696-5C86259F223C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4" name="PORDB6">
          <a:extLst>
            <a:ext uri="{FF2B5EF4-FFF2-40B4-BE49-F238E27FC236}">
              <a16:creationId xmlns:a16="http://schemas.microsoft.com/office/drawing/2014/main" id="{484F7EEB-DF41-4215-96B0-1B07298A4987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5" name="PORDB6">
          <a:extLst>
            <a:ext uri="{FF2B5EF4-FFF2-40B4-BE49-F238E27FC236}">
              <a16:creationId xmlns:a16="http://schemas.microsoft.com/office/drawing/2014/main" id="{0C9EA287-F920-4588-8486-7E268261CCD6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6" name="PORDB6">
          <a:extLst>
            <a:ext uri="{FF2B5EF4-FFF2-40B4-BE49-F238E27FC236}">
              <a16:creationId xmlns:a16="http://schemas.microsoft.com/office/drawing/2014/main" id="{F0E5BD45-6B1B-4269-AD05-EBE5C9D77989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7" name="PORDB6">
          <a:extLst>
            <a:ext uri="{FF2B5EF4-FFF2-40B4-BE49-F238E27FC236}">
              <a16:creationId xmlns:a16="http://schemas.microsoft.com/office/drawing/2014/main" id="{518CEDC6-A55C-4C95-8AB6-A00EC61DAD44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8" name="PORDB6">
          <a:extLst>
            <a:ext uri="{FF2B5EF4-FFF2-40B4-BE49-F238E27FC236}">
              <a16:creationId xmlns:a16="http://schemas.microsoft.com/office/drawing/2014/main" id="{0B6B144A-B3A8-47EE-BDB4-5E17BCB9767A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9" name="PORDB6">
          <a:extLst>
            <a:ext uri="{FF2B5EF4-FFF2-40B4-BE49-F238E27FC236}">
              <a16:creationId xmlns:a16="http://schemas.microsoft.com/office/drawing/2014/main" id="{B68247DA-7D55-437E-BB37-A6E450D03FBD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90" name="PORDB6">
          <a:extLst>
            <a:ext uri="{FF2B5EF4-FFF2-40B4-BE49-F238E27FC236}">
              <a16:creationId xmlns:a16="http://schemas.microsoft.com/office/drawing/2014/main" id="{99D6B778-D00A-4C99-845B-F007CAD57F45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91" name="PORDB6">
          <a:extLst>
            <a:ext uri="{FF2B5EF4-FFF2-40B4-BE49-F238E27FC236}">
              <a16:creationId xmlns:a16="http://schemas.microsoft.com/office/drawing/2014/main" id="{FD8AD2FA-A6C5-4306-B1AB-FA35F8EBC151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92" name="PORDB6">
          <a:extLst>
            <a:ext uri="{FF2B5EF4-FFF2-40B4-BE49-F238E27FC236}">
              <a16:creationId xmlns:a16="http://schemas.microsoft.com/office/drawing/2014/main" id="{842B11E1-88CB-47EC-9BBE-3504EB9A3371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93" name="PORDB6">
          <a:extLst>
            <a:ext uri="{FF2B5EF4-FFF2-40B4-BE49-F238E27FC236}">
              <a16:creationId xmlns:a16="http://schemas.microsoft.com/office/drawing/2014/main" id="{588D188B-57DC-4118-9B60-FC0D95CF29AA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94" name="PORDB6">
          <a:extLst>
            <a:ext uri="{FF2B5EF4-FFF2-40B4-BE49-F238E27FC236}">
              <a16:creationId xmlns:a16="http://schemas.microsoft.com/office/drawing/2014/main" id="{18465FF1-3EF0-46E8-AA65-80EA3400ED59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95" name="PORDB6">
          <a:extLst>
            <a:ext uri="{FF2B5EF4-FFF2-40B4-BE49-F238E27FC236}">
              <a16:creationId xmlns:a16="http://schemas.microsoft.com/office/drawing/2014/main" id="{5B60E968-06BE-4838-A17F-32A4CC7E75B2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96" name="PORDB6">
          <a:extLst>
            <a:ext uri="{FF2B5EF4-FFF2-40B4-BE49-F238E27FC236}">
              <a16:creationId xmlns:a16="http://schemas.microsoft.com/office/drawing/2014/main" id="{C4DC64C9-DD68-4917-A217-B73F14F923D1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97" name="PORDB6">
          <a:extLst>
            <a:ext uri="{FF2B5EF4-FFF2-40B4-BE49-F238E27FC236}">
              <a16:creationId xmlns:a16="http://schemas.microsoft.com/office/drawing/2014/main" id="{15071482-C165-42DB-8584-62012FD01457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98" name="PORDB6">
          <a:extLst>
            <a:ext uri="{FF2B5EF4-FFF2-40B4-BE49-F238E27FC236}">
              <a16:creationId xmlns:a16="http://schemas.microsoft.com/office/drawing/2014/main" id="{C3130C51-0764-49BE-BCF0-9FD60D681374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99" name="PORDB6">
          <a:extLst>
            <a:ext uri="{FF2B5EF4-FFF2-40B4-BE49-F238E27FC236}">
              <a16:creationId xmlns:a16="http://schemas.microsoft.com/office/drawing/2014/main" id="{72D74768-F0A3-437E-B7D2-9A886A82BF18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00" name="PORDB6">
          <a:extLst>
            <a:ext uri="{FF2B5EF4-FFF2-40B4-BE49-F238E27FC236}">
              <a16:creationId xmlns:a16="http://schemas.microsoft.com/office/drawing/2014/main" id="{B8E58053-B4DF-4C06-9BF8-8D93306372E2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01" name="PORDB6">
          <a:extLst>
            <a:ext uri="{FF2B5EF4-FFF2-40B4-BE49-F238E27FC236}">
              <a16:creationId xmlns:a16="http://schemas.microsoft.com/office/drawing/2014/main" id="{A9B70A4A-584D-488A-9572-CE9321F0D1C4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02" name="PORDB6">
          <a:extLst>
            <a:ext uri="{FF2B5EF4-FFF2-40B4-BE49-F238E27FC236}">
              <a16:creationId xmlns:a16="http://schemas.microsoft.com/office/drawing/2014/main" id="{92734077-7B40-439B-BF11-8059E6F792F7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03" name="PORDB6">
          <a:extLst>
            <a:ext uri="{FF2B5EF4-FFF2-40B4-BE49-F238E27FC236}">
              <a16:creationId xmlns:a16="http://schemas.microsoft.com/office/drawing/2014/main" id="{CDEA21C6-F031-497D-BF18-A77206C05686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04" name="PORDB6">
          <a:extLst>
            <a:ext uri="{FF2B5EF4-FFF2-40B4-BE49-F238E27FC236}">
              <a16:creationId xmlns:a16="http://schemas.microsoft.com/office/drawing/2014/main" id="{B3A3DCB9-100D-4274-A9CC-67E7E5BA7B07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05" name="PORDB6">
          <a:extLst>
            <a:ext uri="{FF2B5EF4-FFF2-40B4-BE49-F238E27FC236}">
              <a16:creationId xmlns:a16="http://schemas.microsoft.com/office/drawing/2014/main" id="{634FE1BE-5418-4A73-9A0D-EA9B3B1CD84A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06" name="PORDB6">
          <a:extLst>
            <a:ext uri="{FF2B5EF4-FFF2-40B4-BE49-F238E27FC236}">
              <a16:creationId xmlns:a16="http://schemas.microsoft.com/office/drawing/2014/main" id="{B3F4E646-CF4E-45A5-8669-019BDF65B997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07" name="PORDB6">
          <a:extLst>
            <a:ext uri="{FF2B5EF4-FFF2-40B4-BE49-F238E27FC236}">
              <a16:creationId xmlns:a16="http://schemas.microsoft.com/office/drawing/2014/main" id="{26A81DA8-9E1E-43B8-93C6-D2AF158A277C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08" name="PORDB6">
          <a:extLst>
            <a:ext uri="{FF2B5EF4-FFF2-40B4-BE49-F238E27FC236}">
              <a16:creationId xmlns:a16="http://schemas.microsoft.com/office/drawing/2014/main" id="{EA2C239F-A63C-4EE1-A7FA-81093C99D0DB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09" name="PORDB6">
          <a:extLst>
            <a:ext uri="{FF2B5EF4-FFF2-40B4-BE49-F238E27FC236}">
              <a16:creationId xmlns:a16="http://schemas.microsoft.com/office/drawing/2014/main" id="{BF57A51E-7238-411C-9FC0-88CBFE6473C9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10" name="PORDB6">
          <a:extLst>
            <a:ext uri="{FF2B5EF4-FFF2-40B4-BE49-F238E27FC236}">
              <a16:creationId xmlns:a16="http://schemas.microsoft.com/office/drawing/2014/main" id="{BEB22EA3-CA21-4EDB-BC22-088A86E560D8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11" name="PORDB6">
          <a:extLst>
            <a:ext uri="{FF2B5EF4-FFF2-40B4-BE49-F238E27FC236}">
              <a16:creationId xmlns:a16="http://schemas.microsoft.com/office/drawing/2014/main" id="{162677C5-2363-413A-9B4D-03DAE0CA0CE1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12" name="PORDB6">
          <a:extLst>
            <a:ext uri="{FF2B5EF4-FFF2-40B4-BE49-F238E27FC236}">
              <a16:creationId xmlns:a16="http://schemas.microsoft.com/office/drawing/2014/main" id="{D7CF1E6C-280A-47D9-A5E2-4F8CA74FA9D0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13" name="PORDB6">
          <a:extLst>
            <a:ext uri="{FF2B5EF4-FFF2-40B4-BE49-F238E27FC236}">
              <a16:creationId xmlns:a16="http://schemas.microsoft.com/office/drawing/2014/main" id="{CBB3D719-3B3E-4027-A070-C4D013D4FE66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14" name="PORDB6">
          <a:extLst>
            <a:ext uri="{FF2B5EF4-FFF2-40B4-BE49-F238E27FC236}">
              <a16:creationId xmlns:a16="http://schemas.microsoft.com/office/drawing/2014/main" id="{45E0F6A3-56B7-4447-9088-6D30F257CBCF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15" name="PORDB6">
          <a:extLst>
            <a:ext uri="{FF2B5EF4-FFF2-40B4-BE49-F238E27FC236}">
              <a16:creationId xmlns:a16="http://schemas.microsoft.com/office/drawing/2014/main" id="{0B9D1193-D753-437F-8B3A-3C2751055A91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16" name="PORDB6">
          <a:extLst>
            <a:ext uri="{FF2B5EF4-FFF2-40B4-BE49-F238E27FC236}">
              <a16:creationId xmlns:a16="http://schemas.microsoft.com/office/drawing/2014/main" id="{157A6D1F-EDB7-400A-B9F0-B12D0A5CDBF6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17" name="PORDB6">
          <a:extLst>
            <a:ext uri="{FF2B5EF4-FFF2-40B4-BE49-F238E27FC236}">
              <a16:creationId xmlns:a16="http://schemas.microsoft.com/office/drawing/2014/main" id="{0EE19235-A190-4F10-BBC7-B06A89B1CB2B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18" name="PORDB6">
          <a:extLst>
            <a:ext uri="{FF2B5EF4-FFF2-40B4-BE49-F238E27FC236}">
              <a16:creationId xmlns:a16="http://schemas.microsoft.com/office/drawing/2014/main" id="{49426998-74FB-45F3-88D3-D1F98EBF94E8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19" name="PORDB6">
          <a:extLst>
            <a:ext uri="{FF2B5EF4-FFF2-40B4-BE49-F238E27FC236}">
              <a16:creationId xmlns:a16="http://schemas.microsoft.com/office/drawing/2014/main" id="{AC44E82F-4BD7-43F2-8F56-DA04E2DE88E0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20" name="PORDB6">
          <a:extLst>
            <a:ext uri="{FF2B5EF4-FFF2-40B4-BE49-F238E27FC236}">
              <a16:creationId xmlns:a16="http://schemas.microsoft.com/office/drawing/2014/main" id="{D590E3E2-834E-4654-B01B-75FF39AEC6F7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21" name="PORDB6">
          <a:extLst>
            <a:ext uri="{FF2B5EF4-FFF2-40B4-BE49-F238E27FC236}">
              <a16:creationId xmlns:a16="http://schemas.microsoft.com/office/drawing/2014/main" id="{A45B2C69-A515-40C4-875E-73D50BE5A98A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22" name="PORDB6">
          <a:extLst>
            <a:ext uri="{FF2B5EF4-FFF2-40B4-BE49-F238E27FC236}">
              <a16:creationId xmlns:a16="http://schemas.microsoft.com/office/drawing/2014/main" id="{71D725CB-FFA5-4A5E-9EFA-AF8B9565B750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23" name="PORDB6">
          <a:extLst>
            <a:ext uri="{FF2B5EF4-FFF2-40B4-BE49-F238E27FC236}">
              <a16:creationId xmlns:a16="http://schemas.microsoft.com/office/drawing/2014/main" id="{5D9A92A3-53B6-459F-99A2-8A6E022A50C4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24" name="PORDB6">
          <a:extLst>
            <a:ext uri="{FF2B5EF4-FFF2-40B4-BE49-F238E27FC236}">
              <a16:creationId xmlns:a16="http://schemas.microsoft.com/office/drawing/2014/main" id="{ADA1436E-420D-4CAF-8B1F-38088D6ED0D3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25" name="PORDB6">
          <a:extLst>
            <a:ext uri="{FF2B5EF4-FFF2-40B4-BE49-F238E27FC236}">
              <a16:creationId xmlns:a16="http://schemas.microsoft.com/office/drawing/2014/main" id="{F65FB990-678B-4F63-A6FD-899B060ABA2E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26" name="PORDB6">
          <a:extLst>
            <a:ext uri="{FF2B5EF4-FFF2-40B4-BE49-F238E27FC236}">
              <a16:creationId xmlns:a16="http://schemas.microsoft.com/office/drawing/2014/main" id="{ED429FEF-5526-46DB-8531-FFE5113BA034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27" name="PORDB6">
          <a:extLst>
            <a:ext uri="{FF2B5EF4-FFF2-40B4-BE49-F238E27FC236}">
              <a16:creationId xmlns:a16="http://schemas.microsoft.com/office/drawing/2014/main" id="{EAE4C5C6-F582-47D8-9DB3-F4D64B0E6912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28" name="PORDB6">
          <a:extLst>
            <a:ext uri="{FF2B5EF4-FFF2-40B4-BE49-F238E27FC236}">
              <a16:creationId xmlns:a16="http://schemas.microsoft.com/office/drawing/2014/main" id="{EB69A418-2AAC-408A-B363-7940B85E110C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29" name="PORDB6">
          <a:extLst>
            <a:ext uri="{FF2B5EF4-FFF2-40B4-BE49-F238E27FC236}">
              <a16:creationId xmlns:a16="http://schemas.microsoft.com/office/drawing/2014/main" id="{34C3E635-695A-449B-B636-BF1F1FD0C637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30" name="PORDB6">
          <a:extLst>
            <a:ext uri="{FF2B5EF4-FFF2-40B4-BE49-F238E27FC236}">
              <a16:creationId xmlns:a16="http://schemas.microsoft.com/office/drawing/2014/main" id="{F1EC3B43-0D7F-4621-9BCE-AD0764268D25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31" name="PORDB6">
          <a:extLst>
            <a:ext uri="{FF2B5EF4-FFF2-40B4-BE49-F238E27FC236}">
              <a16:creationId xmlns:a16="http://schemas.microsoft.com/office/drawing/2014/main" id="{4D21C0B0-44B1-448F-B25C-5944D0C2B1B8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32" name="PORDB6">
          <a:extLst>
            <a:ext uri="{FF2B5EF4-FFF2-40B4-BE49-F238E27FC236}">
              <a16:creationId xmlns:a16="http://schemas.microsoft.com/office/drawing/2014/main" id="{176F42E6-5382-4CE6-B5EB-4475C6851F28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33" name="PORDB6">
          <a:extLst>
            <a:ext uri="{FF2B5EF4-FFF2-40B4-BE49-F238E27FC236}">
              <a16:creationId xmlns:a16="http://schemas.microsoft.com/office/drawing/2014/main" id="{6BFC922A-74A6-48B7-B788-CDED0B91CD12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34" name="PORDB6">
          <a:extLst>
            <a:ext uri="{FF2B5EF4-FFF2-40B4-BE49-F238E27FC236}">
              <a16:creationId xmlns:a16="http://schemas.microsoft.com/office/drawing/2014/main" id="{B3FEA890-E364-4EAE-80D6-6D414360FAE8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35" name="PORDB6">
          <a:extLst>
            <a:ext uri="{FF2B5EF4-FFF2-40B4-BE49-F238E27FC236}">
              <a16:creationId xmlns:a16="http://schemas.microsoft.com/office/drawing/2014/main" id="{F8F8D838-1D9A-4773-AE5C-4063FCCC77EE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36" name="PORDB6">
          <a:extLst>
            <a:ext uri="{FF2B5EF4-FFF2-40B4-BE49-F238E27FC236}">
              <a16:creationId xmlns:a16="http://schemas.microsoft.com/office/drawing/2014/main" id="{768C932C-C23B-45DF-8049-1E232AA6C2A2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37" name="PORDB6">
          <a:extLst>
            <a:ext uri="{FF2B5EF4-FFF2-40B4-BE49-F238E27FC236}">
              <a16:creationId xmlns:a16="http://schemas.microsoft.com/office/drawing/2014/main" id="{5C6B633C-1C0E-42BF-901B-6026C4847F7D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38" name="PORDB6">
          <a:extLst>
            <a:ext uri="{FF2B5EF4-FFF2-40B4-BE49-F238E27FC236}">
              <a16:creationId xmlns:a16="http://schemas.microsoft.com/office/drawing/2014/main" id="{A86474BE-9773-4C1F-A180-78DB9E94C1C5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39" name="PORDB6">
          <a:extLst>
            <a:ext uri="{FF2B5EF4-FFF2-40B4-BE49-F238E27FC236}">
              <a16:creationId xmlns:a16="http://schemas.microsoft.com/office/drawing/2014/main" id="{50096DCB-E3D2-4B17-A9C3-4E3013543BE8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40" name="PORDB6">
          <a:extLst>
            <a:ext uri="{FF2B5EF4-FFF2-40B4-BE49-F238E27FC236}">
              <a16:creationId xmlns:a16="http://schemas.microsoft.com/office/drawing/2014/main" id="{B4C63109-54CF-4591-9C40-299D5DDA6D35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41" name="PORDB6">
          <a:extLst>
            <a:ext uri="{FF2B5EF4-FFF2-40B4-BE49-F238E27FC236}">
              <a16:creationId xmlns:a16="http://schemas.microsoft.com/office/drawing/2014/main" id="{DFAEF4CC-0254-40AF-A5D0-FC81AFEA3AC4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42" name="PORDB6">
          <a:extLst>
            <a:ext uri="{FF2B5EF4-FFF2-40B4-BE49-F238E27FC236}">
              <a16:creationId xmlns:a16="http://schemas.microsoft.com/office/drawing/2014/main" id="{6891741D-ACC2-4D34-92CE-40A3901EA41A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43" name="PORDB6">
          <a:extLst>
            <a:ext uri="{FF2B5EF4-FFF2-40B4-BE49-F238E27FC236}">
              <a16:creationId xmlns:a16="http://schemas.microsoft.com/office/drawing/2014/main" id="{35234DCA-0256-41CD-BCDA-433887C11EB6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44" name="PORDB6">
          <a:extLst>
            <a:ext uri="{FF2B5EF4-FFF2-40B4-BE49-F238E27FC236}">
              <a16:creationId xmlns:a16="http://schemas.microsoft.com/office/drawing/2014/main" id="{F8BD88A6-281E-43B8-B29F-B7DD4B1FC63E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45" name="PORDB6">
          <a:extLst>
            <a:ext uri="{FF2B5EF4-FFF2-40B4-BE49-F238E27FC236}">
              <a16:creationId xmlns:a16="http://schemas.microsoft.com/office/drawing/2014/main" id="{BEBD42DE-8C52-46B7-90C6-BE2D41250C6B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46" name="PORDB6">
          <a:extLst>
            <a:ext uri="{FF2B5EF4-FFF2-40B4-BE49-F238E27FC236}">
              <a16:creationId xmlns:a16="http://schemas.microsoft.com/office/drawing/2014/main" id="{50D238E4-6914-46AF-9271-4A10675B2E43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47" name="PORDB6">
          <a:extLst>
            <a:ext uri="{FF2B5EF4-FFF2-40B4-BE49-F238E27FC236}">
              <a16:creationId xmlns:a16="http://schemas.microsoft.com/office/drawing/2014/main" id="{9CDD9E32-5E1E-424F-BF5F-B5698950421A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48" name="PORDB6">
          <a:extLst>
            <a:ext uri="{FF2B5EF4-FFF2-40B4-BE49-F238E27FC236}">
              <a16:creationId xmlns:a16="http://schemas.microsoft.com/office/drawing/2014/main" id="{B784B6A8-BAAA-4C9A-A2F2-C660627923B3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49" name="PORDB6">
          <a:extLst>
            <a:ext uri="{FF2B5EF4-FFF2-40B4-BE49-F238E27FC236}">
              <a16:creationId xmlns:a16="http://schemas.microsoft.com/office/drawing/2014/main" id="{32934DB0-6209-4C11-805D-69E269B954CB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50" name="PORDB6">
          <a:extLst>
            <a:ext uri="{FF2B5EF4-FFF2-40B4-BE49-F238E27FC236}">
              <a16:creationId xmlns:a16="http://schemas.microsoft.com/office/drawing/2014/main" id="{78BA78B0-661F-42AB-AC01-0553E61E6A60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51" name="PORDB6">
          <a:extLst>
            <a:ext uri="{FF2B5EF4-FFF2-40B4-BE49-F238E27FC236}">
              <a16:creationId xmlns:a16="http://schemas.microsoft.com/office/drawing/2014/main" id="{184159B5-4098-44AB-A3CE-A11DBED03C68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52" name="PORDB6">
          <a:extLst>
            <a:ext uri="{FF2B5EF4-FFF2-40B4-BE49-F238E27FC236}">
              <a16:creationId xmlns:a16="http://schemas.microsoft.com/office/drawing/2014/main" id="{6152E7DD-3559-428B-ACC7-878A912D3773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53" name="PORDB6">
          <a:extLst>
            <a:ext uri="{FF2B5EF4-FFF2-40B4-BE49-F238E27FC236}">
              <a16:creationId xmlns:a16="http://schemas.microsoft.com/office/drawing/2014/main" id="{1814D6A2-6602-4C18-A3FF-9D5EF83D6634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54" name="PORDB6">
          <a:extLst>
            <a:ext uri="{FF2B5EF4-FFF2-40B4-BE49-F238E27FC236}">
              <a16:creationId xmlns:a16="http://schemas.microsoft.com/office/drawing/2014/main" id="{A5C3DE16-4DA5-4D5C-B72A-80A9CFDAC35A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55" name="PORDB6">
          <a:extLst>
            <a:ext uri="{FF2B5EF4-FFF2-40B4-BE49-F238E27FC236}">
              <a16:creationId xmlns:a16="http://schemas.microsoft.com/office/drawing/2014/main" id="{6DC7DDE4-93E9-4234-AB98-0BE0A7D736E0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56" name="PORDB6">
          <a:extLst>
            <a:ext uri="{FF2B5EF4-FFF2-40B4-BE49-F238E27FC236}">
              <a16:creationId xmlns:a16="http://schemas.microsoft.com/office/drawing/2014/main" id="{F0A51812-B29F-4428-9EEC-2C40E08BA32A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57" name="PORDB6">
          <a:extLst>
            <a:ext uri="{FF2B5EF4-FFF2-40B4-BE49-F238E27FC236}">
              <a16:creationId xmlns:a16="http://schemas.microsoft.com/office/drawing/2014/main" id="{57496C18-0DBB-489B-955A-3939D94C823A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58" name="PORDB6">
          <a:extLst>
            <a:ext uri="{FF2B5EF4-FFF2-40B4-BE49-F238E27FC236}">
              <a16:creationId xmlns:a16="http://schemas.microsoft.com/office/drawing/2014/main" id="{D03DDA5A-451A-4D14-A671-1066FF9A9CF8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59" name="PORDB6">
          <a:extLst>
            <a:ext uri="{FF2B5EF4-FFF2-40B4-BE49-F238E27FC236}">
              <a16:creationId xmlns:a16="http://schemas.microsoft.com/office/drawing/2014/main" id="{EA279F01-D428-4D15-939E-4EAFCD311C6F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60" name="PORDB6">
          <a:extLst>
            <a:ext uri="{FF2B5EF4-FFF2-40B4-BE49-F238E27FC236}">
              <a16:creationId xmlns:a16="http://schemas.microsoft.com/office/drawing/2014/main" id="{5691D8D6-BF46-4221-B1DC-4F4AD09528CC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61" name="PORDB6">
          <a:extLst>
            <a:ext uri="{FF2B5EF4-FFF2-40B4-BE49-F238E27FC236}">
              <a16:creationId xmlns:a16="http://schemas.microsoft.com/office/drawing/2014/main" id="{417666F3-5E24-41B6-B951-E4A685698095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62" name="PORDB6">
          <a:extLst>
            <a:ext uri="{FF2B5EF4-FFF2-40B4-BE49-F238E27FC236}">
              <a16:creationId xmlns:a16="http://schemas.microsoft.com/office/drawing/2014/main" id="{EF8E0D1A-5E83-4BB9-8CD3-A34B0B28EB72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63" name="PORDB6">
          <a:extLst>
            <a:ext uri="{FF2B5EF4-FFF2-40B4-BE49-F238E27FC236}">
              <a16:creationId xmlns:a16="http://schemas.microsoft.com/office/drawing/2014/main" id="{599EE081-8A77-481F-9694-74AF6B2FE857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64" name="PORDB6">
          <a:extLst>
            <a:ext uri="{FF2B5EF4-FFF2-40B4-BE49-F238E27FC236}">
              <a16:creationId xmlns:a16="http://schemas.microsoft.com/office/drawing/2014/main" id="{DFA63E21-FC22-427D-A653-73BB6DE92405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65" name="PORDB6">
          <a:extLst>
            <a:ext uri="{FF2B5EF4-FFF2-40B4-BE49-F238E27FC236}">
              <a16:creationId xmlns:a16="http://schemas.microsoft.com/office/drawing/2014/main" id="{A03315B6-EA1E-4B11-93BE-734EBBB594BC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66" name="PORDB6">
          <a:extLst>
            <a:ext uri="{FF2B5EF4-FFF2-40B4-BE49-F238E27FC236}">
              <a16:creationId xmlns:a16="http://schemas.microsoft.com/office/drawing/2014/main" id="{09200EF4-709A-4D3B-A3B5-C5964D4F766A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67" name="PORDB6">
          <a:extLst>
            <a:ext uri="{FF2B5EF4-FFF2-40B4-BE49-F238E27FC236}">
              <a16:creationId xmlns:a16="http://schemas.microsoft.com/office/drawing/2014/main" id="{49770777-B7F2-498E-A49D-6793DBFB2EC3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68" name="PORDB6">
          <a:extLst>
            <a:ext uri="{FF2B5EF4-FFF2-40B4-BE49-F238E27FC236}">
              <a16:creationId xmlns:a16="http://schemas.microsoft.com/office/drawing/2014/main" id="{2D990F18-BA11-4A65-BE95-3D07CF2D9E59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69" name="PORDB6">
          <a:extLst>
            <a:ext uri="{FF2B5EF4-FFF2-40B4-BE49-F238E27FC236}">
              <a16:creationId xmlns:a16="http://schemas.microsoft.com/office/drawing/2014/main" id="{FE59D7E1-35E4-4554-8982-F10ED2530DC6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70" name="PORDB6">
          <a:extLst>
            <a:ext uri="{FF2B5EF4-FFF2-40B4-BE49-F238E27FC236}">
              <a16:creationId xmlns:a16="http://schemas.microsoft.com/office/drawing/2014/main" id="{3590B482-ACD2-4F58-B64B-DC6CED7CE71B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71" name="PORDB6">
          <a:extLst>
            <a:ext uri="{FF2B5EF4-FFF2-40B4-BE49-F238E27FC236}">
              <a16:creationId xmlns:a16="http://schemas.microsoft.com/office/drawing/2014/main" id="{B747D6CC-3BD6-4500-B570-BD8CA97C4A98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72" name="PORDB6">
          <a:extLst>
            <a:ext uri="{FF2B5EF4-FFF2-40B4-BE49-F238E27FC236}">
              <a16:creationId xmlns:a16="http://schemas.microsoft.com/office/drawing/2014/main" id="{1449207B-909B-48FB-9AB6-1162D026EBEE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73" name="PORDB6">
          <a:extLst>
            <a:ext uri="{FF2B5EF4-FFF2-40B4-BE49-F238E27FC236}">
              <a16:creationId xmlns:a16="http://schemas.microsoft.com/office/drawing/2014/main" id="{E9E78001-0823-4739-80DB-EA641C47FEBE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74" name="PORDB6">
          <a:extLst>
            <a:ext uri="{FF2B5EF4-FFF2-40B4-BE49-F238E27FC236}">
              <a16:creationId xmlns:a16="http://schemas.microsoft.com/office/drawing/2014/main" id="{4A689CE4-25A0-4542-8BFA-94A4E3BA446A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75" name="PORDB6">
          <a:extLst>
            <a:ext uri="{FF2B5EF4-FFF2-40B4-BE49-F238E27FC236}">
              <a16:creationId xmlns:a16="http://schemas.microsoft.com/office/drawing/2014/main" id="{45FB5FC6-ECF9-4E85-AA77-196EAE87D3A3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76" name="PORDB6">
          <a:extLst>
            <a:ext uri="{FF2B5EF4-FFF2-40B4-BE49-F238E27FC236}">
              <a16:creationId xmlns:a16="http://schemas.microsoft.com/office/drawing/2014/main" id="{C90D137B-1330-424E-886F-C1C817BB312F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77" name="PORDB6">
          <a:extLst>
            <a:ext uri="{FF2B5EF4-FFF2-40B4-BE49-F238E27FC236}">
              <a16:creationId xmlns:a16="http://schemas.microsoft.com/office/drawing/2014/main" id="{D7DD6AEE-2709-427B-9FA7-898035D21BAD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78" name="PORDB6">
          <a:extLst>
            <a:ext uri="{FF2B5EF4-FFF2-40B4-BE49-F238E27FC236}">
              <a16:creationId xmlns:a16="http://schemas.microsoft.com/office/drawing/2014/main" id="{39245471-9C38-4FC3-96C6-6A23EC14E788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79" name="PORDB6">
          <a:extLst>
            <a:ext uri="{FF2B5EF4-FFF2-40B4-BE49-F238E27FC236}">
              <a16:creationId xmlns:a16="http://schemas.microsoft.com/office/drawing/2014/main" id="{7E2D2B0F-C29F-49B8-A602-77F76F8560BC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80" name="PORDB6">
          <a:extLst>
            <a:ext uri="{FF2B5EF4-FFF2-40B4-BE49-F238E27FC236}">
              <a16:creationId xmlns:a16="http://schemas.microsoft.com/office/drawing/2014/main" id="{6062B8C9-3AE5-4962-89BA-360BFB216C27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81" name="PORDB6">
          <a:extLst>
            <a:ext uri="{FF2B5EF4-FFF2-40B4-BE49-F238E27FC236}">
              <a16:creationId xmlns:a16="http://schemas.microsoft.com/office/drawing/2014/main" id="{A7ADA23B-827C-44CC-99E1-F5CF93DABB46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82" name="PORDB6">
          <a:extLst>
            <a:ext uri="{FF2B5EF4-FFF2-40B4-BE49-F238E27FC236}">
              <a16:creationId xmlns:a16="http://schemas.microsoft.com/office/drawing/2014/main" id="{4C00EECD-AB9D-4329-A32A-CD522AA6F10A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83" name="PORDB6">
          <a:extLst>
            <a:ext uri="{FF2B5EF4-FFF2-40B4-BE49-F238E27FC236}">
              <a16:creationId xmlns:a16="http://schemas.microsoft.com/office/drawing/2014/main" id="{56B22287-557F-44DC-8CEC-C6B776AF4E0C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84" name="PORDB6">
          <a:extLst>
            <a:ext uri="{FF2B5EF4-FFF2-40B4-BE49-F238E27FC236}">
              <a16:creationId xmlns:a16="http://schemas.microsoft.com/office/drawing/2014/main" id="{C6F243DA-FD6F-4B42-8D3A-B7A28B13C2F4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85" name="PORDB6">
          <a:extLst>
            <a:ext uri="{FF2B5EF4-FFF2-40B4-BE49-F238E27FC236}">
              <a16:creationId xmlns:a16="http://schemas.microsoft.com/office/drawing/2014/main" id="{9BCB6D7B-7E64-4050-8DF5-6B7D274117B2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86" name="PORDB6">
          <a:extLst>
            <a:ext uri="{FF2B5EF4-FFF2-40B4-BE49-F238E27FC236}">
              <a16:creationId xmlns:a16="http://schemas.microsoft.com/office/drawing/2014/main" id="{B23584D0-82AA-4043-B4F3-3335157BFA9B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87" name="PORDB6">
          <a:extLst>
            <a:ext uri="{FF2B5EF4-FFF2-40B4-BE49-F238E27FC236}">
              <a16:creationId xmlns:a16="http://schemas.microsoft.com/office/drawing/2014/main" id="{29E91B1F-DBA8-4257-A41B-9C54F494DC3C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88" name="PORDB6">
          <a:extLst>
            <a:ext uri="{FF2B5EF4-FFF2-40B4-BE49-F238E27FC236}">
              <a16:creationId xmlns:a16="http://schemas.microsoft.com/office/drawing/2014/main" id="{CACE3EE8-A3FD-48F0-8F5E-CF879A87EEDC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89" name="PORDB6">
          <a:extLst>
            <a:ext uri="{FF2B5EF4-FFF2-40B4-BE49-F238E27FC236}">
              <a16:creationId xmlns:a16="http://schemas.microsoft.com/office/drawing/2014/main" id="{B171B90F-314B-44B6-9F5E-7E6A2501BC5B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90" name="PORDB6">
          <a:extLst>
            <a:ext uri="{FF2B5EF4-FFF2-40B4-BE49-F238E27FC236}">
              <a16:creationId xmlns:a16="http://schemas.microsoft.com/office/drawing/2014/main" id="{8DA0DB6B-80CF-43FB-8D5D-DE8D051AD0CF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91" name="PORDB6">
          <a:extLst>
            <a:ext uri="{FF2B5EF4-FFF2-40B4-BE49-F238E27FC236}">
              <a16:creationId xmlns:a16="http://schemas.microsoft.com/office/drawing/2014/main" id="{9B9737E3-C397-4E43-8CFA-61B2F3AF0BBD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92" name="PORDB6">
          <a:extLst>
            <a:ext uri="{FF2B5EF4-FFF2-40B4-BE49-F238E27FC236}">
              <a16:creationId xmlns:a16="http://schemas.microsoft.com/office/drawing/2014/main" id="{03CD7B12-DBE1-48EC-B8F5-3BEC5A59103F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93" name="PORDB6">
          <a:extLst>
            <a:ext uri="{FF2B5EF4-FFF2-40B4-BE49-F238E27FC236}">
              <a16:creationId xmlns:a16="http://schemas.microsoft.com/office/drawing/2014/main" id="{0C0FB9AD-F27A-44AD-B33D-7860CDB7E975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94" name="PORDB6">
          <a:extLst>
            <a:ext uri="{FF2B5EF4-FFF2-40B4-BE49-F238E27FC236}">
              <a16:creationId xmlns:a16="http://schemas.microsoft.com/office/drawing/2014/main" id="{25BEE931-F3F1-45D1-8FB8-FB4E6C151F1F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95" name="PORDB6">
          <a:extLst>
            <a:ext uri="{FF2B5EF4-FFF2-40B4-BE49-F238E27FC236}">
              <a16:creationId xmlns:a16="http://schemas.microsoft.com/office/drawing/2014/main" id="{98619B9E-2D51-428B-A39F-E6BAB12AE4CD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96" name="PORDB6">
          <a:extLst>
            <a:ext uri="{FF2B5EF4-FFF2-40B4-BE49-F238E27FC236}">
              <a16:creationId xmlns:a16="http://schemas.microsoft.com/office/drawing/2014/main" id="{D6386110-2125-4BF3-9CFC-4E92A8E1C269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97" name="PORDB6">
          <a:extLst>
            <a:ext uri="{FF2B5EF4-FFF2-40B4-BE49-F238E27FC236}">
              <a16:creationId xmlns:a16="http://schemas.microsoft.com/office/drawing/2014/main" id="{D8F42EF3-EF21-45FB-B08F-C5EDB6DE665C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98" name="PORDB6">
          <a:extLst>
            <a:ext uri="{FF2B5EF4-FFF2-40B4-BE49-F238E27FC236}">
              <a16:creationId xmlns:a16="http://schemas.microsoft.com/office/drawing/2014/main" id="{66DD654B-8905-48F9-A513-0932C2F884FF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199" name="PORDB6">
          <a:extLst>
            <a:ext uri="{FF2B5EF4-FFF2-40B4-BE49-F238E27FC236}">
              <a16:creationId xmlns:a16="http://schemas.microsoft.com/office/drawing/2014/main" id="{E94DE16A-6299-403D-B4E9-65300AEDBCF6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00" name="PORDB6">
          <a:extLst>
            <a:ext uri="{FF2B5EF4-FFF2-40B4-BE49-F238E27FC236}">
              <a16:creationId xmlns:a16="http://schemas.microsoft.com/office/drawing/2014/main" id="{B75FE1C2-0473-4E88-B4F9-1C3C27989DFF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01" name="PORDB6">
          <a:extLst>
            <a:ext uri="{FF2B5EF4-FFF2-40B4-BE49-F238E27FC236}">
              <a16:creationId xmlns:a16="http://schemas.microsoft.com/office/drawing/2014/main" id="{A74F355B-6879-45C7-BAB5-15FAFD284168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02" name="PORDB6">
          <a:extLst>
            <a:ext uri="{FF2B5EF4-FFF2-40B4-BE49-F238E27FC236}">
              <a16:creationId xmlns:a16="http://schemas.microsoft.com/office/drawing/2014/main" id="{6915B6AB-8DE4-4494-910F-4F60B46E31D3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03" name="PORDB6">
          <a:extLst>
            <a:ext uri="{FF2B5EF4-FFF2-40B4-BE49-F238E27FC236}">
              <a16:creationId xmlns:a16="http://schemas.microsoft.com/office/drawing/2014/main" id="{6E54069D-2001-4ABC-9087-6BEB22C45F91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04" name="PORDB6">
          <a:extLst>
            <a:ext uri="{FF2B5EF4-FFF2-40B4-BE49-F238E27FC236}">
              <a16:creationId xmlns:a16="http://schemas.microsoft.com/office/drawing/2014/main" id="{84BEF789-5626-419A-982D-F12367A29151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05" name="PORDB6">
          <a:extLst>
            <a:ext uri="{FF2B5EF4-FFF2-40B4-BE49-F238E27FC236}">
              <a16:creationId xmlns:a16="http://schemas.microsoft.com/office/drawing/2014/main" id="{B0E92119-EAE2-40B3-98CC-21C8A9DBD588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06" name="PORDB6">
          <a:extLst>
            <a:ext uri="{FF2B5EF4-FFF2-40B4-BE49-F238E27FC236}">
              <a16:creationId xmlns:a16="http://schemas.microsoft.com/office/drawing/2014/main" id="{39F6504D-CBE3-4C1C-9EA3-130BD0236D61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07" name="PORDB6">
          <a:extLst>
            <a:ext uri="{FF2B5EF4-FFF2-40B4-BE49-F238E27FC236}">
              <a16:creationId xmlns:a16="http://schemas.microsoft.com/office/drawing/2014/main" id="{A891E8FA-2C34-4055-80DC-4B6C0B8857CB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08" name="PORDB6">
          <a:extLst>
            <a:ext uri="{FF2B5EF4-FFF2-40B4-BE49-F238E27FC236}">
              <a16:creationId xmlns:a16="http://schemas.microsoft.com/office/drawing/2014/main" id="{6876A73D-9417-471E-ACE5-075584FC9BFD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09" name="PORDB6">
          <a:extLst>
            <a:ext uri="{FF2B5EF4-FFF2-40B4-BE49-F238E27FC236}">
              <a16:creationId xmlns:a16="http://schemas.microsoft.com/office/drawing/2014/main" id="{CBCE1B46-1622-4522-90FD-3413B77EAA28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10" name="PORDB6">
          <a:extLst>
            <a:ext uri="{FF2B5EF4-FFF2-40B4-BE49-F238E27FC236}">
              <a16:creationId xmlns:a16="http://schemas.microsoft.com/office/drawing/2014/main" id="{08B8CA77-037C-4132-BFB0-BB397E859741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11" name="PORDB6">
          <a:extLst>
            <a:ext uri="{FF2B5EF4-FFF2-40B4-BE49-F238E27FC236}">
              <a16:creationId xmlns:a16="http://schemas.microsoft.com/office/drawing/2014/main" id="{5AA20575-D16D-492E-9908-CAB050BE0875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12" name="PORDB6">
          <a:extLst>
            <a:ext uri="{FF2B5EF4-FFF2-40B4-BE49-F238E27FC236}">
              <a16:creationId xmlns:a16="http://schemas.microsoft.com/office/drawing/2014/main" id="{2431DA8F-52C6-4D53-83CD-BCF584B0EBAB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13" name="PORDB6">
          <a:extLst>
            <a:ext uri="{FF2B5EF4-FFF2-40B4-BE49-F238E27FC236}">
              <a16:creationId xmlns:a16="http://schemas.microsoft.com/office/drawing/2014/main" id="{61B6FBA2-D91E-4E56-B950-E83CAD03F209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14" name="PORDB6">
          <a:extLst>
            <a:ext uri="{FF2B5EF4-FFF2-40B4-BE49-F238E27FC236}">
              <a16:creationId xmlns:a16="http://schemas.microsoft.com/office/drawing/2014/main" id="{B4C42B33-AB1F-4C1A-9A1C-02326BDB38B9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15" name="PORDB6">
          <a:extLst>
            <a:ext uri="{FF2B5EF4-FFF2-40B4-BE49-F238E27FC236}">
              <a16:creationId xmlns:a16="http://schemas.microsoft.com/office/drawing/2014/main" id="{16DE1AAC-BB2E-4BA6-82CD-3906BD791B37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16" name="PORDB6">
          <a:extLst>
            <a:ext uri="{FF2B5EF4-FFF2-40B4-BE49-F238E27FC236}">
              <a16:creationId xmlns:a16="http://schemas.microsoft.com/office/drawing/2014/main" id="{3A6CAB31-56CC-4529-B99B-51582EB4E332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17" name="PORDB6">
          <a:extLst>
            <a:ext uri="{FF2B5EF4-FFF2-40B4-BE49-F238E27FC236}">
              <a16:creationId xmlns:a16="http://schemas.microsoft.com/office/drawing/2014/main" id="{9B480348-2A56-4741-B9C1-4F84DB7DC780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18" name="PORDB6">
          <a:extLst>
            <a:ext uri="{FF2B5EF4-FFF2-40B4-BE49-F238E27FC236}">
              <a16:creationId xmlns:a16="http://schemas.microsoft.com/office/drawing/2014/main" id="{91932B9C-3D92-4EAF-B6E5-4B9E3870F8BF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19" name="PORDB6">
          <a:extLst>
            <a:ext uri="{FF2B5EF4-FFF2-40B4-BE49-F238E27FC236}">
              <a16:creationId xmlns:a16="http://schemas.microsoft.com/office/drawing/2014/main" id="{3BFA7153-2423-4A63-8182-3D61F54DE64F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20" name="PORDB6">
          <a:extLst>
            <a:ext uri="{FF2B5EF4-FFF2-40B4-BE49-F238E27FC236}">
              <a16:creationId xmlns:a16="http://schemas.microsoft.com/office/drawing/2014/main" id="{0E64090F-8568-4D12-AE40-88DAD981DE05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21" name="PORDB6">
          <a:extLst>
            <a:ext uri="{FF2B5EF4-FFF2-40B4-BE49-F238E27FC236}">
              <a16:creationId xmlns:a16="http://schemas.microsoft.com/office/drawing/2014/main" id="{0FB7FD32-D8FD-4620-8AF0-B2AD19BE34FD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22" name="PORDB6">
          <a:extLst>
            <a:ext uri="{FF2B5EF4-FFF2-40B4-BE49-F238E27FC236}">
              <a16:creationId xmlns:a16="http://schemas.microsoft.com/office/drawing/2014/main" id="{B21EDBC4-0375-496E-8CBF-2068E2726900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23" name="PORDB6">
          <a:extLst>
            <a:ext uri="{FF2B5EF4-FFF2-40B4-BE49-F238E27FC236}">
              <a16:creationId xmlns:a16="http://schemas.microsoft.com/office/drawing/2014/main" id="{6A731E6E-2CD8-40B6-ABD7-B02586582E2E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24" name="PORDB6">
          <a:extLst>
            <a:ext uri="{FF2B5EF4-FFF2-40B4-BE49-F238E27FC236}">
              <a16:creationId xmlns:a16="http://schemas.microsoft.com/office/drawing/2014/main" id="{C8F6A22C-1749-4266-808A-8A512FAA35C2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25" name="PORDB6">
          <a:extLst>
            <a:ext uri="{FF2B5EF4-FFF2-40B4-BE49-F238E27FC236}">
              <a16:creationId xmlns:a16="http://schemas.microsoft.com/office/drawing/2014/main" id="{3111B7FA-1831-4EF5-8348-B9D57B85E033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26" name="PORDB6">
          <a:extLst>
            <a:ext uri="{FF2B5EF4-FFF2-40B4-BE49-F238E27FC236}">
              <a16:creationId xmlns:a16="http://schemas.microsoft.com/office/drawing/2014/main" id="{E440AA28-651F-404F-98BD-2F3B432506E1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27" name="PORDB6">
          <a:extLst>
            <a:ext uri="{FF2B5EF4-FFF2-40B4-BE49-F238E27FC236}">
              <a16:creationId xmlns:a16="http://schemas.microsoft.com/office/drawing/2014/main" id="{3DB12A86-05B3-44CB-BC04-96267E1FA4D4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28" name="PORDB6">
          <a:extLst>
            <a:ext uri="{FF2B5EF4-FFF2-40B4-BE49-F238E27FC236}">
              <a16:creationId xmlns:a16="http://schemas.microsoft.com/office/drawing/2014/main" id="{82D87C14-00A0-422B-98A6-3468DBC13D2E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29" name="PORDB6">
          <a:extLst>
            <a:ext uri="{FF2B5EF4-FFF2-40B4-BE49-F238E27FC236}">
              <a16:creationId xmlns:a16="http://schemas.microsoft.com/office/drawing/2014/main" id="{8F5F4BA3-A332-4C96-8B08-419700E799CC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30" name="PORDB6">
          <a:extLst>
            <a:ext uri="{FF2B5EF4-FFF2-40B4-BE49-F238E27FC236}">
              <a16:creationId xmlns:a16="http://schemas.microsoft.com/office/drawing/2014/main" id="{37597196-BC97-4248-A09A-C384C146B2B3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31" name="PORDB6">
          <a:extLst>
            <a:ext uri="{FF2B5EF4-FFF2-40B4-BE49-F238E27FC236}">
              <a16:creationId xmlns:a16="http://schemas.microsoft.com/office/drawing/2014/main" id="{318B656C-084D-4B0D-B73B-1AA104035456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32" name="PORDB6">
          <a:extLst>
            <a:ext uri="{FF2B5EF4-FFF2-40B4-BE49-F238E27FC236}">
              <a16:creationId xmlns:a16="http://schemas.microsoft.com/office/drawing/2014/main" id="{497CA7F4-F3BE-4E1A-A9E9-347EFABF2951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33" name="PORDB6">
          <a:extLst>
            <a:ext uri="{FF2B5EF4-FFF2-40B4-BE49-F238E27FC236}">
              <a16:creationId xmlns:a16="http://schemas.microsoft.com/office/drawing/2014/main" id="{08BC3985-03C2-402C-B522-D4393F0226FE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34" name="PORDB6">
          <a:extLst>
            <a:ext uri="{FF2B5EF4-FFF2-40B4-BE49-F238E27FC236}">
              <a16:creationId xmlns:a16="http://schemas.microsoft.com/office/drawing/2014/main" id="{1C32D3A2-D7AB-44BA-8846-64236F05F63B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35" name="PORDB6">
          <a:extLst>
            <a:ext uri="{FF2B5EF4-FFF2-40B4-BE49-F238E27FC236}">
              <a16:creationId xmlns:a16="http://schemas.microsoft.com/office/drawing/2014/main" id="{EC15660A-0394-423A-A2E6-72FB68B9256A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36" name="PORDB6">
          <a:extLst>
            <a:ext uri="{FF2B5EF4-FFF2-40B4-BE49-F238E27FC236}">
              <a16:creationId xmlns:a16="http://schemas.microsoft.com/office/drawing/2014/main" id="{3C16D376-20F7-4829-9A22-D12EFF55B6FF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37" name="PORDB6">
          <a:extLst>
            <a:ext uri="{FF2B5EF4-FFF2-40B4-BE49-F238E27FC236}">
              <a16:creationId xmlns:a16="http://schemas.microsoft.com/office/drawing/2014/main" id="{55A65ED5-821B-4009-B213-A783B376E702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38" name="PORDB6">
          <a:extLst>
            <a:ext uri="{FF2B5EF4-FFF2-40B4-BE49-F238E27FC236}">
              <a16:creationId xmlns:a16="http://schemas.microsoft.com/office/drawing/2014/main" id="{5A82AAD5-BD19-4365-8563-8F7A06B6D9E9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39" name="PORDB6">
          <a:extLst>
            <a:ext uri="{FF2B5EF4-FFF2-40B4-BE49-F238E27FC236}">
              <a16:creationId xmlns:a16="http://schemas.microsoft.com/office/drawing/2014/main" id="{96029429-6BB8-4C57-ACE7-CD9918C60DC3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40" name="PORDB6">
          <a:extLst>
            <a:ext uri="{FF2B5EF4-FFF2-40B4-BE49-F238E27FC236}">
              <a16:creationId xmlns:a16="http://schemas.microsoft.com/office/drawing/2014/main" id="{30865D59-4141-4A87-9EE2-90E3566ED857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41" name="PORDB6">
          <a:extLst>
            <a:ext uri="{FF2B5EF4-FFF2-40B4-BE49-F238E27FC236}">
              <a16:creationId xmlns:a16="http://schemas.microsoft.com/office/drawing/2014/main" id="{6A036D0B-1CB6-46AB-A0E1-ED6C9D39A058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42" name="PORDB6">
          <a:extLst>
            <a:ext uri="{FF2B5EF4-FFF2-40B4-BE49-F238E27FC236}">
              <a16:creationId xmlns:a16="http://schemas.microsoft.com/office/drawing/2014/main" id="{E7E11917-8731-4A82-AC12-4BDD055B00C3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43" name="PORDB6">
          <a:extLst>
            <a:ext uri="{FF2B5EF4-FFF2-40B4-BE49-F238E27FC236}">
              <a16:creationId xmlns:a16="http://schemas.microsoft.com/office/drawing/2014/main" id="{1CA9EA7B-3AE5-46A0-9F92-89DA4D3CAFD5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44" name="PORDB6">
          <a:extLst>
            <a:ext uri="{FF2B5EF4-FFF2-40B4-BE49-F238E27FC236}">
              <a16:creationId xmlns:a16="http://schemas.microsoft.com/office/drawing/2014/main" id="{CACDC426-E53E-4308-BAFC-0E034E5F977C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45" name="PORDB6">
          <a:extLst>
            <a:ext uri="{FF2B5EF4-FFF2-40B4-BE49-F238E27FC236}">
              <a16:creationId xmlns:a16="http://schemas.microsoft.com/office/drawing/2014/main" id="{FFD00742-BABD-4AFA-ADFD-A444EA7755D9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46" name="PORDB6">
          <a:extLst>
            <a:ext uri="{FF2B5EF4-FFF2-40B4-BE49-F238E27FC236}">
              <a16:creationId xmlns:a16="http://schemas.microsoft.com/office/drawing/2014/main" id="{D0404D27-00AC-44B8-B197-8046332E3279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47" name="PORDB6">
          <a:extLst>
            <a:ext uri="{FF2B5EF4-FFF2-40B4-BE49-F238E27FC236}">
              <a16:creationId xmlns:a16="http://schemas.microsoft.com/office/drawing/2014/main" id="{91DE950B-1D1A-43A1-9A1D-C015BA144C46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48" name="PORDB6">
          <a:extLst>
            <a:ext uri="{FF2B5EF4-FFF2-40B4-BE49-F238E27FC236}">
              <a16:creationId xmlns:a16="http://schemas.microsoft.com/office/drawing/2014/main" id="{2FAAA982-84FA-47DF-AAF3-888C8D033A35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49" name="PORDB6">
          <a:extLst>
            <a:ext uri="{FF2B5EF4-FFF2-40B4-BE49-F238E27FC236}">
              <a16:creationId xmlns:a16="http://schemas.microsoft.com/office/drawing/2014/main" id="{69EA9952-2592-4680-AC16-4E295B9A97DC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50" name="PORDB6">
          <a:extLst>
            <a:ext uri="{FF2B5EF4-FFF2-40B4-BE49-F238E27FC236}">
              <a16:creationId xmlns:a16="http://schemas.microsoft.com/office/drawing/2014/main" id="{057779B6-9B56-4AAC-AAE6-2ABC7B57187D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51" name="PORDB6">
          <a:extLst>
            <a:ext uri="{FF2B5EF4-FFF2-40B4-BE49-F238E27FC236}">
              <a16:creationId xmlns:a16="http://schemas.microsoft.com/office/drawing/2014/main" id="{99D5C04B-37AE-4D63-BEEA-D62B30E689E7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52" name="PORDB6">
          <a:extLst>
            <a:ext uri="{FF2B5EF4-FFF2-40B4-BE49-F238E27FC236}">
              <a16:creationId xmlns:a16="http://schemas.microsoft.com/office/drawing/2014/main" id="{23073A07-EB49-49CC-A775-042CFB846BAB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53" name="PORDB6">
          <a:extLst>
            <a:ext uri="{FF2B5EF4-FFF2-40B4-BE49-F238E27FC236}">
              <a16:creationId xmlns:a16="http://schemas.microsoft.com/office/drawing/2014/main" id="{9176C3FC-3AE2-4CBF-BFB1-C2B3FB1FE92D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54" name="PORDB6">
          <a:extLst>
            <a:ext uri="{FF2B5EF4-FFF2-40B4-BE49-F238E27FC236}">
              <a16:creationId xmlns:a16="http://schemas.microsoft.com/office/drawing/2014/main" id="{DAE1CB7C-9BEA-462C-AF58-FC79DE63DB98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55" name="PORDB6">
          <a:extLst>
            <a:ext uri="{FF2B5EF4-FFF2-40B4-BE49-F238E27FC236}">
              <a16:creationId xmlns:a16="http://schemas.microsoft.com/office/drawing/2014/main" id="{64AD2CF1-ECD3-476A-B1F2-8D11F8B7C638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56" name="PORDB6">
          <a:extLst>
            <a:ext uri="{FF2B5EF4-FFF2-40B4-BE49-F238E27FC236}">
              <a16:creationId xmlns:a16="http://schemas.microsoft.com/office/drawing/2014/main" id="{23A0A33E-2A00-4B30-9A28-1D5F355F85EC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57" name="PORDB6">
          <a:extLst>
            <a:ext uri="{FF2B5EF4-FFF2-40B4-BE49-F238E27FC236}">
              <a16:creationId xmlns:a16="http://schemas.microsoft.com/office/drawing/2014/main" id="{AB1AF312-9BC2-4F01-8EC6-168A938A0191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58" name="PORDB6">
          <a:extLst>
            <a:ext uri="{FF2B5EF4-FFF2-40B4-BE49-F238E27FC236}">
              <a16:creationId xmlns:a16="http://schemas.microsoft.com/office/drawing/2014/main" id="{68A4B553-CDB3-43C1-A60F-AFDC2270F565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59" name="PORDB6">
          <a:extLst>
            <a:ext uri="{FF2B5EF4-FFF2-40B4-BE49-F238E27FC236}">
              <a16:creationId xmlns:a16="http://schemas.microsoft.com/office/drawing/2014/main" id="{DBA4661F-3CD3-4A83-9455-C2C6E7B161EF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60" name="PORDB6">
          <a:extLst>
            <a:ext uri="{FF2B5EF4-FFF2-40B4-BE49-F238E27FC236}">
              <a16:creationId xmlns:a16="http://schemas.microsoft.com/office/drawing/2014/main" id="{FAECF7B1-CA09-408E-A6BF-66F6E6CB8A40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61" name="PORDB6">
          <a:extLst>
            <a:ext uri="{FF2B5EF4-FFF2-40B4-BE49-F238E27FC236}">
              <a16:creationId xmlns:a16="http://schemas.microsoft.com/office/drawing/2014/main" id="{538AAF8C-680C-416A-965D-B798F58B0FF8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62" name="PORDB6">
          <a:extLst>
            <a:ext uri="{FF2B5EF4-FFF2-40B4-BE49-F238E27FC236}">
              <a16:creationId xmlns:a16="http://schemas.microsoft.com/office/drawing/2014/main" id="{1408F1F3-E6E1-4397-845F-8D8B895B1B57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63" name="PORDB6">
          <a:extLst>
            <a:ext uri="{FF2B5EF4-FFF2-40B4-BE49-F238E27FC236}">
              <a16:creationId xmlns:a16="http://schemas.microsoft.com/office/drawing/2014/main" id="{EFFBCA5F-65B7-477A-BFED-CED157386EE9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64" name="PORDB6">
          <a:extLst>
            <a:ext uri="{FF2B5EF4-FFF2-40B4-BE49-F238E27FC236}">
              <a16:creationId xmlns:a16="http://schemas.microsoft.com/office/drawing/2014/main" id="{479A83D0-E9F3-41CD-A49F-B4992D015436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65" name="PORDB6">
          <a:extLst>
            <a:ext uri="{FF2B5EF4-FFF2-40B4-BE49-F238E27FC236}">
              <a16:creationId xmlns:a16="http://schemas.microsoft.com/office/drawing/2014/main" id="{D20AAA15-BF4A-4A11-A1C5-E862E1753E80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66" name="PORDB6">
          <a:extLst>
            <a:ext uri="{FF2B5EF4-FFF2-40B4-BE49-F238E27FC236}">
              <a16:creationId xmlns:a16="http://schemas.microsoft.com/office/drawing/2014/main" id="{1EFFD207-7E2D-4904-8C7C-3019A6EFE235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67" name="PORDB6">
          <a:extLst>
            <a:ext uri="{FF2B5EF4-FFF2-40B4-BE49-F238E27FC236}">
              <a16:creationId xmlns:a16="http://schemas.microsoft.com/office/drawing/2014/main" id="{A273A63C-D09B-46FB-A4D5-4443982CE401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68" name="PORDB6">
          <a:extLst>
            <a:ext uri="{FF2B5EF4-FFF2-40B4-BE49-F238E27FC236}">
              <a16:creationId xmlns:a16="http://schemas.microsoft.com/office/drawing/2014/main" id="{ACE2CFA3-E9E9-49F2-8FB2-AFC0EA1571D8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69" name="PORDB6">
          <a:extLst>
            <a:ext uri="{FF2B5EF4-FFF2-40B4-BE49-F238E27FC236}">
              <a16:creationId xmlns:a16="http://schemas.microsoft.com/office/drawing/2014/main" id="{BCDE2266-FFD2-4890-9C0F-496653B90C30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70" name="PORDB6">
          <a:extLst>
            <a:ext uri="{FF2B5EF4-FFF2-40B4-BE49-F238E27FC236}">
              <a16:creationId xmlns:a16="http://schemas.microsoft.com/office/drawing/2014/main" id="{BC9801BA-05B7-4085-829B-50AD72DB7F2F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71" name="PORDB6">
          <a:extLst>
            <a:ext uri="{FF2B5EF4-FFF2-40B4-BE49-F238E27FC236}">
              <a16:creationId xmlns:a16="http://schemas.microsoft.com/office/drawing/2014/main" id="{7C1FC16E-1E98-4DA1-B5C1-86C03D33195B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72" name="PORDB6">
          <a:extLst>
            <a:ext uri="{FF2B5EF4-FFF2-40B4-BE49-F238E27FC236}">
              <a16:creationId xmlns:a16="http://schemas.microsoft.com/office/drawing/2014/main" id="{CBB4642C-7402-42EA-97CB-2F1369033CE0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73" name="PORDB6">
          <a:extLst>
            <a:ext uri="{FF2B5EF4-FFF2-40B4-BE49-F238E27FC236}">
              <a16:creationId xmlns:a16="http://schemas.microsoft.com/office/drawing/2014/main" id="{147A077B-2788-4AA1-9517-28091CEF93C6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74" name="PORDB6">
          <a:extLst>
            <a:ext uri="{FF2B5EF4-FFF2-40B4-BE49-F238E27FC236}">
              <a16:creationId xmlns:a16="http://schemas.microsoft.com/office/drawing/2014/main" id="{17D01719-63CB-48D1-B661-DA1B8441B426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75" name="PORDB6">
          <a:extLst>
            <a:ext uri="{FF2B5EF4-FFF2-40B4-BE49-F238E27FC236}">
              <a16:creationId xmlns:a16="http://schemas.microsoft.com/office/drawing/2014/main" id="{B9431809-EF64-4D4B-98FC-DB727E0801C4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76" name="PORDB6">
          <a:extLst>
            <a:ext uri="{FF2B5EF4-FFF2-40B4-BE49-F238E27FC236}">
              <a16:creationId xmlns:a16="http://schemas.microsoft.com/office/drawing/2014/main" id="{A6C9081A-2CC8-4035-A9E9-268ED7CF533B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77" name="PORDB6">
          <a:extLst>
            <a:ext uri="{FF2B5EF4-FFF2-40B4-BE49-F238E27FC236}">
              <a16:creationId xmlns:a16="http://schemas.microsoft.com/office/drawing/2014/main" id="{026DBA04-3A8D-4B8A-918E-76E78322B97B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78" name="PORDB6">
          <a:extLst>
            <a:ext uri="{FF2B5EF4-FFF2-40B4-BE49-F238E27FC236}">
              <a16:creationId xmlns:a16="http://schemas.microsoft.com/office/drawing/2014/main" id="{A7684231-2809-42D9-8B23-C49AF09EE538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79" name="PORDB6">
          <a:extLst>
            <a:ext uri="{FF2B5EF4-FFF2-40B4-BE49-F238E27FC236}">
              <a16:creationId xmlns:a16="http://schemas.microsoft.com/office/drawing/2014/main" id="{A070E837-ABD8-4465-BAAE-AD4F000A40D2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80" name="PORDB6">
          <a:extLst>
            <a:ext uri="{FF2B5EF4-FFF2-40B4-BE49-F238E27FC236}">
              <a16:creationId xmlns:a16="http://schemas.microsoft.com/office/drawing/2014/main" id="{DA493CE6-FFE0-4767-B3EF-68C134DD830B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81" name="PORDB6">
          <a:extLst>
            <a:ext uri="{FF2B5EF4-FFF2-40B4-BE49-F238E27FC236}">
              <a16:creationId xmlns:a16="http://schemas.microsoft.com/office/drawing/2014/main" id="{88C4553B-D101-4223-8EE7-26283F784691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82" name="PORDB6">
          <a:extLst>
            <a:ext uri="{FF2B5EF4-FFF2-40B4-BE49-F238E27FC236}">
              <a16:creationId xmlns:a16="http://schemas.microsoft.com/office/drawing/2014/main" id="{30675EAB-8D0F-4909-8923-3A5CB3207A3C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83" name="PORDB6">
          <a:extLst>
            <a:ext uri="{FF2B5EF4-FFF2-40B4-BE49-F238E27FC236}">
              <a16:creationId xmlns:a16="http://schemas.microsoft.com/office/drawing/2014/main" id="{90B3A1F4-24CE-4EBF-A385-71C8ED2E0644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84" name="PORDB6">
          <a:extLst>
            <a:ext uri="{FF2B5EF4-FFF2-40B4-BE49-F238E27FC236}">
              <a16:creationId xmlns:a16="http://schemas.microsoft.com/office/drawing/2014/main" id="{AD9592AD-C6FC-4C5C-B82D-6805BBE4C748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85" name="PORDB6">
          <a:extLst>
            <a:ext uri="{FF2B5EF4-FFF2-40B4-BE49-F238E27FC236}">
              <a16:creationId xmlns:a16="http://schemas.microsoft.com/office/drawing/2014/main" id="{293F1A56-7CF8-48F5-ABF9-63DFDED452B8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86" name="PORDB6">
          <a:extLst>
            <a:ext uri="{FF2B5EF4-FFF2-40B4-BE49-F238E27FC236}">
              <a16:creationId xmlns:a16="http://schemas.microsoft.com/office/drawing/2014/main" id="{09CCD430-5FE2-4CD8-A29D-8DEB75936D4A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87" name="PORDB6">
          <a:extLst>
            <a:ext uri="{FF2B5EF4-FFF2-40B4-BE49-F238E27FC236}">
              <a16:creationId xmlns:a16="http://schemas.microsoft.com/office/drawing/2014/main" id="{BADD79BD-785E-40C3-895C-5A1732F3634C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88" name="PORDB6">
          <a:extLst>
            <a:ext uri="{FF2B5EF4-FFF2-40B4-BE49-F238E27FC236}">
              <a16:creationId xmlns:a16="http://schemas.microsoft.com/office/drawing/2014/main" id="{77677227-4C3A-45AA-97CF-730CF5BA0CE3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89" name="PORDB6">
          <a:extLst>
            <a:ext uri="{FF2B5EF4-FFF2-40B4-BE49-F238E27FC236}">
              <a16:creationId xmlns:a16="http://schemas.microsoft.com/office/drawing/2014/main" id="{B4010C4C-848D-4B53-8139-D15EF9A56CE6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90" name="PORDB6">
          <a:extLst>
            <a:ext uri="{FF2B5EF4-FFF2-40B4-BE49-F238E27FC236}">
              <a16:creationId xmlns:a16="http://schemas.microsoft.com/office/drawing/2014/main" id="{31655039-B113-497A-ABB4-758601AC6FB0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91" name="PORDB6">
          <a:extLst>
            <a:ext uri="{FF2B5EF4-FFF2-40B4-BE49-F238E27FC236}">
              <a16:creationId xmlns:a16="http://schemas.microsoft.com/office/drawing/2014/main" id="{236DCBE6-9AE9-465D-858A-4AFB0E2E16A2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92" name="PORDB6">
          <a:extLst>
            <a:ext uri="{FF2B5EF4-FFF2-40B4-BE49-F238E27FC236}">
              <a16:creationId xmlns:a16="http://schemas.microsoft.com/office/drawing/2014/main" id="{5BFD40B3-A04F-4371-B49C-CC9BF43EC2AC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93" name="PORDB6">
          <a:extLst>
            <a:ext uri="{FF2B5EF4-FFF2-40B4-BE49-F238E27FC236}">
              <a16:creationId xmlns:a16="http://schemas.microsoft.com/office/drawing/2014/main" id="{648E0599-60CA-424F-86CF-5C754D0A979E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94" name="PORDB6">
          <a:extLst>
            <a:ext uri="{FF2B5EF4-FFF2-40B4-BE49-F238E27FC236}">
              <a16:creationId xmlns:a16="http://schemas.microsoft.com/office/drawing/2014/main" id="{F5132230-3BDD-4822-8A9E-A0DEAB45CB2B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95" name="PORDB6">
          <a:extLst>
            <a:ext uri="{FF2B5EF4-FFF2-40B4-BE49-F238E27FC236}">
              <a16:creationId xmlns:a16="http://schemas.microsoft.com/office/drawing/2014/main" id="{D25B11DF-EE88-45B1-8BF7-2BB206AD33F6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96" name="PORDB6">
          <a:extLst>
            <a:ext uri="{FF2B5EF4-FFF2-40B4-BE49-F238E27FC236}">
              <a16:creationId xmlns:a16="http://schemas.microsoft.com/office/drawing/2014/main" id="{5102AF65-214B-427B-928C-007BAE70534C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97" name="PORDB6">
          <a:extLst>
            <a:ext uri="{FF2B5EF4-FFF2-40B4-BE49-F238E27FC236}">
              <a16:creationId xmlns:a16="http://schemas.microsoft.com/office/drawing/2014/main" id="{01533CEC-55FC-4DD9-9018-337F52D12615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98" name="PORDB6">
          <a:extLst>
            <a:ext uri="{FF2B5EF4-FFF2-40B4-BE49-F238E27FC236}">
              <a16:creationId xmlns:a16="http://schemas.microsoft.com/office/drawing/2014/main" id="{6E1B4C64-E109-49E7-BD37-A45272ED2A75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299" name="PORDB6">
          <a:extLst>
            <a:ext uri="{FF2B5EF4-FFF2-40B4-BE49-F238E27FC236}">
              <a16:creationId xmlns:a16="http://schemas.microsoft.com/office/drawing/2014/main" id="{0F9BED14-CDAF-4028-A0CF-241D0E4D7D66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00" name="PORDB6">
          <a:extLst>
            <a:ext uri="{FF2B5EF4-FFF2-40B4-BE49-F238E27FC236}">
              <a16:creationId xmlns:a16="http://schemas.microsoft.com/office/drawing/2014/main" id="{9AA2D721-E9DB-4077-8711-4BFA30D921FB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01" name="PORDB6">
          <a:extLst>
            <a:ext uri="{FF2B5EF4-FFF2-40B4-BE49-F238E27FC236}">
              <a16:creationId xmlns:a16="http://schemas.microsoft.com/office/drawing/2014/main" id="{A91569A7-7895-46F9-883A-F97DEAE5B945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02" name="PORDB6">
          <a:extLst>
            <a:ext uri="{FF2B5EF4-FFF2-40B4-BE49-F238E27FC236}">
              <a16:creationId xmlns:a16="http://schemas.microsoft.com/office/drawing/2014/main" id="{19354566-EA00-444F-9135-88863F8B7C69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03" name="PORDB6">
          <a:extLst>
            <a:ext uri="{FF2B5EF4-FFF2-40B4-BE49-F238E27FC236}">
              <a16:creationId xmlns:a16="http://schemas.microsoft.com/office/drawing/2014/main" id="{914CDC7E-3828-4A33-A1E8-F03DAC318F51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04" name="PORDB6">
          <a:extLst>
            <a:ext uri="{FF2B5EF4-FFF2-40B4-BE49-F238E27FC236}">
              <a16:creationId xmlns:a16="http://schemas.microsoft.com/office/drawing/2014/main" id="{946F090E-D3D4-4807-ABF0-00892C16C64C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05" name="PORDB6">
          <a:extLst>
            <a:ext uri="{FF2B5EF4-FFF2-40B4-BE49-F238E27FC236}">
              <a16:creationId xmlns:a16="http://schemas.microsoft.com/office/drawing/2014/main" id="{9A7A68B8-A2B5-4E8C-ABA8-6D2E9B570018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06" name="PORDB6">
          <a:extLst>
            <a:ext uri="{FF2B5EF4-FFF2-40B4-BE49-F238E27FC236}">
              <a16:creationId xmlns:a16="http://schemas.microsoft.com/office/drawing/2014/main" id="{DE426865-BDEE-4267-8F1E-B3E12ACD5022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07" name="PORDB6">
          <a:extLst>
            <a:ext uri="{FF2B5EF4-FFF2-40B4-BE49-F238E27FC236}">
              <a16:creationId xmlns:a16="http://schemas.microsoft.com/office/drawing/2014/main" id="{C8C3237F-555E-4CB2-8A4C-41481D1089FB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08" name="PORDB6">
          <a:extLst>
            <a:ext uri="{FF2B5EF4-FFF2-40B4-BE49-F238E27FC236}">
              <a16:creationId xmlns:a16="http://schemas.microsoft.com/office/drawing/2014/main" id="{0DE29138-96C9-4C71-ADD8-6869E48C990D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09" name="PORDB6">
          <a:extLst>
            <a:ext uri="{FF2B5EF4-FFF2-40B4-BE49-F238E27FC236}">
              <a16:creationId xmlns:a16="http://schemas.microsoft.com/office/drawing/2014/main" id="{D4C904A8-F9F6-4992-B28E-CBC7F3453E14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10" name="PORDB6">
          <a:extLst>
            <a:ext uri="{FF2B5EF4-FFF2-40B4-BE49-F238E27FC236}">
              <a16:creationId xmlns:a16="http://schemas.microsoft.com/office/drawing/2014/main" id="{4B641605-F685-43D7-8E8D-5D6220D4409A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11" name="PORDB6">
          <a:extLst>
            <a:ext uri="{FF2B5EF4-FFF2-40B4-BE49-F238E27FC236}">
              <a16:creationId xmlns:a16="http://schemas.microsoft.com/office/drawing/2014/main" id="{1A7D3379-4A92-46A7-B1C1-E8E02AAD18E2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12" name="PORDB6">
          <a:extLst>
            <a:ext uri="{FF2B5EF4-FFF2-40B4-BE49-F238E27FC236}">
              <a16:creationId xmlns:a16="http://schemas.microsoft.com/office/drawing/2014/main" id="{711B8CE0-E626-4CA5-B09E-7E30DBCB7738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13" name="PORDB6">
          <a:extLst>
            <a:ext uri="{FF2B5EF4-FFF2-40B4-BE49-F238E27FC236}">
              <a16:creationId xmlns:a16="http://schemas.microsoft.com/office/drawing/2014/main" id="{F0217499-C3EB-4EE3-9592-2DC2E9D5BE06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14" name="PORDB6">
          <a:extLst>
            <a:ext uri="{FF2B5EF4-FFF2-40B4-BE49-F238E27FC236}">
              <a16:creationId xmlns:a16="http://schemas.microsoft.com/office/drawing/2014/main" id="{FE4A5420-44B1-46BE-B6A5-4B721E3D5102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15" name="PORDB6">
          <a:extLst>
            <a:ext uri="{FF2B5EF4-FFF2-40B4-BE49-F238E27FC236}">
              <a16:creationId xmlns:a16="http://schemas.microsoft.com/office/drawing/2014/main" id="{883B5F48-F8DC-40D9-AEFF-9BDCAEFC8261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16" name="PORDB6">
          <a:extLst>
            <a:ext uri="{FF2B5EF4-FFF2-40B4-BE49-F238E27FC236}">
              <a16:creationId xmlns:a16="http://schemas.microsoft.com/office/drawing/2014/main" id="{271D1CAD-223B-4159-9B51-9F97AB1E8FDB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17" name="PORDB6">
          <a:extLst>
            <a:ext uri="{FF2B5EF4-FFF2-40B4-BE49-F238E27FC236}">
              <a16:creationId xmlns:a16="http://schemas.microsoft.com/office/drawing/2014/main" id="{11CC6301-5C35-414E-B1A6-E57EF6ADF1B8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18" name="PORDB6">
          <a:extLst>
            <a:ext uri="{FF2B5EF4-FFF2-40B4-BE49-F238E27FC236}">
              <a16:creationId xmlns:a16="http://schemas.microsoft.com/office/drawing/2014/main" id="{46405D50-636C-48F0-86AE-E1252A0756CE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19" name="PORDB6">
          <a:extLst>
            <a:ext uri="{FF2B5EF4-FFF2-40B4-BE49-F238E27FC236}">
              <a16:creationId xmlns:a16="http://schemas.microsoft.com/office/drawing/2014/main" id="{2A5BAC5E-5077-448D-9387-90B5D920E51A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20" name="PORDB6">
          <a:extLst>
            <a:ext uri="{FF2B5EF4-FFF2-40B4-BE49-F238E27FC236}">
              <a16:creationId xmlns:a16="http://schemas.microsoft.com/office/drawing/2014/main" id="{4516E130-633C-4FAC-A47C-67308142DAFE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21" name="PORDB6">
          <a:extLst>
            <a:ext uri="{FF2B5EF4-FFF2-40B4-BE49-F238E27FC236}">
              <a16:creationId xmlns:a16="http://schemas.microsoft.com/office/drawing/2014/main" id="{22B55624-72B9-483F-A554-A7BB8A17980A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22" name="PORDB6">
          <a:extLst>
            <a:ext uri="{FF2B5EF4-FFF2-40B4-BE49-F238E27FC236}">
              <a16:creationId xmlns:a16="http://schemas.microsoft.com/office/drawing/2014/main" id="{F8A2470F-01B4-46F9-96AA-0BD1E327CFC2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23" name="PORDB6">
          <a:extLst>
            <a:ext uri="{FF2B5EF4-FFF2-40B4-BE49-F238E27FC236}">
              <a16:creationId xmlns:a16="http://schemas.microsoft.com/office/drawing/2014/main" id="{215DE08B-CCC0-4DF4-B05C-4DFF2FF03A38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24" name="PORDB6">
          <a:extLst>
            <a:ext uri="{FF2B5EF4-FFF2-40B4-BE49-F238E27FC236}">
              <a16:creationId xmlns:a16="http://schemas.microsoft.com/office/drawing/2014/main" id="{9122B5A4-2E5A-44B0-BC94-055D96226699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25" name="PORDB6">
          <a:extLst>
            <a:ext uri="{FF2B5EF4-FFF2-40B4-BE49-F238E27FC236}">
              <a16:creationId xmlns:a16="http://schemas.microsoft.com/office/drawing/2014/main" id="{B9C412D9-FAA7-47AE-906E-1FCA42B7536F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26" name="PORDB6">
          <a:extLst>
            <a:ext uri="{FF2B5EF4-FFF2-40B4-BE49-F238E27FC236}">
              <a16:creationId xmlns:a16="http://schemas.microsoft.com/office/drawing/2014/main" id="{3100324D-100F-44CC-B3AB-6644B8B3905A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27" name="PORDB6">
          <a:extLst>
            <a:ext uri="{FF2B5EF4-FFF2-40B4-BE49-F238E27FC236}">
              <a16:creationId xmlns:a16="http://schemas.microsoft.com/office/drawing/2014/main" id="{CEA8B867-8B25-4210-A4C9-D5492458071A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28" name="PORDB6">
          <a:extLst>
            <a:ext uri="{FF2B5EF4-FFF2-40B4-BE49-F238E27FC236}">
              <a16:creationId xmlns:a16="http://schemas.microsoft.com/office/drawing/2014/main" id="{FC3C4798-537D-4A46-93F0-B87040AA1A39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29" name="PORDB6">
          <a:extLst>
            <a:ext uri="{FF2B5EF4-FFF2-40B4-BE49-F238E27FC236}">
              <a16:creationId xmlns:a16="http://schemas.microsoft.com/office/drawing/2014/main" id="{CB4436CF-891F-4D6C-954C-425D0C8D0A7F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30" name="PORDB6">
          <a:extLst>
            <a:ext uri="{FF2B5EF4-FFF2-40B4-BE49-F238E27FC236}">
              <a16:creationId xmlns:a16="http://schemas.microsoft.com/office/drawing/2014/main" id="{3C9B4B91-6B5B-442E-BD4A-07D9020D5B7A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31" name="PORDB6">
          <a:extLst>
            <a:ext uri="{FF2B5EF4-FFF2-40B4-BE49-F238E27FC236}">
              <a16:creationId xmlns:a16="http://schemas.microsoft.com/office/drawing/2014/main" id="{3E69A99C-3ABA-425D-84A0-9F56247437CD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32" name="PORDB6">
          <a:extLst>
            <a:ext uri="{FF2B5EF4-FFF2-40B4-BE49-F238E27FC236}">
              <a16:creationId xmlns:a16="http://schemas.microsoft.com/office/drawing/2014/main" id="{AB3FE128-0E63-4C21-8071-3234D1041A5E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33" name="PORDB6">
          <a:extLst>
            <a:ext uri="{FF2B5EF4-FFF2-40B4-BE49-F238E27FC236}">
              <a16:creationId xmlns:a16="http://schemas.microsoft.com/office/drawing/2014/main" id="{CE5E3C8E-26B3-4E66-8F6E-7AA2D4BC903C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34" name="PORDB6">
          <a:extLst>
            <a:ext uri="{FF2B5EF4-FFF2-40B4-BE49-F238E27FC236}">
              <a16:creationId xmlns:a16="http://schemas.microsoft.com/office/drawing/2014/main" id="{5CC50BF8-4B99-4DC0-9511-F2DB85429C54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35" name="PORDB6">
          <a:extLst>
            <a:ext uri="{FF2B5EF4-FFF2-40B4-BE49-F238E27FC236}">
              <a16:creationId xmlns:a16="http://schemas.microsoft.com/office/drawing/2014/main" id="{5DE9C415-D571-4D6C-9780-CF45D1363C52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36" name="PORDB6">
          <a:extLst>
            <a:ext uri="{FF2B5EF4-FFF2-40B4-BE49-F238E27FC236}">
              <a16:creationId xmlns:a16="http://schemas.microsoft.com/office/drawing/2014/main" id="{C0A68CCE-2DE5-4534-B7F0-0B173215E67D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37" name="PORDB6">
          <a:extLst>
            <a:ext uri="{FF2B5EF4-FFF2-40B4-BE49-F238E27FC236}">
              <a16:creationId xmlns:a16="http://schemas.microsoft.com/office/drawing/2014/main" id="{D35B125E-082C-4526-AB67-6F326D2997B9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38" name="PORDB6">
          <a:extLst>
            <a:ext uri="{FF2B5EF4-FFF2-40B4-BE49-F238E27FC236}">
              <a16:creationId xmlns:a16="http://schemas.microsoft.com/office/drawing/2014/main" id="{9F68AD24-A240-4830-B728-E12FEB101037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39" name="PORDB6">
          <a:extLst>
            <a:ext uri="{FF2B5EF4-FFF2-40B4-BE49-F238E27FC236}">
              <a16:creationId xmlns:a16="http://schemas.microsoft.com/office/drawing/2014/main" id="{CF520BDF-5D0A-4677-AC63-AFEC7D010183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40" name="PORDB6">
          <a:extLst>
            <a:ext uri="{FF2B5EF4-FFF2-40B4-BE49-F238E27FC236}">
              <a16:creationId xmlns:a16="http://schemas.microsoft.com/office/drawing/2014/main" id="{275E7BF6-6A4B-46A4-9EBE-C2236B5814A3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41" name="PORDB6">
          <a:extLst>
            <a:ext uri="{FF2B5EF4-FFF2-40B4-BE49-F238E27FC236}">
              <a16:creationId xmlns:a16="http://schemas.microsoft.com/office/drawing/2014/main" id="{274A85A0-E5E7-437F-89CC-DB5B622E1B1F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42" name="PORDB6">
          <a:extLst>
            <a:ext uri="{FF2B5EF4-FFF2-40B4-BE49-F238E27FC236}">
              <a16:creationId xmlns:a16="http://schemas.microsoft.com/office/drawing/2014/main" id="{B7ECF655-C5E6-4218-BBAD-669290173132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43" name="PORDB6">
          <a:extLst>
            <a:ext uri="{FF2B5EF4-FFF2-40B4-BE49-F238E27FC236}">
              <a16:creationId xmlns:a16="http://schemas.microsoft.com/office/drawing/2014/main" id="{6DB2F4DE-A141-4716-9BB3-876979746B42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44" name="PORDB6">
          <a:extLst>
            <a:ext uri="{FF2B5EF4-FFF2-40B4-BE49-F238E27FC236}">
              <a16:creationId xmlns:a16="http://schemas.microsoft.com/office/drawing/2014/main" id="{043AA9FD-9831-4660-B346-03A0A9AE8842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45" name="PORDB6">
          <a:extLst>
            <a:ext uri="{FF2B5EF4-FFF2-40B4-BE49-F238E27FC236}">
              <a16:creationId xmlns:a16="http://schemas.microsoft.com/office/drawing/2014/main" id="{76E127D8-4A5A-4F68-B94C-AC563C888F9C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46" name="PORDB6">
          <a:extLst>
            <a:ext uri="{FF2B5EF4-FFF2-40B4-BE49-F238E27FC236}">
              <a16:creationId xmlns:a16="http://schemas.microsoft.com/office/drawing/2014/main" id="{D009533B-43EB-4F74-A7AE-9F2E9B6FA8D0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47" name="PORDB6">
          <a:extLst>
            <a:ext uri="{FF2B5EF4-FFF2-40B4-BE49-F238E27FC236}">
              <a16:creationId xmlns:a16="http://schemas.microsoft.com/office/drawing/2014/main" id="{0582E6A8-FA46-41BD-B972-6788DD65BBA5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48" name="PORDB6">
          <a:extLst>
            <a:ext uri="{FF2B5EF4-FFF2-40B4-BE49-F238E27FC236}">
              <a16:creationId xmlns:a16="http://schemas.microsoft.com/office/drawing/2014/main" id="{6AF55EB2-86B9-46E8-8617-13464AEA078C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49" name="PORDB6">
          <a:extLst>
            <a:ext uri="{FF2B5EF4-FFF2-40B4-BE49-F238E27FC236}">
              <a16:creationId xmlns:a16="http://schemas.microsoft.com/office/drawing/2014/main" id="{C12CE205-B48B-4E1F-B037-6613F9E38BD2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50" name="PORDB6">
          <a:extLst>
            <a:ext uri="{FF2B5EF4-FFF2-40B4-BE49-F238E27FC236}">
              <a16:creationId xmlns:a16="http://schemas.microsoft.com/office/drawing/2014/main" id="{7BBCE81E-7EEF-4081-BB4F-7D36EC8D0AB8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51" name="PORDB6">
          <a:extLst>
            <a:ext uri="{FF2B5EF4-FFF2-40B4-BE49-F238E27FC236}">
              <a16:creationId xmlns:a16="http://schemas.microsoft.com/office/drawing/2014/main" id="{2958B9FB-3A10-4221-A151-3619667D8BA8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52" name="PORDB6">
          <a:extLst>
            <a:ext uri="{FF2B5EF4-FFF2-40B4-BE49-F238E27FC236}">
              <a16:creationId xmlns:a16="http://schemas.microsoft.com/office/drawing/2014/main" id="{28AFF67E-A2FF-41F2-9774-97F0948E35E7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53" name="PORDB6">
          <a:extLst>
            <a:ext uri="{FF2B5EF4-FFF2-40B4-BE49-F238E27FC236}">
              <a16:creationId xmlns:a16="http://schemas.microsoft.com/office/drawing/2014/main" id="{E4D67611-B4EB-4B6C-B2E0-3D8E6B0EB374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54" name="PORDB6">
          <a:extLst>
            <a:ext uri="{FF2B5EF4-FFF2-40B4-BE49-F238E27FC236}">
              <a16:creationId xmlns:a16="http://schemas.microsoft.com/office/drawing/2014/main" id="{4CB85B53-D1D1-4043-B866-7A290698A41D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55" name="PORDB6">
          <a:extLst>
            <a:ext uri="{FF2B5EF4-FFF2-40B4-BE49-F238E27FC236}">
              <a16:creationId xmlns:a16="http://schemas.microsoft.com/office/drawing/2014/main" id="{07D33052-CDE2-4AF2-88F5-4C89FD667C8A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56" name="PORDB6">
          <a:extLst>
            <a:ext uri="{FF2B5EF4-FFF2-40B4-BE49-F238E27FC236}">
              <a16:creationId xmlns:a16="http://schemas.microsoft.com/office/drawing/2014/main" id="{C1B1573D-AAE6-4037-BD7F-3D5ADE33BDBA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57" name="PORDB6">
          <a:extLst>
            <a:ext uri="{FF2B5EF4-FFF2-40B4-BE49-F238E27FC236}">
              <a16:creationId xmlns:a16="http://schemas.microsoft.com/office/drawing/2014/main" id="{A7FAAEC0-5ED0-46DA-A467-D719CA3EEA78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58" name="PORDB6">
          <a:extLst>
            <a:ext uri="{FF2B5EF4-FFF2-40B4-BE49-F238E27FC236}">
              <a16:creationId xmlns:a16="http://schemas.microsoft.com/office/drawing/2014/main" id="{070A83FA-292F-42DC-A8BA-5171794BDE90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59" name="PORDB6">
          <a:extLst>
            <a:ext uri="{FF2B5EF4-FFF2-40B4-BE49-F238E27FC236}">
              <a16:creationId xmlns:a16="http://schemas.microsoft.com/office/drawing/2014/main" id="{88C33707-7CCA-458A-AF2F-19047B3B61AB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60" name="PORDB6">
          <a:extLst>
            <a:ext uri="{FF2B5EF4-FFF2-40B4-BE49-F238E27FC236}">
              <a16:creationId xmlns:a16="http://schemas.microsoft.com/office/drawing/2014/main" id="{AA129159-051F-4564-8B2C-0B827162E0BD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61" name="PORDB6">
          <a:extLst>
            <a:ext uri="{FF2B5EF4-FFF2-40B4-BE49-F238E27FC236}">
              <a16:creationId xmlns:a16="http://schemas.microsoft.com/office/drawing/2014/main" id="{D506E40F-F19B-4B89-BF16-079640479D9C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62" name="PORDB6">
          <a:extLst>
            <a:ext uri="{FF2B5EF4-FFF2-40B4-BE49-F238E27FC236}">
              <a16:creationId xmlns:a16="http://schemas.microsoft.com/office/drawing/2014/main" id="{0EE9D981-4F4B-4A1E-86E1-8564E98EAE9A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63" name="PORDB6">
          <a:extLst>
            <a:ext uri="{FF2B5EF4-FFF2-40B4-BE49-F238E27FC236}">
              <a16:creationId xmlns:a16="http://schemas.microsoft.com/office/drawing/2014/main" id="{0D5DC848-F363-4B5C-AD43-20840E9989E4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64" name="PORDB6">
          <a:extLst>
            <a:ext uri="{FF2B5EF4-FFF2-40B4-BE49-F238E27FC236}">
              <a16:creationId xmlns:a16="http://schemas.microsoft.com/office/drawing/2014/main" id="{13F9BFF4-CA83-4B37-962F-2A71FEA8AEE6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65" name="PORDB6">
          <a:extLst>
            <a:ext uri="{FF2B5EF4-FFF2-40B4-BE49-F238E27FC236}">
              <a16:creationId xmlns:a16="http://schemas.microsoft.com/office/drawing/2014/main" id="{23D9D531-76DF-472D-9AC4-ACFA71B8FE9D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66" name="PORDB6">
          <a:extLst>
            <a:ext uri="{FF2B5EF4-FFF2-40B4-BE49-F238E27FC236}">
              <a16:creationId xmlns:a16="http://schemas.microsoft.com/office/drawing/2014/main" id="{5819C676-77E3-4F2D-94C5-27BCC9E75413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67" name="PORDB6">
          <a:extLst>
            <a:ext uri="{FF2B5EF4-FFF2-40B4-BE49-F238E27FC236}">
              <a16:creationId xmlns:a16="http://schemas.microsoft.com/office/drawing/2014/main" id="{646476EC-0D0E-42FF-A305-FC8EC865CAFE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68" name="PORDB6">
          <a:extLst>
            <a:ext uri="{FF2B5EF4-FFF2-40B4-BE49-F238E27FC236}">
              <a16:creationId xmlns:a16="http://schemas.microsoft.com/office/drawing/2014/main" id="{8FDB8E15-C60C-4179-89D4-667063581EE0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69" name="PORDB6">
          <a:extLst>
            <a:ext uri="{FF2B5EF4-FFF2-40B4-BE49-F238E27FC236}">
              <a16:creationId xmlns:a16="http://schemas.microsoft.com/office/drawing/2014/main" id="{6318E8C1-DEB6-49C7-8D22-06C68736E643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70" name="PORDB6">
          <a:extLst>
            <a:ext uri="{FF2B5EF4-FFF2-40B4-BE49-F238E27FC236}">
              <a16:creationId xmlns:a16="http://schemas.microsoft.com/office/drawing/2014/main" id="{C81B60F0-EE2E-4D52-BDE6-D798B1B16DC8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71" name="PORDB6">
          <a:extLst>
            <a:ext uri="{FF2B5EF4-FFF2-40B4-BE49-F238E27FC236}">
              <a16:creationId xmlns:a16="http://schemas.microsoft.com/office/drawing/2014/main" id="{58BA03F9-2894-4DED-B4C9-B7BEC66405D2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72" name="PORDB6">
          <a:extLst>
            <a:ext uri="{FF2B5EF4-FFF2-40B4-BE49-F238E27FC236}">
              <a16:creationId xmlns:a16="http://schemas.microsoft.com/office/drawing/2014/main" id="{1B6CEAC2-5C20-4EE7-870D-00194D1DDD76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73" name="PORDB6">
          <a:extLst>
            <a:ext uri="{FF2B5EF4-FFF2-40B4-BE49-F238E27FC236}">
              <a16:creationId xmlns:a16="http://schemas.microsoft.com/office/drawing/2014/main" id="{1F616592-29F5-4ED5-9E52-8A002F19D6A4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74" name="PORDB6">
          <a:extLst>
            <a:ext uri="{FF2B5EF4-FFF2-40B4-BE49-F238E27FC236}">
              <a16:creationId xmlns:a16="http://schemas.microsoft.com/office/drawing/2014/main" id="{3DAE1765-885A-489A-8A67-E23C35C4FB57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75" name="PORDB6">
          <a:extLst>
            <a:ext uri="{FF2B5EF4-FFF2-40B4-BE49-F238E27FC236}">
              <a16:creationId xmlns:a16="http://schemas.microsoft.com/office/drawing/2014/main" id="{789441D2-E329-4C1E-BFF7-266B2B2EE1C5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76" name="PORDB6">
          <a:extLst>
            <a:ext uri="{FF2B5EF4-FFF2-40B4-BE49-F238E27FC236}">
              <a16:creationId xmlns:a16="http://schemas.microsoft.com/office/drawing/2014/main" id="{DA0D74B9-A57D-4E52-82AC-5407F1D34911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77" name="PORDB6">
          <a:extLst>
            <a:ext uri="{FF2B5EF4-FFF2-40B4-BE49-F238E27FC236}">
              <a16:creationId xmlns:a16="http://schemas.microsoft.com/office/drawing/2014/main" id="{ECEA821A-D41F-432C-8E9E-3E9BA11C2889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78" name="PORDB6">
          <a:extLst>
            <a:ext uri="{FF2B5EF4-FFF2-40B4-BE49-F238E27FC236}">
              <a16:creationId xmlns:a16="http://schemas.microsoft.com/office/drawing/2014/main" id="{950B548C-28BC-4BB9-BEBF-1EF31BA0FC74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79" name="PORDB6">
          <a:extLst>
            <a:ext uri="{FF2B5EF4-FFF2-40B4-BE49-F238E27FC236}">
              <a16:creationId xmlns:a16="http://schemas.microsoft.com/office/drawing/2014/main" id="{CF3BF448-6ADD-47BB-9C7D-59C1ACAB145C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80" name="PORDB6">
          <a:extLst>
            <a:ext uri="{FF2B5EF4-FFF2-40B4-BE49-F238E27FC236}">
              <a16:creationId xmlns:a16="http://schemas.microsoft.com/office/drawing/2014/main" id="{5342C3A5-D328-4CE8-B6F8-B76B41931E8C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81" name="PORDB6">
          <a:extLst>
            <a:ext uri="{FF2B5EF4-FFF2-40B4-BE49-F238E27FC236}">
              <a16:creationId xmlns:a16="http://schemas.microsoft.com/office/drawing/2014/main" id="{0F07F0D6-54DF-479E-83DF-014E9EDC01E8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82" name="PORDB6">
          <a:extLst>
            <a:ext uri="{FF2B5EF4-FFF2-40B4-BE49-F238E27FC236}">
              <a16:creationId xmlns:a16="http://schemas.microsoft.com/office/drawing/2014/main" id="{0F6D3240-B2CD-4295-9F45-041F38E897D7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83" name="PORDB6">
          <a:extLst>
            <a:ext uri="{FF2B5EF4-FFF2-40B4-BE49-F238E27FC236}">
              <a16:creationId xmlns:a16="http://schemas.microsoft.com/office/drawing/2014/main" id="{56B66F59-706F-480B-B1A9-30B8900F1451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84" name="PORDB6">
          <a:extLst>
            <a:ext uri="{FF2B5EF4-FFF2-40B4-BE49-F238E27FC236}">
              <a16:creationId xmlns:a16="http://schemas.microsoft.com/office/drawing/2014/main" id="{C56AC125-B948-4FEA-8D41-896EADB9F7C2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85" name="PORDB6">
          <a:extLst>
            <a:ext uri="{FF2B5EF4-FFF2-40B4-BE49-F238E27FC236}">
              <a16:creationId xmlns:a16="http://schemas.microsoft.com/office/drawing/2014/main" id="{1FDABAD5-F202-40DB-9D7E-682C557C81F3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86" name="PORDB6">
          <a:extLst>
            <a:ext uri="{FF2B5EF4-FFF2-40B4-BE49-F238E27FC236}">
              <a16:creationId xmlns:a16="http://schemas.microsoft.com/office/drawing/2014/main" id="{C4EF57D2-2300-4B82-84A4-CD910F3E0E8F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87" name="PORDB6">
          <a:extLst>
            <a:ext uri="{FF2B5EF4-FFF2-40B4-BE49-F238E27FC236}">
              <a16:creationId xmlns:a16="http://schemas.microsoft.com/office/drawing/2014/main" id="{B4E00109-B198-4917-B3F6-8A05B8ADC87E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88" name="PORDB6">
          <a:extLst>
            <a:ext uri="{FF2B5EF4-FFF2-40B4-BE49-F238E27FC236}">
              <a16:creationId xmlns:a16="http://schemas.microsoft.com/office/drawing/2014/main" id="{DC96FBDA-D773-4161-AB0B-3F0ABB8A265B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89" name="PORDB6">
          <a:extLst>
            <a:ext uri="{FF2B5EF4-FFF2-40B4-BE49-F238E27FC236}">
              <a16:creationId xmlns:a16="http://schemas.microsoft.com/office/drawing/2014/main" id="{D5B605C7-142B-4FC5-88CC-62447DFD3334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90" name="PORDB6">
          <a:extLst>
            <a:ext uri="{FF2B5EF4-FFF2-40B4-BE49-F238E27FC236}">
              <a16:creationId xmlns:a16="http://schemas.microsoft.com/office/drawing/2014/main" id="{A0FB5E53-58F0-496F-8FD3-00461D8646C0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91" name="PORDB6">
          <a:extLst>
            <a:ext uri="{FF2B5EF4-FFF2-40B4-BE49-F238E27FC236}">
              <a16:creationId xmlns:a16="http://schemas.microsoft.com/office/drawing/2014/main" id="{AD83A073-626D-449D-9C6F-D393A332102E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92" name="PORDB6">
          <a:extLst>
            <a:ext uri="{FF2B5EF4-FFF2-40B4-BE49-F238E27FC236}">
              <a16:creationId xmlns:a16="http://schemas.microsoft.com/office/drawing/2014/main" id="{A6C6F246-4D36-4F90-A36C-BC18C5797106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93" name="PORDB6">
          <a:extLst>
            <a:ext uri="{FF2B5EF4-FFF2-40B4-BE49-F238E27FC236}">
              <a16:creationId xmlns:a16="http://schemas.microsoft.com/office/drawing/2014/main" id="{7225AD2E-933C-41E3-8461-EEFF9C9132A5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94" name="PORDB6">
          <a:extLst>
            <a:ext uri="{FF2B5EF4-FFF2-40B4-BE49-F238E27FC236}">
              <a16:creationId xmlns:a16="http://schemas.microsoft.com/office/drawing/2014/main" id="{AAD3FE0C-206B-4289-9578-1CAB1339A0DC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95" name="PORDB6">
          <a:extLst>
            <a:ext uri="{FF2B5EF4-FFF2-40B4-BE49-F238E27FC236}">
              <a16:creationId xmlns:a16="http://schemas.microsoft.com/office/drawing/2014/main" id="{25BB4A83-3337-499B-88BC-D1B2D157B1DE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96" name="PORDB6">
          <a:extLst>
            <a:ext uri="{FF2B5EF4-FFF2-40B4-BE49-F238E27FC236}">
              <a16:creationId xmlns:a16="http://schemas.microsoft.com/office/drawing/2014/main" id="{03E61CEB-8BFF-470A-B762-38F545129981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97" name="PORDB6">
          <a:extLst>
            <a:ext uri="{FF2B5EF4-FFF2-40B4-BE49-F238E27FC236}">
              <a16:creationId xmlns:a16="http://schemas.microsoft.com/office/drawing/2014/main" id="{CF95AC63-5248-4DF9-80E3-1E83E745FA3D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98" name="PORDB6">
          <a:extLst>
            <a:ext uri="{FF2B5EF4-FFF2-40B4-BE49-F238E27FC236}">
              <a16:creationId xmlns:a16="http://schemas.microsoft.com/office/drawing/2014/main" id="{2AC24585-75B4-42EF-BFE1-07E99B36CA2D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399" name="PORDB6">
          <a:extLst>
            <a:ext uri="{FF2B5EF4-FFF2-40B4-BE49-F238E27FC236}">
              <a16:creationId xmlns:a16="http://schemas.microsoft.com/office/drawing/2014/main" id="{7C03DFD9-6B2F-4CE6-AA82-6EAF39F707D1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00" name="PORDB6">
          <a:extLst>
            <a:ext uri="{FF2B5EF4-FFF2-40B4-BE49-F238E27FC236}">
              <a16:creationId xmlns:a16="http://schemas.microsoft.com/office/drawing/2014/main" id="{4DA8D5C8-EFD6-49A4-85BB-CF3C4A5F160D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01" name="PORDB6">
          <a:extLst>
            <a:ext uri="{FF2B5EF4-FFF2-40B4-BE49-F238E27FC236}">
              <a16:creationId xmlns:a16="http://schemas.microsoft.com/office/drawing/2014/main" id="{D9D6F982-08FA-4F3D-BB6A-31F35633E63B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02" name="PORDB6">
          <a:extLst>
            <a:ext uri="{FF2B5EF4-FFF2-40B4-BE49-F238E27FC236}">
              <a16:creationId xmlns:a16="http://schemas.microsoft.com/office/drawing/2014/main" id="{9DBC30EF-351F-4176-BADF-F498BF4B4D4B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03" name="PORDB6">
          <a:extLst>
            <a:ext uri="{FF2B5EF4-FFF2-40B4-BE49-F238E27FC236}">
              <a16:creationId xmlns:a16="http://schemas.microsoft.com/office/drawing/2014/main" id="{59E54A2E-86FF-4183-B5D1-326431AEB1ED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04" name="PORDB6">
          <a:extLst>
            <a:ext uri="{FF2B5EF4-FFF2-40B4-BE49-F238E27FC236}">
              <a16:creationId xmlns:a16="http://schemas.microsoft.com/office/drawing/2014/main" id="{774953EA-8781-4AD2-B53F-39DE5908ACE8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05" name="PORDB6">
          <a:extLst>
            <a:ext uri="{FF2B5EF4-FFF2-40B4-BE49-F238E27FC236}">
              <a16:creationId xmlns:a16="http://schemas.microsoft.com/office/drawing/2014/main" id="{D6864DD1-B50A-41E7-A168-B02464EE4CD3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06" name="PORDB6">
          <a:extLst>
            <a:ext uri="{FF2B5EF4-FFF2-40B4-BE49-F238E27FC236}">
              <a16:creationId xmlns:a16="http://schemas.microsoft.com/office/drawing/2014/main" id="{62892F92-4616-4B86-8637-64CC8F3DB343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07" name="PORDB6">
          <a:extLst>
            <a:ext uri="{FF2B5EF4-FFF2-40B4-BE49-F238E27FC236}">
              <a16:creationId xmlns:a16="http://schemas.microsoft.com/office/drawing/2014/main" id="{3792CD21-6D9A-41DF-AD34-ADF7CC9326B3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08" name="PORDB6">
          <a:extLst>
            <a:ext uri="{FF2B5EF4-FFF2-40B4-BE49-F238E27FC236}">
              <a16:creationId xmlns:a16="http://schemas.microsoft.com/office/drawing/2014/main" id="{B143A65E-683C-4492-A9C6-4B7F5457EAC7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09" name="PORDB6">
          <a:extLst>
            <a:ext uri="{FF2B5EF4-FFF2-40B4-BE49-F238E27FC236}">
              <a16:creationId xmlns:a16="http://schemas.microsoft.com/office/drawing/2014/main" id="{648A7A67-C2C3-4AEF-9103-DD42894AB0D7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10" name="PORDB6">
          <a:extLst>
            <a:ext uri="{FF2B5EF4-FFF2-40B4-BE49-F238E27FC236}">
              <a16:creationId xmlns:a16="http://schemas.microsoft.com/office/drawing/2014/main" id="{42E5F0D1-665C-4839-93A3-F11EFA97349B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11" name="PORDB6">
          <a:extLst>
            <a:ext uri="{FF2B5EF4-FFF2-40B4-BE49-F238E27FC236}">
              <a16:creationId xmlns:a16="http://schemas.microsoft.com/office/drawing/2014/main" id="{5EB233BD-E6A0-4907-9EBA-178C5B6F3063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12" name="PORDB6">
          <a:extLst>
            <a:ext uri="{FF2B5EF4-FFF2-40B4-BE49-F238E27FC236}">
              <a16:creationId xmlns:a16="http://schemas.microsoft.com/office/drawing/2014/main" id="{B7DBBD14-0430-4AAC-8BFD-396B7BC1212E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13" name="PORDB6">
          <a:extLst>
            <a:ext uri="{FF2B5EF4-FFF2-40B4-BE49-F238E27FC236}">
              <a16:creationId xmlns:a16="http://schemas.microsoft.com/office/drawing/2014/main" id="{1BB06CE8-E516-470F-9C5B-B53EEB3D7726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14" name="PORDB6">
          <a:extLst>
            <a:ext uri="{FF2B5EF4-FFF2-40B4-BE49-F238E27FC236}">
              <a16:creationId xmlns:a16="http://schemas.microsoft.com/office/drawing/2014/main" id="{848F1D26-DFCA-45DA-9139-45986B5EE15B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15" name="PORDB6">
          <a:extLst>
            <a:ext uri="{FF2B5EF4-FFF2-40B4-BE49-F238E27FC236}">
              <a16:creationId xmlns:a16="http://schemas.microsoft.com/office/drawing/2014/main" id="{7408B86E-0D7E-4E1D-9D84-30706578CC53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16" name="PORDB6">
          <a:extLst>
            <a:ext uri="{FF2B5EF4-FFF2-40B4-BE49-F238E27FC236}">
              <a16:creationId xmlns:a16="http://schemas.microsoft.com/office/drawing/2014/main" id="{DE6E8296-95A5-4873-85CF-DFFBB1A355FA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17" name="PORDB6">
          <a:extLst>
            <a:ext uri="{FF2B5EF4-FFF2-40B4-BE49-F238E27FC236}">
              <a16:creationId xmlns:a16="http://schemas.microsoft.com/office/drawing/2014/main" id="{59CC7405-2F0D-4C95-8870-A317282C7007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18" name="PORDB6">
          <a:extLst>
            <a:ext uri="{FF2B5EF4-FFF2-40B4-BE49-F238E27FC236}">
              <a16:creationId xmlns:a16="http://schemas.microsoft.com/office/drawing/2014/main" id="{6F0D251B-F3F6-46FE-A71A-E1623691CAD2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19" name="PORDB6">
          <a:extLst>
            <a:ext uri="{FF2B5EF4-FFF2-40B4-BE49-F238E27FC236}">
              <a16:creationId xmlns:a16="http://schemas.microsoft.com/office/drawing/2014/main" id="{FCE6ABDE-02EE-4107-AF45-2B255D2C9694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20" name="PORDB6">
          <a:extLst>
            <a:ext uri="{FF2B5EF4-FFF2-40B4-BE49-F238E27FC236}">
              <a16:creationId xmlns:a16="http://schemas.microsoft.com/office/drawing/2014/main" id="{8B9FB249-8B85-4185-A689-D63274771166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21" name="PORDB6">
          <a:extLst>
            <a:ext uri="{FF2B5EF4-FFF2-40B4-BE49-F238E27FC236}">
              <a16:creationId xmlns:a16="http://schemas.microsoft.com/office/drawing/2014/main" id="{45B73AE6-3F7A-44B5-A853-7B769D76379F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22" name="PORDB6">
          <a:extLst>
            <a:ext uri="{FF2B5EF4-FFF2-40B4-BE49-F238E27FC236}">
              <a16:creationId xmlns:a16="http://schemas.microsoft.com/office/drawing/2014/main" id="{0CEC66AC-776E-4BBD-B08E-2FDACCE6BC92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23" name="PORDB6">
          <a:extLst>
            <a:ext uri="{FF2B5EF4-FFF2-40B4-BE49-F238E27FC236}">
              <a16:creationId xmlns:a16="http://schemas.microsoft.com/office/drawing/2014/main" id="{84233D14-B656-47B1-A353-5CD24651AE57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24" name="PORDB6">
          <a:extLst>
            <a:ext uri="{FF2B5EF4-FFF2-40B4-BE49-F238E27FC236}">
              <a16:creationId xmlns:a16="http://schemas.microsoft.com/office/drawing/2014/main" id="{7A5274C0-7EEF-4528-9CE3-2C5E5842BB27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25" name="PORDB6">
          <a:extLst>
            <a:ext uri="{FF2B5EF4-FFF2-40B4-BE49-F238E27FC236}">
              <a16:creationId xmlns:a16="http://schemas.microsoft.com/office/drawing/2014/main" id="{D5D680B5-8896-4786-98BE-E1F180D600AE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26" name="PORDB6">
          <a:extLst>
            <a:ext uri="{FF2B5EF4-FFF2-40B4-BE49-F238E27FC236}">
              <a16:creationId xmlns:a16="http://schemas.microsoft.com/office/drawing/2014/main" id="{04AAC7FE-8481-48F6-BE85-A34AFE82AC28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27" name="PORDB6">
          <a:extLst>
            <a:ext uri="{FF2B5EF4-FFF2-40B4-BE49-F238E27FC236}">
              <a16:creationId xmlns:a16="http://schemas.microsoft.com/office/drawing/2014/main" id="{EB55E6B0-683F-48A8-A1E7-587AB3278647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28" name="PORDB6">
          <a:extLst>
            <a:ext uri="{FF2B5EF4-FFF2-40B4-BE49-F238E27FC236}">
              <a16:creationId xmlns:a16="http://schemas.microsoft.com/office/drawing/2014/main" id="{EC1E2A9A-9F8A-46C6-A5FE-AD2404C69817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29" name="PORDB6">
          <a:extLst>
            <a:ext uri="{FF2B5EF4-FFF2-40B4-BE49-F238E27FC236}">
              <a16:creationId xmlns:a16="http://schemas.microsoft.com/office/drawing/2014/main" id="{1332903C-8B2E-4E21-86E6-DCB69C901E36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30" name="PORDB6">
          <a:extLst>
            <a:ext uri="{FF2B5EF4-FFF2-40B4-BE49-F238E27FC236}">
              <a16:creationId xmlns:a16="http://schemas.microsoft.com/office/drawing/2014/main" id="{89AC2769-C405-4688-A3E5-94EE160F234E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31" name="PORDB6">
          <a:extLst>
            <a:ext uri="{FF2B5EF4-FFF2-40B4-BE49-F238E27FC236}">
              <a16:creationId xmlns:a16="http://schemas.microsoft.com/office/drawing/2014/main" id="{D9398EA0-8C69-4517-95C7-BDFA012C5BCB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32" name="PORDB6">
          <a:extLst>
            <a:ext uri="{FF2B5EF4-FFF2-40B4-BE49-F238E27FC236}">
              <a16:creationId xmlns:a16="http://schemas.microsoft.com/office/drawing/2014/main" id="{BB537AE9-D312-4939-9F9E-C6FDFDC683CC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33" name="PORDB6">
          <a:extLst>
            <a:ext uri="{FF2B5EF4-FFF2-40B4-BE49-F238E27FC236}">
              <a16:creationId xmlns:a16="http://schemas.microsoft.com/office/drawing/2014/main" id="{80B2831F-37BB-4B7C-BE9E-DF534A040432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34" name="PORDB6">
          <a:extLst>
            <a:ext uri="{FF2B5EF4-FFF2-40B4-BE49-F238E27FC236}">
              <a16:creationId xmlns:a16="http://schemas.microsoft.com/office/drawing/2014/main" id="{468A31F2-F368-4DFF-839B-934CDDBFDAA8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35" name="PORDB6">
          <a:extLst>
            <a:ext uri="{FF2B5EF4-FFF2-40B4-BE49-F238E27FC236}">
              <a16:creationId xmlns:a16="http://schemas.microsoft.com/office/drawing/2014/main" id="{D806C562-E6A4-4EA5-B35F-E9FF521363FD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36" name="PORDB6">
          <a:extLst>
            <a:ext uri="{FF2B5EF4-FFF2-40B4-BE49-F238E27FC236}">
              <a16:creationId xmlns:a16="http://schemas.microsoft.com/office/drawing/2014/main" id="{D87C36C3-D1F6-4EFB-AF4E-4F835C85E6BA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37" name="PORDB6">
          <a:extLst>
            <a:ext uri="{FF2B5EF4-FFF2-40B4-BE49-F238E27FC236}">
              <a16:creationId xmlns:a16="http://schemas.microsoft.com/office/drawing/2014/main" id="{570B76FF-95C4-470A-B0C0-48A878106791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38" name="PORDB6">
          <a:extLst>
            <a:ext uri="{FF2B5EF4-FFF2-40B4-BE49-F238E27FC236}">
              <a16:creationId xmlns:a16="http://schemas.microsoft.com/office/drawing/2014/main" id="{1DDAD88F-F4C7-4F45-A755-2258BE02E527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39" name="PORDB6">
          <a:extLst>
            <a:ext uri="{FF2B5EF4-FFF2-40B4-BE49-F238E27FC236}">
              <a16:creationId xmlns:a16="http://schemas.microsoft.com/office/drawing/2014/main" id="{B29A0930-F2D4-4FAD-B972-6B44EE53048D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40" name="PORDB6">
          <a:extLst>
            <a:ext uri="{FF2B5EF4-FFF2-40B4-BE49-F238E27FC236}">
              <a16:creationId xmlns:a16="http://schemas.microsoft.com/office/drawing/2014/main" id="{55617C4D-0596-412A-A8BF-8E1203B28899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41" name="PORDB6">
          <a:extLst>
            <a:ext uri="{FF2B5EF4-FFF2-40B4-BE49-F238E27FC236}">
              <a16:creationId xmlns:a16="http://schemas.microsoft.com/office/drawing/2014/main" id="{D64D16A7-745E-40DA-82B8-1A31B682BC23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42" name="PORDB6">
          <a:extLst>
            <a:ext uri="{FF2B5EF4-FFF2-40B4-BE49-F238E27FC236}">
              <a16:creationId xmlns:a16="http://schemas.microsoft.com/office/drawing/2014/main" id="{D42E9195-5181-4C7D-93A5-6C10CA690AF0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43" name="PORDB6">
          <a:extLst>
            <a:ext uri="{FF2B5EF4-FFF2-40B4-BE49-F238E27FC236}">
              <a16:creationId xmlns:a16="http://schemas.microsoft.com/office/drawing/2014/main" id="{D2F80CF6-26CB-4EA2-824A-3CEBE521D564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44" name="PORDB6">
          <a:extLst>
            <a:ext uri="{FF2B5EF4-FFF2-40B4-BE49-F238E27FC236}">
              <a16:creationId xmlns:a16="http://schemas.microsoft.com/office/drawing/2014/main" id="{4DF1F919-154F-4B27-B463-02F97D5CF880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45" name="PORDB6">
          <a:extLst>
            <a:ext uri="{FF2B5EF4-FFF2-40B4-BE49-F238E27FC236}">
              <a16:creationId xmlns:a16="http://schemas.microsoft.com/office/drawing/2014/main" id="{81A29315-3A6E-4CBD-B367-1D1AFCE9FBBD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46" name="PORDB6">
          <a:extLst>
            <a:ext uri="{FF2B5EF4-FFF2-40B4-BE49-F238E27FC236}">
              <a16:creationId xmlns:a16="http://schemas.microsoft.com/office/drawing/2014/main" id="{215CD8C9-F706-4211-86E5-33B5B8CE8C29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47" name="PORDB6">
          <a:extLst>
            <a:ext uri="{FF2B5EF4-FFF2-40B4-BE49-F238E27FC236}">
              <a16:creationId xmlns:a16="http://schemas.microsoft.com/office/drawing/2014/main" id="{D3E49A83-307D-4DF7-BDE0-3DF90C9D0DC9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48" name="PORDB6">
          <a:extLst>
            <a:ext uri="{FF2B5EF4-FFF2-40B4-BE49-F238E27FC236}">
              <a16:creationId xmlns:a16="http://schemas.microsoft.com/office/drawing/2014/main" id="{210A3ECC-F3B7-4B11-8140-11AEE656E798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49" name="PORDB6">
          <a:extLst>
            <a:ext uri="{FF2B5EF4-FFF2-40B4-BE49-F238E27FC236}">
              <a16:creationId xmlns:a16="http://schemas.microsoft.com/office/drawing/2014/main" id="{7791EA9D-EF6B-4931-AAE9-0FB953D32DD4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50" name="PORDB6">
          <a:extLst>
            <a:ext uri="{FF2B5EF4-FFF2-40B4-BE49-F238E27FC236}">
              <a16:creationId xmlns:a16="http://schemas.microsoft.com/office/drawing/2014/main" id="{B4D75484-A61A-4F4C-9F54-A3EF98D63A4F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51" name="PORDB6">
          <a:extLst>
            <a:ext uri="{FF2B5EF4-FFF2-40B4-BE49-F238E27FC236}">
              <a16:creationId xmlns:a16="http://schemas.microsoft.com/office/drawing/2014/main" id="{060CF4B2-CB95-4FE7-8E04-D26CA435E4EB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52" name="PORDB6">
          <a:extLst>
            <a:ext uri="{FF2B5EF4-FFF2-40B4-BE49-F238E27FC236}">
              <a16:creationId xmlns:a16="http://schemas.microsoft.com/office/drawing/2014/main" id="{B4E1AEF2-A772-492D-BD8A-5708AE3A9278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53" name="PORDB6">
          <a:extLst>
            <a:ext uri="{FF2B5EF4-FFF2-40B4-BE49-F238E27FC236}">
              <a16:creationId xmlns:a16="http://schemas.microsoft.com/office/drawing/2014/main" id="{E0EBB8EE-252F-4441-91BF-54538EF7D4A2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54" name="PORDB6">
          <a:extLst>
            <a:ext uri="{FF2B5EF4-FFF2-40B4-BE49-F238E27FC236}">
              <a16:creationId xmlns:a16="http://schemas.microsoft.com/office/drawing/2014/main" id="{59992C58-FE10-4C90-94F2-0F64891EBB5E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55" name="PORDB6">
          <a:extLst>
            <a:ext uri="{FF2B5EF4-FFF2-40B4-BE49-F238E27FC236}">
              <a16:creationId xmlns:a16="http://schemas.microsoft.com/office/drawing/2014/main" id="{6C9BFC7C-B79F-4B2D-825C-31C16C44E461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56" name="PORDB6">
          <a:extLst>
            <a:ext uri="{FF2B5EF4-FFF2-40B4-BE49-F238E27FC236}">
              <a16:creationId xmlns:a16="http://schemas.microsoft.com/office/drawing/2014/main" id="{C91AA057-B0A7-4E20-9D16-A04E9E76FD15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57" name="PORDB6">
          <a:extLst>
            <a:ext uri="{FF2B5EF4-FFF2-40B4-BE49-F238E27FC236}">
              <a16:creationId xmlns:a16="http://schemas.microsoft.com/office/drawing/2014/main" id="{DDA450FC-BE7C-4FAE-B519-D08F86222B33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58" name="PORDB6">
          <a:extLst>
            <a:ext uri="{FF2B5EF4-FFF2-40B4-BE49-F238E27FC236}">
              <a16:creationId xmlns:a16="http://schemas.microsoft.com/office/drawing/2014/main" id="{57651B08-76EC-447D-B58C-E2AA1BF97306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59" name="PORDB6">
          <a:extLst>
            <a:ext uri="{FF2B5EF4-FFF2-40B4-BE49-F238E27FC236}">
              <a16:creationId xmlns:a16="http://schemas.microsoft.com/office/drawing/2014/main" id="{F59EFE8E-0C4C-4312-AEC4-94E4BBF50FC5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60" name="PORDB6">
          <a:extLst>
            <a:ext uri="{FF2B5EF4-FFF2-40B4-BE49-F238E27FC236}">
              <a16:creationId xmlns:a16="http://schemas.microsoft.com/office/drawing/2014/main" id="{41A404CD-0CF3-4885-87A2-33795021E1E4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61" name="PORDB6">
          <a:extLst>
            <a:ext uri="{FF2B5EF4-FFF2-40B4-BE49-F238E27FC236}">
              <a16:creationId xmlns:a16="http://schemas.microsoft.com/office/drawing/2014/main" id="{90F98047-865E-43CC-ADD8-E739C79CC0B9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62" name="PORDB6">
          <a:extLst>
            <a:ext uri="{FF2B5EF4-FFF2-40B4-BE49-F238E27FC236}">
              <a16:creationId xmlns:a16="http://schemas.microsoft.com/office/drawing/2014/main" id="{A737701E-0A13-444E-A97B-C673FDF3ABF5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63" name="PORDB6">
          <a:extLst>
            <a:ext uri="{FF2B5EF4-FFF2-40B4-BE49-F238E27FC236}">
              <a16:creationId xmlns:a16="http://schemas.microsoft.com/office/drawing/2014/main" id="{99F4622D-DA94-4F1F-9ABF-4E3E8E38A5C2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64" name="PORDB6">
          <a:extLst>
            <a:ext uri="{FF2B5EF4-FFF2-40B4-BE49-F238E27FC236}">
              <a16:creationId xmlns:a16="http://schemas.microsoft.com/office/drawing/2014/main" id="{D88302EF-E44E-437E-ACFD-1994ADD11D67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65" name="PORDB6">
          <a:extLst>
            <a:ext uri="{FF2B5EF4-FFF2-40B4-BE49-F238E27FC236}">
              <a16:creationId xmlns:a16="http://schemas.microsoft.com/office/drawing/2014/main" id="{28A6CC1C-A2E8-461A-9F29-0D26356ADB86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66" name="PORDB6">
          <a:extLst>
            <a:ext uri="{FF2B5EF4-FFF2-40B4-BE49-F238E27FC236}">
              <a16:creationId xmlns:a16="http://schemas.microsoft.com/office/drawing/2014/main" id="{4B6E3154-5B70-4D89-8E42-69704F9D9910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67" name="PORDB6">
          <a:extLst>
            <a:ext uri="{FF2B5EF4-FFF2-40B4-BE49-F238E27FC236}">
              <a16:creationId xmlns:a16="http://schemas.microsoft.com/office/drawing/2014/main" id="{3AF73107-C661-4ADC-87BA-E100D4D5C718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68" name="PORDB6">
          <a:extLst>
            <a:ext uri="{FF2B5EF4-FFF2-40B4-BE49-F238E27FC236}">
              <a16:creationId xmlns:a16="http://schemas.microsoft.com/office/drawing/2014/main" id="{C6993955-842A-4B7A-B736-11453EFFFACF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69" name="PORDB6">
          <a:extLst>
            <a:ext uri="{FF2B5EF4-FFF2-40B4-BE49-F238E27FC236}">
              <a16:creationId xmlns:a16="http://schemas.microsoft.com/office/drawing/2014/main" id="{CD874DDB-5F3D-4C41-8EFB-A9DEE27533DA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70" name="PORDB6">
          <a:extLst>
            <a:ext uri="{FF2B5EF4-FFF2-40B4-BE49-F238E27FC236}">
              <a16:creationId xmlns:a16="http://schemas.microsoft.com/office/drawing/2014/main" id="{0EA43928-5D0D-4DD4-A328-156E27D205D8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71" name="PORDB6">
          <a:extLst>
            <a:ext uri="{FF2B5EF4-FFF2-40B4-BE49-F238E27FC236}">
              <a16:creationId xmlns:a16="http://schemas.microsoft.com/office/drawing/2014/main" id="{6269043E-CE8D-4162-8D62-99C2E1CF7D04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72" name="PORDB6">
          <a:extLst>
            <a:ext uri="{FF2B5EF4-FFF2-40B4-BE49-F238E27FC236}">
              <a16:creationId xmlns:a16="http://schemas.microsoft.com/office/drawing/2014/main" id="{42AC560E-3DC4-483D-8951-A797C7D52818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73" name="PORDB6">
          <a:extLst>
            <a:ext uri="{FF2B5EF4-FFF2-40B4-BE49-F238E27FC236}">
              <a16:creationId xmlns:a16="http://schemas.microsoft.com/office/drawing/2014/main" id="{1F9CE3A1-A49E-4122-9087-91718852717C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74" name="PORDB6">
          <a:extLst>
            <a:ext uri="{FF2B5EF4-FFF2-40B4-BE49-F238E27FC236}">
              <a16:creationId xmlns:a16="http://schemas.microsoft.com/office/drawing/2014/main" id="{2FF4500A-73AF-4BE6-BE3C-0D99C5CD8779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75" name="PORDB6">
          <a:extLst>
            <a:ext uri="{FF2B5EF4-FFF2-40B4-BE49-F238E27FC236}">
              <a16:creationId xmlns:a16="http://schemas.microsoft.com/office/drawing/2014/main" id="{74CE96A5-4D92-48A6-A5B7-C3FEC8D81F93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76" name="PORDB6">
          <a:extLst>
            <a:ext uri="{FF2B5EF4-FFF2-40B4-BE49-F238E27FC236}">
              <a16:creationId xmlns:a16="http://schemas.microsoft.com/office/drawing/2014/main" id="{C52C466F-C866-425E-9617-B40A0A729E59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77" name="PORDB6">
          <a:extLst>
            <a:ext uri="{FF2B5EF4-FFF2-40B4-BE49-F238E27FC236}">
              <a16:creationId xmlns:a16="http://schemas.microsoft.com/office/drawing/2014/main" id="{6D8647BC-1ED7-43FE-937C-42E7092CAFE4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78" name="PORDB6">
          <a:extLst>
            <a:ext uri="{FF2B5EF4-FFF2-40B4-BE49-F238E27FC236}">
              <a16:creationId xmlns:a16="http://schemas.microsoft.com/office/drawing/2014/main" id="{174EA17A-A977-477D-A934-7E8F404DB0A3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79" name="PORDB6">
          <a:extLst>
            <a:ext uri="{FF2B5EF4-FFF2-40B4-BE49-F238E27FC236}">
              <a16:creationId xmlns:a16="http://schemas.microsoft.com/office/drawing/2014/main" id="{86CAE0B9-8540-4317-BA72-E43EFCA6733A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80" name="PORDB6">
          <a:extLst>
            <a:ext uri="{FF2B5EF4-FFF2-40B4-BE49-F238E27FC236}">
              <a16:creationId xmlns:a16="http://schemas.microsoft.com/office/drawing/2014/main" id="{4BD6BF16-69E2-4922-BDFB-26E1A3C66994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81" name="PORDB6">
          <a:extLst>
            <a:ext uri="{FF2B5EF4-FFF2-40B4-BE49-F238E27FC236}">
              <a16:creationId xmlns:a16="http://schemas.microsoft.com/office/drawing/2014/main" id="{BF1F84C8-766C-42A0-ACFE-DFCD403B0212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82" name="PORDB6">
          <a:extLst>
            <a:ext uri="{FF2B5EF4-FFF2-40B4-BE49-F238E27FC236}">
              <a16:creationId xmlns:a16="http://schemas.microsoft.com/office/drawing/2014/main" id="{54199DF7-AEC1-4972-A4D9-A0B53981FADB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83" name="PORDB6">
          <a:extLst>
            <a:ext uri="{FF2B5EF4-FFF2-40B4-BE49-F238E27FC236}">
              <a16:creationId xmlns:a16="http://schemas.microsoft.com/office/drawing/2014/main" id="{42885976-3355-4076-811B-3944966C2049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84" name="PORDB6">
          <a:extLst>
            <a:ext uri="{FF2B5EF4-FFF2-40B4-BE49-F238E27FC236}">
              <a16:creationId xmlns:a16="http://schemas.microsoft.com/office/drawing/2014/main" id="{9F9D7BF3-8780-4EC2-ABEE-0E5D3E028F3A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85" name="PORDB6">
          <a:extLst>
            <a:ext uri="{FF2B5EF4-FFF2-40B4-BE49-F238E27FC236}">
              <a16:creationId xmlns:a16="http://schemas.microsoft.com/office/drawing/2014/main" id="{46A8D6AB-3A7D-4DBC-8DC3-FDBC13C0AB20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86" name="PORDB6">
          <a:extLst>
            <a:ext uri="{FF2B5EF4-FFF2-40B4-BE49-F238E27FC236}">
              <a16:creationId xmlns:a16="http://schemas.microsoft.com/office/drawing/2014/main" id="{9CB9BC25-AB31-4CE0-A2DD-EBE35D02B64F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87" name="PORDB6">
          <a:extLst>
            <a:ext uri="{FF2B5EF4-FFF2-40B4-BE49-F238E27FC236}">
              <a16:creationId xmlns:a16="http://schemas.microsoft.com/office/drawing/2014/main" id="{45884852-55A8-4BDD-A160-391FBEF5AD1F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88" name="PORDB6">
          <a:extLst>
            <a:ext uri="{FF2B5EF4-FFF2-40B4-BE49-F238E27FC236}">
              <a16:creationId xmlns:a16="http://schemas.microsoft.com/office/drawing/2014/main" id="{9B81739D-1BD7-44D9-948F-4737BE792F51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89" name="PORDB6">
          <a:extLst>
            <a:ext uri="{FF2B5EF4-FFF2-40B4-BE49-F238E27FC236}">
              <a16:creationId xmlns:a16="http://schemas.microsoft.com/office/drawing/2014/main" id="{C81F0F08-E947-464D-85B2-B426DC592A21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90" name="PORDB6">
          <a:extLst>
            <a:ext uri="{FF2B5EF4-FFF2-40B4-BE49-F238E27FC236}">
              <a16:creationId xmlns:a16="http://schemas.microsoft.com/office/drawing/2014/main" id="{B9E4EB88-075A-4441-A9CA-39F10A1A488C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91" name="PORDB6">
          <a:extLst>
            <a:ext uri="{FF2B5EF4-FFF2-40B4-BE49-F238E27FC236}">
              <a16:creationId xmlns:a16="http://schemas.microsoft.com/office/drawing/2014/main" id="{3896B957-550D-47BE-9DFA-D7761C886800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92" name="PORDB6">
          <a:extLst>
            <a:ext uri="{FF2B5EF4-FFF2-40B4-BE49-F238E27FC236}">
              <a16:creationId xmlns:a16="http://schemas.microsoft.com/office/drawing/2014/main" id="{B2BFCA20-FD8C-4AD1-969E-F3A6848698E3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93" name="PORDB6">
          <a:extLst>
            <a:ext uri="{FF2B5EF4-FFF2-40B4-BE49-F238E27FC236}">
              <a16:creationId xmlns:a16="http://schemas.microsoft.com/office/drawing/2014/main" id="{2338B6F2-77D4-434D-9BD0-DB014602A43E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94" name="PORDB6">
          <a:extLst>
            <a:ext uri="{FF2B5EF4-FFF2-40B4-BE49-F238E27FC236}">
              <a16:creationId xmlns:a16="http://schemas.microsoft.com/office/drawing/2014/main" id="{084BDD61-DA21-48BA-834B-F95C394AEDE5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95" name="PORDB6">
          <a:extLst>
            <a:ext uri="{FF2B5EF4-FFF2-40B4-BE49-F238E27FC236}">
              <a16:creationId xmlns:a16="http://schemas.microsoft.com/office/drawing/2014/main" id="{D4F7C739-1572-43A2-9FDD-1E054359E7D5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96" name="PORDB6">
          <a:extLst>
            <a:ext uri="{FF2B5EF4-FFF2-40B4-BE49-F238E27FC236}">
              <a16:creationId xmlns:a16="http://schemas.microsoft.com/office/drawing/2014/main" id="{959EC694-AA96-46BA-9BF5-95F89AC588A6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97" name="PORDB6">
          <a:extLst>
            <a:ext uri="{FF2B5EF4-FFF2-40B4-BE49-F238E27FC236}">
              <a16:creationId xmlns:a16="http://schemas.microsoft.com/office/drawing/2014/main" id="{A18CA434-F490-4248-AACC-B77318DD603E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98" name="PORDB6">
          <a:extLst>
            <a:ext uri="{FF2B5EF4-FFF2-40B4-BE49-F238E27FC236}">
              <a16:creationId xmlns:a16="http://schemas.microsoft.com/office/drawing/2014/main" id="{C26F480A-A85A-4A4B-89B4-665138A4C575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499" name="PORDB6">
          <a:extLst>
            <a:ext uri="{FF2B5EF4-FFF2-40B4-BE49-F238E27FC236}">
              <a16:creationId xmlns:a16="http://schemas.microsoft.com/office/drawing/2014/main" id="{39AB0811-6C1F-458C-A52C-3C0C238C5942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00" name="PORDB6">
          <a:extLst>
            <a:ext uri="{FF2B5EF4-FFF2-40B4-BE49-F238E27FC236}">
              <a16:creationId xmlns:a16="http://schemas.microsoft.com/office/drawing/2014/main" id="{769F9E2E-BCCD-4DA2-AB9C-2D8EC5779BD3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01" name="PORDB6">
          <a:extLst>
            <a:ext uri="{FF2B5EF4-FFF2-40B4-BE49-F238E27FC236}">
              <a16:creationId xmlns:a16="http://schemas.microsoft.com/office/drawing/2014/main" id="{5D05AFC1-446F-42B0-9251-D2E1B6F745C5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02" name="PORDB6">
          <a:extLst>
            <a:ext uri="{FF2B5EF4-FFF2-40B4-BE49-F238E27FC236}">
              <a16:creationId xmlns:a16="http://schemas.microsoft.com/office/drawing/2014/main" id="{FF4AFB03-2026-47D0-B39A-957FF88AED59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03" name="PORDB6">
          <a:extLst>
            <a:ext uri="{FF2B5EF4-FFF2-40B4-BE49-F238E27FC236}">
              <a16:creationId xmlns:a16="http://schemas.microsoft.com/office/drawing/2014/main" id="{3990BD01-39E0-4155-834A-C0B26DA6AC48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04" name="PORDB6">
          <a:extLst>
            <a:ext uri="{FF2B5EF4-FFF2-40B4-BE49-F238E27FC236}">
              <a16:creationId xmlns:a16="http://schemas.microsoft.com/office/drawing/2014/main" id="{A6093E5B-CD83-4BA1-B6C0-FA6DB1EE975C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05" name="PORDB6">
          <a:extLst>
            <a:ext uri="{FF2B5EF4-FFF2-40B4-BE49-F238E27FC236}">
              <a16:creationId xmlns:a16="http://schemas.microsoft.com/office/drawing/2014/main" id="{60635D2D-0953-4952-80EB-DFC7F30E3BA1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06" name="PORDB6">
          <a:extLst>
            <a:ext uri="{FF2B5EF4-FFF2-40B4-BE49-F238E27FC236}">
              <a16:creationId xmlns:a16="http://schemas.microsoft.com/office/drawing/2014/main" id="{89C2C9C1-E26A-467B-AA96-CCD18B318264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07" name="PORDB6">
          <a:extLst>
            <a:ext uri="{FF2B5EF4-FFF2-40B4-BE49-F238E27FC236}">
              <a16:creationId xmlns:a16="http://schemas.microsoft.com/office/drawing/2014/main" id="{04739D22-CE77-4632-A6EF-A75DE562C376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08" name="PORDB6">
          <a:extLst>
            <a:ext uri="{FF2B5EF4-FFF2-40B4-BE49-F238E27FC236}">
              <a16:creationId xmlns:a16="http://schemas.microsoft.com/office/drawing/2014/main" id="{200C65D7-0168-4200-B5DB-0D878B9CE350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09" name="PORDB6">
          <a:extLst>
            <a:ext uri="{FF2B5EF4-FFF2-40B4-BE49-F238E27FC236}">
              <a16:creationId xmlns:a16="http://schemas.microsoft.com/office/drawing/2014/main" id="{0A6BD55B-F78D-4177-8233-EDA60620DF2D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10" name="PORDB6">
          <a:extLst>
            <a:ext uri="{FF2B5EF4-FFF2-40B4-BE49-F238E27FC236}">
              <a16:creationId xmlns:a16="http://schemas.microsoft.com/office/drawing/2014/main" id="{9B92AEBF-61A8-439B-A86A-1C5A64861095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11" name="PORDB6">
          <a:extLst>
            <a:ext uri="{FF2B5EF4-FFF2-40B4-BE49-F238E27FC236}">
              <a16:creationId xmlns:a16="http://schemas.microsoft.com/office/drawing/2014/main" id="{41893108-8A2C-4E10-B5B9-DC2D3AB61D38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12" name="PORDB6">
          <a:extLst>
            <a:ext uri="{FF2B5EF4-FFF2-40B4-BE49-F238E27FC236}">
              <a16:creationId xmlns:a16="http://schemas.microsoft.com/office/drawing/2014/main" id="{80E840A5-32E9-4D96-B5FB-982A5CF3E9A8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13" name="PORDB6">
          <a:extLst>
            <a:ext uri="{FF2B5EF4-FFF2-40B4-BE49-F238E27FC236}">
              <a16:creationId xmlns:a16="http://schemas.microsoft.com/office/drawing/2014/main" id="{8C04211B-8100-43A4-AADE-6E0088B9E651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14" name="PORDB6">
          <a:extLst>
            <a:ext uri="{FF2B5EF4-FFF2-40B4-BE49-F238E27FC236}">
              <a16:creationId xmlns:a16="http://schemas.microsoft.com/office/drawing/2014/main" id="{7DDFC8BB-6BA2-4D87-B2DC-CE699AD74F1C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15" name="PORDB6">
          <a:extLst>
            <a:ext uri="{FF2B5EF4-FFF2-40B4-BE49-F238E27FC236}">
              <a16:creationId xmlns:a16="http://schemas.microsoft.com/office/drawing/2014/main" id="{AA1F4AB2-4018-4C7F-A4A3-7983CA4929B9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16" name="PORDB6">
          <a:extLst>
            <a:ext uri="{FF2B5EF4-FFF2-40B4-BE49-F238E27FC236}">
              <a16:creationId xmlns:a16="http://schemas.microsoft.com/office/drawing/2014/main" id="{CF8287CC-BD1E-46FF-AE04-77EDA380ABF2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17" name="PORDB6">
          <a:extLst>
            <a:ext uri="{FF2B5EF4-FFF2-40B4-BE49-F238E27FC236}">
              <a16:creationId xmlns:a16="http://schemas.microsoft.com/office/drawing/2014/main" id="{BEE7AA91-D9D7-4FF0-A71D-B1AE17A3A34E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18" name="PORDB6">
          <a:extLst>
            <a:ext uri="{FF2B5EF4-FFF2-40B4-BE49-F238E27FC236}">
              <a16:creationId xmlns:a16="http://schemas.microsoft.com/office/drawing/2014/main" id="{6D5C405B-34C8-4A6E-B179-B5A03E8980ED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19" name="PORDB6">
          <a:extLst>
            <a:ext uri="{FF2B5EF4-FFF2-40B4-BE49-F238E27FC236}">
              <a16:creationId xmlns:a16="http://schemas.microsoft.com/office/drawing/2014/main" id="{FCC5FCCB-BC49-424C-B13D-C15C6A0A3988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20" name="PORDB6">
          <a:extLst>
            <a:ext uri="{FF2B5EF4-FFF2-40B4-BE49-F238E27FC236}">
              <a16:creationId xmlns:a16="http://schemas.microsoft.com/office/drawing/2014/main" id="{75F2F5E5-07D4-4F36-98AE-61881B38C5EA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21" name="PORDB6">
          <a:extLst>
            <a:ext uri="{FF2B5EF4-FFF2-40B4-BE49-F238E27FC236}">
              <a16:creationId xmlns:a16="http://schemas.microsoft.com/office/drawing/2014/main" id="{0E6818DF-1BD9-4B00-B82D-5F098C6ADC45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22" name="PORDB6">
          <a:extLst>
            <a:ext uri="{FF2B5EF4-FFF2-40B4-BE49-F238E27FC236}">
              <a16:creationId xmlns:a16="http://schemas.microsoft.com/office/drawing/2014/main" id="{578B5488-1EFB-4494-8FC9-187E2FC0B7EB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23" name="PORDB6">
          <a:extLst>
            <a:ext uri="{FF2B5EF4-FFF2-40B4-BE49-F238E27FC236}">
              <a16:creationId xmlns:a16="http://schemas.microsoft.com/office/drawing/2014/main" id="{7CFF3989-268A-4313-959C-C5433F05C1AF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24" name="PORDB6">
          <a:extLst>
            <a:ext uri="{FF2B5EF4-FFF2-40B4-BE49-F238E27FC236}">
              <a16:creationId xmlns:a16="http://schemas.microsoft.com/office/drawing/2014/main" id="{145F4F9E-2367-4C4E-8C0C-6C364EC14FAC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25" name="PORDB6">
          <a:extLst>
            <a:ext uri="{FF2B5EF4-FFF2-40B4-BE49-F238E27FC236}">
              <a16:creationId xmlns:a16="http://schemas.microsoft.com/office/drawing/2014/main" id="{FF1E708D-9CDF-41C3-9E8D-90E789F98887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26" name="PORDB6">
          <a:extLst>
            <a:ext uri="{FF2B5EF4-FFF2-40B4-BE49-F238E27FC236}">
              <a16:creationId xmlns:a16="http://schemas.microsoft.com/office/drawing/2014/main" id="{EE0E49E8-875C-4C77-A3D5-6C87EA51ACD5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27" name="PORDB6">
          <a:extLst>
            <a:ext uri="{FF2B5EF4-FFF2-40B4-BE49-F238E27FC236}">
              <a16:creationId xmlns:a16="http://schemas.microsoft.com/office/drawing/2014/main" id="{E604505C-F215-4B5B-9B5E-041BFE404E4B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28" name="PORDB6">
          <a:extLst>
            <a:ext uri="{FF2B5EF4-FFF2-40B4-BE49-F238E27FC236}">
              <a16:creationId xmlns:a16="http://schemas.microsoft.com/office/drawing/2014/main" id="{8AB527C6-726D-4235-8ABE-8CF16585844D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29" name="PORDB6">
          <a:extLst>
            <a:ext uri="{FF2B5EF4-FFF2-40B4-BE49-F238E27FC236}">
              <a16:creationId xmlns:a16="http://schemas.microsoft.com/office/drawing/2014/main" id="{93331A8E-20E8-4D93-A935-D39C1C3A1CA1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30" name="PORDB6">
          <a:extLst>
            <a:ext uri="{FF2B5EF4-FFF2-40B4-BE49-F238E27FC236}">
              <a16:creationId xmlns:a16="http://schemas.microsoft.com/office/drawing/2014/main" id="{AF1E60F0-08B0-4662-93E6-810EA1BA374E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31" name="PORDB6">
          <a:extLst>
            <a:ext uri="{FF2B5EF4-FFF2-40B4-BE49-F238E27FC236}">
              <a16:creationId xmlns:a16="http://schemas.microsoft.com/office/drawing/2014/main" id="{09B95A66-B889-4DBE-9126-E35A759FC6C5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32" name="PORDB6">
          <a:extLst>
            <a:ext uri="{FF2B5EF4-FFF2-40B4-BE49-F238E27FC236}">
              <a16:creationId xmlns:a16="http://schemas.microsoft.com/office/drawing/2014/main" id="{58BA3F5E-AD9F-49BB-BF88-6FD43975D115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33" name="PORDB6">
          <a:extLst>
            <a:ext uri="{FF2B5EF4-FFF2-40B4-BE49-F238E27FC236}">
              <a16:creationId xmlns:a16="http://schemas.microsoft.com/office/drawing/2014/main" id="{763D55CF-4FA8-4A8C-BF9A-5B3B8A5D78FE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34" name="PORDB6">
          <a:extLst>
            <a:ext uri="{FF2B5EF4-FFF2-40B4-BE49-F238E27FC236}">
              <a16:creationId xmlns:a16="http://schemas.microsoft.com/office/drawing/2014/main" id="{73AD7825-FFC7-45A1-B0D0-2BF22732C659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35" name="PORDB6">
          <a:extLst>
            <a:ext uri="{FF2B5EF4-FFF2-40B4-BE49-F238E27FC236}">
              <a16:creationId xmlns:a16="http://schemas.microsoft.com/office/drawing/2014/main" id="{7226589F-00BB-4066-85D4-3ED54A81176D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36" name="PORDB6">
          <a:extLst>
            <a:ext uri="{FF2B5EF4-FFF2-40B4-BE49-F238E27FC236}">
              <a16:creationId xmlns:a16="http://schemas.microsoft.com/office/drawing/2014/main" id="{6CE78E7B-3D7B-4D66-B035-9DA63F9A2F0D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37" name="PORDB6">
          <a:extLst>
            <a:ext uri="{FF2B5EF4-FFF2-40B4-BE49-F238E27FC236}">
              <a16:creationId xmlns:a16="http://schemas.microsoft.com/office/drawing/2014/main" id="{89F5446E-A0AC-4D65-B161-B5A4BC2430EA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38" name="PORDB6">
          <a:extLst>
            <a:ext uri="{FF2B5EF4-FFF2-40B4-BE49-F238E27FC236}">
              <a16:creationId xmlns:a16="http://schemas.microsoft.com/office/drawing/2014/main" id="{E16E4EB7-E6F7-4BC2-80C0-CC1F6880FC72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39" name="PORDB6">
          <a:extLst>
            <a:ext uri="{FF2B5EF4-FFF2-40B4-BE49-F238E27FC236}">
              <a16:creationId xmlns:a16="http://schemas.microsoft.com/office/drawing/2014/main" id="{48313331-B90A-4AE3-BD75-2E6D2A218806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40" name="PORDB6">
          <a:extLst>
            <a:ext uri="{FF2B5EF4-FFF2-40B4-BE49-F238E27FC236}">
              <a16:creationId xmlns:a16="http://schemas.microsoft.com/office/drawing/2014/main" id="{F67E968D-6808-4F2B-BA33-8B706074D7FD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41" name="PORDB6">
          <a:extLst>
            <a:ext uri="{FF2B5EF4-FFF2-40B4-BE49-F238E27FC236}">
              <a16:creationId xmlns:a16="http://schemas.microsoft.com/office/drawing/2014/main" id="{4925816E-B1E0-4D7E-9F5E-91509345B374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42" name="PORDB6">
          <a:extLst>
            <a:ext uri="{FF2B5EF4-FFF2-40B4-BE49-F238E27FC236}">
              <a16:creationId xmlns:a16="http://schemas.microsoft.com/office/drawing/2014/main" id="{0426B40E-A689-4B9C-9D71-40B69199568F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43" name="PORDB6">
          <a:extLst>
            <a:ext uri="{FF2B5EF4-FFF2-40B4-BE49-F238E27FC236}">
              <a16:creationId xmlns:a16="http://schemas.microsoft.com/office/drawing/2014/main" id="{59D12043-26E8-4D85-AB2F-1B19A4274A27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44" name="PORDB6">
          <a:extLst>
            <a:ext uri="{FF2B5EF4-FFF2-40B4-BE49-F238E27FC236}">
              <a16:creationId xmlns:a16="http://schemas.microsoft.com/office/drawing/2014/main" id="{74F360B9-673F-411D-8611-3ED441CA497D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45" name="PORDB6">
          <a:extLst>
            <a:ext uri="{FF2B5EF4-FFF2-40B4-BE49-F238E27FC236}">
              <a16:creationId xmlns:a16="http://schemas.microsoft.com/office/drawing/2014/main" id="{96D20991-92C6-4023-9CB5-7BC812D1F4DF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46" name="PORDB6">
          <a:extLst>
            <a:ext uri="{FF2B5EF4-FFF2-40B4-BE49-F238E27FC236}">
              <a16:creationId xmlns:a16="http://schemas.microsoft.com/office/drawing/2014/main" id="{D4730C5D-BD1F-45F7-8A44-A7A2379FA658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47" name="PORDB6">
          <a:extLst>
            <a:ext uri="{FF2B5EF4-FFF2-40B4-BE49-F238E27FC236}">
              <a16:creationId xmlns:a16="http://schemas.microsoft.com/office/drawing/2014/main" id="{A8FFD01A-4827-4C0E-9E76-D3DEFFB3276D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48" name="PORDB6">
          <a:extLst>
            <a:ext uri="{FF2B5EF4-FFF2-40B4-BE49-F238E27FC236}">
              <a16:creationId xmlns:a16="http://schemas.microsoft.com/office/drawing/2014/main" id="{959B07A7-0202-4A9D-B250-EB773D5FDAB5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49" name="PORDB6">
          <a:extLst>
            <a:ext uri="{FF2B5EF4-FFF2-40B4-BE49-F238E27FC236}">
              <a16:creationId xmlns:a16="http://schemas.microsoft.com/office/drawing/2014/main" id="{864A3336-164A-45A1-AF75-C1297068A23D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50" name="PORDB6">
          <a:extLst>
            <a:ext uri="{FF2B5EF4-FFF2-40B4-BE49-F238E27FC236}">
              <a16:creationId xmlns:a16="http://schemas.microsoft.com/office/drawing/2014/main" id="{C097BB93-5A08-4C9E-BC57-9FB89F8799D0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51" name="PORDB6">
          <a:extLst>
            <a:ext uri="{FF2B5EF4-FFF2-40B4-BE49-F238E27FC236}">
              <a16:creationId xmlns:a16="http://schemas.microsoft.com/office/drawing/2014/main" id="{8061281C-D4B6-49AF-9705-F9BF32E8603F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52" name="PORDB6">
          <a:extLst>
            <a:ext uri="{FF2B5EF4-FFF2-40B4-BE49-F238E27FC236}">
              <a16:creationId xmlns:a16="http://schemas.microsoft.com/office/drawing/2014/main" id="{AA0701EB-F934-4A53-AB62-36A48A8AE423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53" name="PORDB6">
          <a:extLst>
            <a:ext uri="{FF2B5EF4-FFF2-40B4-BE49-F238E27FC236}">
              <a16:creationId xmlns:a16="http://schemas.microsoft.com/office/drawing/2014/main" id="{46531861-345C-4018-A496-B22C1BFB6BFE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54" name="PORDB6">
          <a:extLst>
            <a:ext uri="{FF2B5EF4-FFF2-40B4-BE49-F238E27FC236}">
              <a16:creationId xmlns:a16="http://schemas.microsoft.com/office/drawing/2014/main" id="{F03AA691-6EB3-430E-8814-863C70D76A06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55" name="PORDB6">
          <a:extLst>
            <a:ext uri="{FF2B5EF4-FFF2-40B4-BE49-F238E27FC236}">
              <a16:creationId xmlns:a16="http://schemas.microsoft.com/office/drawing/2014/main" id="{8A430743-8436-443C-854E-790F1CCE4782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56" name="PORDB6">
          <a:extLst>
            <a:ext uri="{FF2B5EF4-FFF2-40B4-BE49-F238E27FC236}">
              <a16:creationId xmlns:a16="http://schemas.microsoft.com/office/drawing/2014/main" id="{66518D1F-5624-4FC0-B986-B4C2E3A05619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57" name="PORDB6">
          <a:extLst>
            <a:ext uri="{FF2B5EF4-FFF2-40B4-BE49-F238E27FC236}">
              <a16:creationId xmlns:a16="http://schemas.microsoft.com/office/drawing/2014/main" id="{2EC35457-1F6A-49BC-BF9B-16A1A31BA986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58" name="PORDB6">
          <a:extLst>
            <a:ext uri="{FF2B5EF4-FFF2-40B4-BE49-F238E27FC236}">
              <a16:creationId xmlns:a16="http://schemas.microsoft.com/office/drawing/2014/main" id="{9B890C8C-286A-407B-90A7-3C20CF3FB9A5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59" name="PORDB6">
          <a:extLst>
            <a:ext uri="{FF2B5EF4-FFF2-40B4-BE49-F238E27FC236}">
              <a16:creationId xmlns:a16="http://schemas.microsoft.com/office/drawing/2014/main" id="{80A657BF-E25A-4ED5-8816-8819B5B3C6A2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60" name="PORDB6">
          <a:extLst>
            <a:ext uri="{FF2B5EF4-FFF2-40B4-BE49-F238E27FC236}">
              <a16:creationId xmlns:a16="http://schemas.microsoft.com/office/drawing/2014/main" id="{F8A1F503-F182-47D4-9CAC-838122E5E9DA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61" name="PORDB6">
          <a:extLst>
            <a:ext uri="{FF2B5EF4-FFF2-40B4-BE49-F238E27FC236}">
              <a16:creationId xmlns:a16="http://schemas.microsoft.com/office/drawing/2014/main" id="{AF326E9D-7380-45E8-8059-C8631D28F331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62" name="PORDB6">
          <a:extLst>
            <a:ext uri="{FF2B5EF4-FFF2-40B4-BE49-F238E27FC236}">
              <a16:creationId xmlns:a16="http://schemas.microsoft.com/office/drawing/2014/main" id="{C6D24901-8403-4B4A-B8CC-3F96845D84EA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63" name="PORDB6">
          <a:extLst>
            <a:ext uri="{FF2B5EF4-FFF2-40B4-BE49-F238E27FC236}">
              <a16:creationId xmlns:a16="http://schemas.microsoft.com/office/drawing/2014/main" id="{E4C24862-463D-4E20-86E7-691AF9BAEC3F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64" name="PORDB6">
          <a:extLst>
            <a:ext uri="{FF2B5EF4-FFF2-40B4-BE49-F238E27FC236}">
              <a16:creationId xmlns:a16="http://schemas.microsoft.com/office/drawing/2014/main" id="{0E7D1671-BFD3-49FF-B828-4F7E916CC460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65" name="PORDB6">
          <a:extLst>
            <a:ext uri="{FF2B5EF4-FFF2-40B4-BE49-F238E27FC236}">
              <a16:creationId xmlns:a16="http://schemas.microsoft.com/office/drawing/2014/main" id="{548162EB-9AC7-486D-9AB8-E4C469F13EA1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66" name="PORDB6">
          <a:extLst>
            <a:ext uri="{FF2B5EF4-FFF2-40B4-BE49-F238E27FC236}">
              <a16:creationId xmlns:a16="http://schemas.microsoft.com/office/drawing/2014/main" id="{253B8034-DF90-4C4B-B264-50CFCB2F47CD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67" name="PORDB6">
          <a:extLst>
            <a:ext uri="{FF2B5EF4-FFF2-40B4-BE49-F238E27FC236}">
              <a16:creationId xmlns:a16="http://schemas.microsoft.com/office/drawing/2014/main" id="{2967ADB4-3658-4A0B-9115-B294D88150B6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68" name="PORDB6">
          <a:extLst>
            <a:ext uri="{FF2B5EF4-FFF2-40B4-BE49-F238E27FC236}">
              <a16:creationId xmlns:a16="http://schemas.microsoft.com/office/drawing/2014/main" id="{6DF6DB3E-1873-4BF0-92DC-54A5B5FB6884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69" name="PORDB6">
          <a:extLst>
            <a:ext uri="{FF2B5EF4-FFF2-40B4-BE49-F238E27FC236}">
              <a16:creationId xmlns:a16="http://schemas.microsoft.com/office/drawing/2014/main" id="{0C3A477C-95D7-4178-98A6-CA1AD93F2750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70" name="PORDB6">
          <a:extLst>
            <a:ext uri="{FF2B5EF4-FFF2-40B4-BE49-F238E27FC236}">
              <a16:creationId xmlns:a16="http://schemas.microsoft.com/office/drawing/2014/main" id="{6F0297AB-F10F-451F-A21B-E31E01F01463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71" name="PORDB6">
          <a:extLst>
            <a:ext uri="{FF2B5EF4-FFF2-40B4-BE49-F238E27FC236}">
              <a16:creationId xmlns:a16="http://schemas.microsoft.com/office/drawing/2014/main" id="{F355175F-D442-47BB-8159-A22EC3FE8BAB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72" name="PORDB6">
          <a:extLst>
            <a:ext uri="{FF2B5EF4-FFF2-40B4-BE49-F238E27FC236}">
              <a16:creationId xmlns:a16="http://schemas.microsoft.com/office/drawing/2014/main" id="{43665ED2-69E4-4D95-921C-CE320CD59CDA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73" name="PORDB6">
          <a:extLst>
            <a:ext uri="{FF2B5EF4-FFF2-40B4-BE49-F238E27FC236}">
              <a16:creationId xmlns:a16="http://schemas.microsoft.com/office/drawing/2014/main" id="{B0B0B6AC-D605-4018-BC49-5BF2914BAAAE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74" name="PORDB6">
          <a:extLst>
            <a:ext uri="{FF2B5EF4-FFF2-40B4-BE49-F238E27FC236}">
              <a16:creationId xmlns:a16="http://schemas.microsoft.com/office/drawing/2014/main" id="{13EB9088-243F-417F-8A11-4C7E97D6CF46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75" name="PORDB6">
          <a:extLst>
            <a:ext uri="{FF2B5EF4-FFF2-40B4-BE49-F238E27FC236}">
              <a16:creationId xmlns:a16="http://schemas.microsoft.com/office/drawing/2014/main" id="{74DF3778-48B4-4F18-9DE6-EBC120A451A0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76" name="PORDB6">
          <a:extLst>
            <a:ext uri="{FF2B5EF4-FFF2-40B4-BE49-F238E27FC236}">
              <a16:creationId xmlns:a16="http://schemas.microsoft.com/office/drawing/2014/main" id="{D380C2F3-589A-4CEF-B60D-5D3AEA2BD17E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77" name="PORDB6">
          <a:extLst>
            <a:ext uri="{FF2B5EF4-FFF2-40B4-BE49-F238E27FC236}">
              <a16:creationId xmlns:a16="http://schemas.microsoft.com/office/drawing/2014/main" id="{94150981-5B91-4015-ABD4-6EC0E9C2B56A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78" name="PORDB6">
          <a:extLst>
            <a:ext uri="{FF2B5EF4-FFF2-40B4-BE49-F238E27FC236}">
              <a16:creationId xmlns:a16="http://schemas.microsoft.com/office/drawing/2014/main" id="{62D72D07-06A2-4324-868B-D34604FFA6E8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79" name="PORDB6">
          <a:extLst>
            <a:ext uri="{FF2B5EF4-FFF2-40B4-BE49-F238E27FC236}">
              <a16:creationId xmlns:a16="http://schemas.microsoft.com/office/drawing/2014/main" id="{92D2BEFB-5BE1-4F37-84FF-BD958A48654B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80" name="PORDB6">
          <a:extLst>
            <a:ext uri="{FF2B5EF4-FFF2-40B4-BE49-F238E27FC236}">
              <a16:creationId xmlns:a16="http://schemas.microsoft.com/office/drawing/2014/main" id="{0D189DFD-30C0-4FBD-88F0-D02626D20BDB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81" name="PORDB6">
          <a:extLst>
            <a:ext uri="{FF2B5EF4-FFF2-40B4-BE49-F238E27FC236}">
              <a16:creationId xmlns:a16="http://schemas.microsoft.com/office/drawing/2014/main" id="{7E4C60FA-38E5-42B0-ACEE-36B2F88BFC4B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82" name="PORDB6">
          <a:extLst>
            <a:ext uri="{FF2B5EF4-FFF2-40B4-BE49-F238E27FC236}">
              <a16:creationId xmlns:a16="http://schemas.microsoft.com/office/drawing/2014/main" id="{DB31C2E8-DF82-43BE-A4C2-C4DED8C30F06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83" name="PORDB6">
          <a:extLst>
            <a:ext uri="{FF2B5EF4-FFF2-40B4-BE49-F238E27FC236}">
              <a16:creationId xmlns:a16="http://schemas.microsoft.com/office/drawing/2014/main" id="{5410B7B8-DBC0-4495-A18F-073169B0567A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84" name="PORDB6">
          <a:extLst>
            <a:ext uri="{FF2B5EF4-FFF2-40B4-BE49-F238E27FC236}">
              <a16:creationId xmlns:a16="http://schemas.microsoft.com/office/drawing/2014/main" id="{9CC117FA-9D05-4316-A097-A0662313FEA4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85" name="PORDB6">
          <a:extLst>
            <a:ext uri="{FF2B5EF4-FFF2-40B4-BE49-F238E27FC236}">
              <a16:creationId xmlns:a16="http://schemas.microsoft.com/office/drawing/2014/main" id="{04FA8324-EE6C-425B-9D7E-C12CC6318230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86" name="PORDB6">
          <a:extLst>
            <a:ext uri="{FF2B5EF4-FFF2-40B4-BE49-F238E27FC236}">
              <a16:creationId xmlns:a16="http://schemas.microsoft.com/office/drawing/2014/main" id="{A1F72CA2-B864-41D3-B1AC-32932D977467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87" name="PORDB6">
          <a:extLst>
            <a:ext uri="{FF2B5EF4-FFF2-40B4-BE49-F238E27FC236}">
              <a16:creationId xmlns:a16="http://schemas.microsoft.com/office/drawing/2014/main" id="{A9E01128-BF0B-4C67-9052-ECBC53F73B94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88" name="PORDB6">
          <a:extLst>
            <a:ext uri="{FF2B5EF4-FFF2-40B4-BE49-F238E27FC236}">
              <a16:creationId xmlns:a16="http://schemas.microsoft.com/office/drawing/2014/main" id="{F9C8C87F-50E8-42DA-AD52-C19861B61D2B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89" name="PORDB6">
          <a:extLst>
            <a:ext uri="{FF2B5EF4-FFF2-40B4-BE49-F238E27FC236}">
              <a16:creationId xmlns:a16="http://schemas.microsoft.com/office/drawing/2014/main" id="{D05A06E8-DAB8-4709-BAEA-552C138AB5C0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90" name="PORDB6">
          <a:extLst>
            <a:ext uri="{FF2B5EF4-FFF2-40B4-BE49-F238E27FC236}">
              <a16:creationId xmlns:a16="http://schemas.microsoft.com/office/drawing/2014/main" id="{490F1133-0B85-4716-A1D2-80C70D2E1A3F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91" name="PORDB6">
          <a:extLst>
            <a:ext uri="{FF2B5EF4-FFF2-40B4-BE49-F238E27FC236}">
              <a16:creationId xmlns:a16="http://schemas.microsoft.com/office/drawing/2014/main" id="{70D662D2-915E-49FD-BB12-D0137905A14E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92" name="PORDB6">
          <a:extLst>
            <a:ext uri="{FF2B5EF4-FFF2-40B4-BE49-F238E27FC236}">
              <a16:creationId xmlns:a16="http://schemas.microsoft.com/office/drawing/2014/main" id="{2A5A9D38-DEDD-4673-AFFB-C52296AFBCF6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93" name="PORDB6">
          <a:extLst>
            <a:ext uri="{FF2B5EF4-FFF2-40B4-BE49-F238E27FC236}">
              <a16:creationId xmlns:a16="http://schemas.microsoft.com/office/drawing/2014/main" id="{AA05B806-AD70-4AE5-8E84-71C5EE5532C3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94" name="PORDB6">
          <a:extLst>
            <a:ext uri="{FF2B5EF4-FFF2-40B4-BE49-F238E27FC236}">
              <a16:creationId xmlns:a16="http://schemas.microsoft.com/office/drawing/2014/main" id="{A784A4CC-E57B-4E2B-827F-29D429B4DCC6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95" name="PORDB6">
          <a:extLst>
            <a:ext uri="{FF2B5EF4-FFF2-40B4-BE49-F238E27FC236}">
              <a16:creationId xmlns:a16="http://schemas.microsoft.com/office/drawing/2014/main" id="{5C69694D-0CBF-4AD2-A7E6-FB323AD71000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96" name="PORDB6">
          <a:extLst>
            <a:ext uri="{FF2B5EF4-FFF2-40B4-BE49-F238E27FC236}">
              <a16:creationId xmlns:a16="http://schemas.microsoft.com/office/drawing/2014/main" id="{16ED803A-E1A4-4563-8C93-124DD0B66812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97" name="PORDB6">
          <a:extLst>
            <a:ext uri="{FF2B5EF4-FFF2-40B4-BE49-F238E27FC236}">
              <a16:creationId xmlns:a16="http://schemas.microsoft.com/office/drawing/2014/main" id="{FD8E3C54-C192-4EB2-9F1F-8E45E41309EB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98" name="PORDB6">
          <a:extLst>
            <a:ext uri="{FF2B5EF4-FFF2-40B4-BE49-F238E27FC236}">
              <a16:creationId xmlns:a16="http://schemas.microsoft.com/office/drawing/2014/main" id="{4088410F-CC97-4C86-B03E-703CA51028F3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599" name="PORDB6">
          <a:extLst>
            <a:ext uri="{FF2B5EF4-FFF2-40B4-BE49-F238E27FC236}">
              <a16:creationId xmlns:a16="http://schemas.microsoft.com/office/drawing/2014/main" id="{33BA013E-B037-44BB-93FB-96FE7CC5F42F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00" name="PORDB6">
          <a:extLst>
            <a:ext uri="{FF2B5EF4-FFF2-40B4-BE49-F238E27FC236}">
              <a16:creationId xmlns:a16="http://schemas.microsoft.com/office/drawing/2014/main" id="{0215C059-69FF-4631-B12F-F6D19EF8B70A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01" name="PORDB6">
          <a:extLst>
            <a:ext uri="{FF2B5EF4-FFF2-40B4-BE49-F238E27FC236}">
              <a16:creationId xmlns:a16="http://schemas.microsoft.com/office/drawing/2014/main" id="{8CFC0408-BA29-4003-9A60-38F8DA098FD4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02" name="PORDB6">
          <a:extLst>
            <a:ext uri="{FF2B5EF4-FFF2-40B4-BE49-F238E27FC236}">
              <a16:creationId xmlns:a16="http://schemas.microsoft.com/office/drawing/2014/main" id="{915E6952-7A8E-4243-AD90-71457045DB3B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03" name="PORDB6">
          <a:extLst>
            <a:ext uri="{FF2B5EF4-FFF2-40B4-BE49-F238E27FC236}">
              <a16:creationId xmlns:a16="http://schemas.microsoft.com/office/drawing/2014/main" id="{3C29E65D-8781-44A0-97A5-29AC3C3BB9DB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04" name="PORDB6">
          <a:extLst>
            <a:ext uri="{FF2B5EF4-FFF2-40B4-BE49-F238E27FC236}">
              <a16:creationId xmlns:a16="http://schemas.microsoft.com/office/drawing/2014/main" id="{7AFD64A9-8A2A-4914-9E48-3C8D24E59878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05" name="PORDB6">
          <a:extLst>
            <a:ext uri="{FF2B5EF4-FFF2-40B4-BE49-F238E27FC236}">
              <a16:creationId xmlns:a16="http://schemas.microsoft.com/office/drawing/2014/main" id="{A8F6C532-D990-403A-8C27-DB1CA7BD711D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06" name="PORDB6">
          <a:extLst>
            <a:ext uri="{FF2B5EF4-FFF2-40B4-BE49-F238E27FC236}">
              <a16:creationId xmlns:a16="http://schemas.microsoft.com/office/drawing/2014/main" id="{72BABC5E-E2FF-45BF-9DB6-FFBE3016B6F7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07" name="PORDB6">
          <a:extLst>
            <a:ext uri="{FF2B5EF4-FFF2-40B4-BE49-F238E27FC236}">
              <a16:creationId xmlns:a16="http://schemas.microsoft.com/office/drawing/2014/main" id="{3D4BA860-A9F5-4FEC-86AF-FAE964173F25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08" name="PORDB6">
          <a:extLst>
            <a:ext uri="{FF2B5EF4-FFF2-40B4-BE49-F238E27FC236}">
              <a16:creationId xmlns:a16="http://schemas.microsoft.com/office/drawing/2014/main" id="{01BB553C-58AE-4AFF-AEFD-1E1118CCD966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09" name="PORDB6">
          <a:extLst>
            <a:ext uri="{FF2B5EF4-FFF2-40B4-BE49-F238E27FC236}">
              <a16:creationId xmlns:a16="http://schemas.microsoft.com/office/drawing/2014/main" id="{B015A5C8-1C85-444F-AD60-BD5AE1ED99F2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10" name="PORDB6">
          <a:extLst>
            <a:ext uri="{FF2B5EF4-FFF2-40B4-BE49-F238E27FC236}">
              <a16:creationId xmlns:a16="http://schemas.microsoft.com/office/drawing/2014/main" id="{BDA9C4A0-07D4-4CAF-BCCF-201CCEBB9F54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11" name="PORDB6">
          <a:extLst>
            <a:ext uri="{FF2B5EF4-FFF2-40B4-BE49-F238E27FC236}">
              <a16:creationId xmlns:a16="http://schemas.microsoft.com/office/drawing/2014/main" id="{2041452C-4491-4945-8BE3-0CB59E8AE612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12" name="PORDB6">
          <a:extLst>
            <a:ext uri="{FF2B5EF4-FFF2-40B4-BE49-F238E27FC236}">
              <a16:creationId xmlns:a16="http://schemas.microsoft.com/office/drawing/2014/main" id="{4AC510BF-71AD-41EA-865D-336EB48C03FA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13" name="PORDB6">
          <a:extLst>
            <a:ext uri="{FF2B5EF4-FFF2-40B4-BE49-F238E27FC236}">
              <a16:creationId xmlns:a16="http://schemas.microsoft.com/office/drawing/2014/main" id="{F57CA8BD-CA50-41C3-B557-511C5420E0DB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14" name="PORDB6">
          <a:extLst>
            <a:ext uri="{FF2B5EF4-FFF2-40B4-BE49-F238E27FC236}">
              <a16:creationId xmlns:a16="http://schemas.microsoft.com/office/drawing/2014/main" id="{B14690A0-3981-494C-9B11-F33C753CD1C8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15" name="PORDB6">
          <a:extLst>
            <a:ext uri="{FF2B5EF4-FFF2-40B4-BE49-F238E27FC236}">
              <a16:creationId xmlns:a16="http://schemas.microsoft.com/office/drawing/2014/main" id="{743492F4-369C-4969-9088-F2B95C91D377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16" name="PORDB6">
          <a:extLst>
            <a:ext uri="{FF2B5EF4-FFF2-40B4-BE49-F238E27FC236}">
              <a16:creationId xmlns:a16="http://schemas.microsoft.com/office/drawing/2014/main" id="{89854A4C-B812-4D70-8B70-303ECE68F21E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17" name="PORDB6">
          <a:extLst>
            <a:ext uri="{FF2B5EF4-FFF2-40B4-BE49-F238E27FC236}">
              <a16:creationId xmlns:a16="http://schemas.microsoft.com/office/drawing/2014/main" id="{88361B72-B47A-44A1-81B3-9C89DEDE0587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18" name="PORDB6">
          <a:extLst>
            <a:ext uri="{FF2B5EF4-FFF2-40B4-BE49-F238E27FC236}">
              <a16:creationId xmlns:a16="http://schemas.microsoft.com/office/drawing/2014/main" id="{AEA59777-1468-411A-A55E-5968A2373FFF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19" name="PORDB6">
          <a:extLst>
            <a:ext uri="{FF2B5EF4-FFF2-40B4-BE49-F238E27FC236}">
              <a16:creationId xmlns:a16="http://schemas.microsoft.com/office/drawing/2014/main" id="{9C58C862-8E7B-4B15-B019-E955E26BDD8C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20" name="PORDB6">
          <a:extLst>
            <a:ext uri="{FF2B5EF4-FFF2-40B4-BE49-F238E27FC236}">
              <a16:creationId xmlns:a16="http://schemas.microsoft.com/office/drawing/2014/main" id="{8D9813DB-72F9-4A68-B39E-6A78B2E5B395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21" name="PORDB6">
          <a:extLst>
            <a:ext uri="{FF2B5EF4-FFF2-40B4-BE49-F238E27FC236}">
              <a16:creationId xmlns:a16="http://schemas.microsoft.com/office/drawing/2014/main" id="{19DB09F0-4CCE-4B06-A7B7-EF0C5BBDBA28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22" name="PORDB6">
          <a:extLst>
            <a:ext uri="{FF2B5EF4-FFF2-40B4-BE49-F238E27FC236}">
              <a16:creationId xmlns:a16="http://schemas.microsoft.com/office/drawing/2014/main" id="{E2B8986B-8FBB-4039-A30A-FE906A3C6A28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23" name="PORDB6">
          <a:extLst>
            <a:ext uri="{FF2B5EF4-FFF2-40B4-BE49-F238E27FC236}">
              <a16:creationId xmlns:a16="http://schemas.microsoft.com/office/drawing/2014/main" id="{9884A160-8B3C-46F9-B94B-844822FC93CB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24" name="PORDB6">
          <a:extLst>
            <a:ext uri="{FF2B5EF4-FFF2-40B4-BE49-F238E27FC236}">
              <a16:creationId xmlns:a16="http://schemas.microsoft.com/office/drawing/2014/main" id="{6E913947-98B8-4E80-89F4-749F69F6411E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25" name="PORDB6">
          <a:extLst>
            <a:ext uri="{FF2B5EF4-FFF2-40B4-BE49-F238E27FC236}">
              <a16:creationId xmlns:a16="http://schemas.microsoft.com/office/drawing/2014/main" id="{61605D5D-F912-4C9A-A94B-FBB518030B16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26" name="PORDB6">
          <a:extLst>
            <a:ext uri="{FF2B5EF4-FFF2-40B4-BE49-F238E27FC236}">
              <a16:creationId xmlns:a16="http://schemas.microsoft.com/office/drawing/2014/main" id="{302E8047-251C-40FE-84F9-71FAC829D033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27" name="PORDB6">
          <a:extLst>
            <a:ext uri="{FF2B5EF4-FFF2-40B4-BE49-F238E27FC236}">
              <a16:creationId xmlns:a16="http://schemas.microsoft.com/office/drawing/2014/main" id="{78575EB7-EA0A-4DCC-9C62-B089905385ED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28" name="PORDB6">
          <a:extLst>
            <a:ext uri="{FF2B5EF4-FFF2-40B4-BE49-F238E27FC236}">
              <a16:creationId xmlns:a16="http://schemas.microsoft.com/office/drawing/2014/main" id="{65A28E0F-DE60-45F9-8929-45C82E28AB46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29" name="PORDB6">
          <a:extLst>
            <a:ext uri="{FF2B5EF4-FFF2-40B4-BE49-F238E27FC236}">
              <a16:creationId xmlns:a16="http://schemas.microsoft.com/office/drawing/2014/main" id="{2E7BD372-1E42-4D37-BC9D-26BB5613596A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30" name="PORDB6">
          <a:extLst>
            <a:ext uri="{FF2B5EF4-FFF2-40B4-BE49-F238E27FC236}">
              <a16:creationId xmlns:a16="http://schemas.microsoft.com/office/drawing/2014/main" id="{72EA94CD-ED5C-4F05-B20A-71395A126F47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31" name="PORDB6">
          <a:extLst>
            <a:ext uri="{FF2B5EF4-FFF2-40B4-BE49-F238E27FC236}">
              <a16:creationId xmlns:a16="http://schemas.microsoft.com/office/drawing/2014/main" id="{CEB06A01-F2C3-481E-9651-1B30852D1202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32" name="PORDB6">
          <a:extLst>
            <a:ext uri="{FF2B5EF4-FFF2-40B4-BE49-F238E27FC236}">
              <a16:creationId xmlns:a16="http://schemas.microsoft.com/office/drawing/2014/main" id="{67053341-D3D9-4507-966C-10FD07E035EF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33" name="PORDB6">
          <a:extLst>
            <a:ext uri="{FF2B5EF4-FFF2-40B4-BE49-F238E27FC236}">
              <a16:creationId xmlns:a16="http://schemas.microsoft.com/office/drawing/2014/main" id="{4930AEDC-A180-496E-99D9-12A119B9C5C4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34" name="PORDB6">
          <a:extLst>
            <a:ext uri="{FF2B5EF4-FFF2-40B4-BE49-F238E27FC236}">
              <a16:creationId xmlns:a16="http://schemas.microsoft.com/office/drawing/2014/main" id="{521B0C08-B536-4B9C-95D5-410194B9F4FE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35" name="PORDB6">
          <a:extLst>
            <a:ext uri="{FF2B5EF4-FFF2-40B4-BE49-F238E27FC236}">
              <a16:creationId xmlns:a16="http://schemas.microsoft.com/office/drawing/2014/main" id="{B656C49F-2C24-43DC-9CB0-7E97F7345D17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36" name="PORDB6">
          <a:extLst>
            <a:ext uri="{FF2B5EF4-FFF2-40B4-BE49-F238E27FC236}">
              <a16:creationId xmlns:a16="http://schemas.microsoft.com/office/drawing/2014/main" id="{D1F2F3A8-3583-41A6-94D6-4F880F13C584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37" name="PORDB6">
          <a:extLst>
            <a:ext uri="{FF2B5EF4-FFF2-40B4-BE49-F238E27FC236}">
              <a16:creationId xmlns:a16="http://schemas.microsoft.com/office/drawing/2014/main" id="{7394F3FA-E8AF-444F-B406-25965FC7E660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38" name="PORDB6">
          <a:extLst>
            <a:ext uri="{FF2B5EF4-FFF2-40B4-BE49-F238E27FC236}">
              <a16:creationId xmlns:a16="http://schemas.microsoft.com/office/drawing/2014/main" id="{DF586506-789D-4295-A65A-30007100522B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39" name="PORDB6">
          <a:extLst>
            <a:ext uri="{FF2B5EF4-FFF2-40B4-BE49-F238E27FC236}">
              <a16:creationId xmlns:a16="http://schemas.microsoft.com/office/drawing/2014/main" id="{28212C8F-B668-427F-AA75-FF116E15135C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40" name="PORDB6">
          <a:extLst>
            <a:ext uri="{FF2B5EF4-FFF2-40B4-BE49-F238E27FC236}">
              <a16:creationId xmlns:a16="http://schemas.microsoft.com/office/drawing/2014/main" id="{B306CE31-A711-4EC6-BA47-971BAF93FD00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41" name="PORDB6">
          <a:extLst>
            <a:ext uri="{FF2B5EF4-FFF2-40B4-BE49-F238E27FC236}">
              <a16:creationId xmlns:a16="http://schemas.microsoft.com/office/drawing/2014/main" id="{6692B7B9-A426-473B-A82A-3483F11B7C62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42" name="PORDB6">
          <a:extLst>
            <a:ext uri="{FF2B5EF4-FFF2-40B4-BE49-F238E27FC236}">
              <a16:creationId xmlns:a16="http://schemas.microsoft.com/office/drawing/2014/main" id="{DFE6840E-6A35-4C76-A6D0-798D2CDBFD81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43" name="PORDB6">
          <a:extLst>
            <a:ext uri="{FF2B5EF4-FFF2-40B4-BE49-F238E27FC236}">
              <a16:creationId xmlns:a16="http://schemas.microsoft.com/office/drawing/2014/main" id="{842DF12F-BE72-43DD-97AC-F0AB9AF1737A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44" name="PORDB6">
          <a:extLst>
            <a:ext uri="{FF2B5EF4-FFF2-40B4-BE49-F238E27FC236}">
              <a16:creationId xmlns:a16="http://schemas.microsoft.com/office/drawing/2014/main" id="{F3CB0476-DDFA-4572-BA5D-7798E9BE3EB3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45" name="PORDB6">
          <a:extLst>
            <a:ext uri="{FF2B5EF4-FFF2-40B4-BE49-F238E27FC236}">
              <a16:creationId xmlns:a16="http://schemas.microsoft.com/office/drawing/2014/main" id="{14619452-6E44-4875-BD12-0B687BD98DAB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46" name="PORDB6">
          <a:extLst>
            <a:ext uri="{FF2B5EF4-FFF2-40B4-BE49-F238E27FC236}">
              <a16:creationId xmlns:a16="http://schemas.microsoft.com/office/drawing/2014/main" id="{DEC6529B-DF61-496A-ADB2-6FDC4B9E18BF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47" name="PORDB6">
          <a:extLst>
            <a:ext uri="{FF2B5EF4-FFF2-40B4-BE49-F238E27FC236}">
              <a16:creationId xmlns:a16="http://schemas.microsoft.com/office/drawing/2014/main" id="{DC819348-3C28-4B8B-9B23-523030A3FF25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48" name="PORDB6">
          <a:extLst>
            <a:ext uri="{FF2B5EF4-FFF2-40B4-BE49-F238E27FC236}">
              <a16:creationId xmlns:a16="http://schemas.microsoft.com/office/drawing/2014/main" id="{DD664A07-04AE-40CA-91D3-8B80C5274351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49" name="PORDB6">
          <a:extLst>
            <a:ext uri="{FF2B5EF4-FFF2-40B4-BE49-F238E27FC236}">
              <a16:creationId xmlns:a16="http://schemas.microsoft.com/office/drawing/2014/main" id="{9F6D8EC9-72FD-44D7-BE36-4F9D0836FB59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50" name="PORDB6">
          <a:extLst>
            <a:ext uri="{FF2B5EF4-FFF2-40B4-BE49-F238E27FC236}">
              <a16:creationId xmlns:a16="http://schemas.microsoft.com/office/drawing/2014/main" id="{FD44A808-3CFC-48D1-93ED-B601E4E10315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51" name="PORDB6">
          <a:extLst>
            <a:ext uri="{FF2B5EF4-FFF2-40B4-BE49-F238E27FC236}">
              <a16:creationId xmlns:a16="http://schemas.microsoft.com/office/drawing/2014/main" id="{D144AFEE-A8B6-424D-84AC-920B13DA4F51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52" name="PORDB6">
          <a:extLst>
            <a:ext uri="{FF2B5EF4-FFF2-40B4-BE49-F238E27FC236}">
              <a16:creationId xmlns:a16="http://schemas.microsoft.com/office/drawing/2014/main" id="{2C8B7A6C-FF87-484F-9592-7157D6BC1925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53" name="PORDB6">
          <a:extLst>
            <a:ext uri="{FF2B5EF4-FFF2-40B4-BE49-F238E27FC236}">
              <a16:creationId xmlns:a16="http://schemas.microsoft.com/office/drawing/2014/main" id="{DBDADB6B-F2C5-4850-82E1-529BA2F0824A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54" name="PORDB6">
          <a:extLst>
            <a:ext uri="{FF2B5EF4-FFF2-40B4-BE49-F238E27FC236}">
              <a16:creationId xmlns:a16="http://schemas.microsoft.com/office/drawing/2014/main" id="{6D4BD7F3-7692-4465-B055-684ACF8C0E18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55" name="PORDB6">
          <a:extLst>
            <a:ext uri="{FF2B5EF4-FFF2-40B4-BE49-F238E27FC236}">
              <a16:creationId xmlns:a16="http://schemas.microsoft.com/office/drawing/2014/main" id="{E38BA60C-5C22-4237-898D-26A03F578967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56" name="PORDB6">
          <a:extLst>
            <a:ext uri="{FF2B5EF4-FFF2-40B4-BE49-F238E27FC236}">
              <a16:creationId xmlns:a16="http://schemas.microsoft.com/office/drawing/2014/main" id="{B8CBB99F-6004-481D-BFC6-EB6137C3A561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57" name="PORDB6">
          <a:extLst>
            <a:ext uri="{FF2B5EF4-FFF2-40B4-BE49-F238E27FC236}">
              <a16:creationId xmlns:a16="http://schemas.microsoft.com/office/drawing/2014/main" id="{0C812610-1CE2-46D7-9A3F-8A9B6FF8BBEC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58" name="PORDB6">
          <a:extLst>
            <a:ext uri="{FF2B5EF4-FFF2-40B4-BE49-F238E27FC236}">
              <a16:creationId xmlns:a16="http://schemas.microsoft.com/office/drawing/2014/main" id="{287EBA80-FCF5-4446-9DA3-1C26AA9A6F93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59" name="PORDB6">
          <a:extLst>
            <a:ext uri="{FF2B5EF4-FFF2-40B4-BE49-F238E27FC236}">
              <a16:creationId xmlns:a16="http://schemas.microsoft.com/office/drawing/2014/main" id="{DF4FCC3A-687C-4D2E-8873-D7076F595D61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60" name="PORDB6">
          <a:extLst>
            <a:ext uri="{FF2B5EF4-FFF2-40B4-BE49-F238E27FC236}">
              <a16:creationId xmlns:a16="http://schemas.microsoft.com/office/drawing/2014/main" id="{6C922D8E-2655-4D14-9D7C-B403F109B0D1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61" name="PORDB6">
          <a:extLst>
            <a:ext uri="{FF2B5EF4-FFF2-40B4-BE49-F238E27FC236}">
              <a16:creationId xmlns:a16="http://schemas.microsoft.com/office/drawing/2014/main" id="{423B0B63-0009-42BC-AA7D-9FC81FE5CA51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62" name="PORDB6">
          <a:extLst>
            <a:ext uri="{FF2B5EF4-FFF2-40B4-BE49-F238E27FC236}">
              <a16:creationId xmlns:a16="http://schemas.microsoft.com/office/drawing/2014/main" id="{BB5A71F4-46C8-439D-BFAB-5B4EC35B088D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63" name="PORDB6">
          <a:extLst>
            <a:ext uri="{FF2B5EF4-FFF2-40B4-BE49-F238E27FC236}">
              <a16:creationId xmlns:a16="http://schemas.microsoft.com/office/drawing/2014/main" id="{8CD5F92C-F03C-464F-A0E4-F9BAF68A3D44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64" name="PORDB6">
          <a:extLst>
            <a:ext uri="{FF2B5EF4-FFF2-40B4-BE49-F238E27FC236}">
              <a16:creationId xmlns:a16="http://schemas.microsoft.com/office/drawing/2014/main" id="{82107BFD-4A16-4DDA-B768-E46175DE9862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65" name="PORDB6">
          <a:extLst>
            <a:ext uri="{FF2B5EF4-FFF2-40B4-BE49-F238E27FC236}">
              <a16:creationId xmlns:a16="http://schemas.microsoft.com/office/drawing/2014/main" id="{60D33B4E-D5B9-4527-9CD0-06FBA4003F39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66" name="PORDB6">
          <a:extLst>
            <a:ext uri="{FF2B5EF4-FFF2-40B4-BE49-F238E27FC236}">
              <a16:creationId xmlns:a16="http://schemas.microsoft.com/office/drawing/2014/main" id="{296E4B86-288E-429F-B179-8DB08801E3AA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67" name="PORDB6">
          <a:extLst>
            <a:ext uri="{FF2B5EF4-FFF2-40B4-BE49-F238E27FC236}">
              <a16:creationId xmlns:a16="http://schemas.microsoft.com/office/drawing/2014/main" id="{84B3C12F-0B1A-488B-897F-868EDA5F6869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68" name="PORDB6">
          <a:extLst>
            <a:ext uri="{FF2B5EF4-FFF2-40B4-BE49-F238E27FC236}">
              <a16:creationId xmlns:a16="http://schemas.microsoft.com/office/drawing/2014/main" id="{F8FFDF1F-E5E9-4842-9AAE-E14631B02A78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69" name="PORDB6">
          <a:extLst>
            <a:ext uri="{FF2B5EF4-FFF2-40B4-BE49-F238E27FC236}">
              <a16:creationId xmlns:a16="http://schemas.microsoft.com/office/drawing/2014/main" id="{BB75E1E4-826A-4B5D-B9F4-8FEDD7C88A56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70" name="PORDB6">
          <a:extLst>
            <a:ext uri="{FF2B5EF4-FFF2-40B4-BE49-F238E27FC236}">
              <a16:creationId xmlns:a16="http://schemas.microsoft.com/office/drawing/2014/main" id="{37394707-85A3-43BF-818E-F74C065A1EF2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71" name="PORDB6">
          <a:extLst>
            <a:ext uri="{FF2B5EF4-FFF2-40B4-BE49-F238E27FC236}">
              <a16:creationId xmlns:a16="http://schemas.microsoft.com/office/drawing/2014/main" id="{7C24535E-7A51-4CF6-AA0C-44C6EC2FEF68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72" name="PORDB6">
          <a:extLst>
            <a:ext uri="{FF2B5EF4-FFF2-40B4-BE49-F238E27FC236}">
              <a16:creationId xmlns:a16="http://schemas.microsoft.com/office/drawing/2014/main" id="{F250ED3B-2D00-4064-A200-CE6355C82653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73" name="PORDB6">
          <a:extLst>
            <a:ext uri="{FF2B5EF4-FFF2-40B4-BE49-F238E27FC236}">
              <a16:creationId xmlns:a16="http://schemas.microsoft.com/office/drawing/2014/main" id="{F3924242-B946-47FB-BFFF-4DD55D36B8E1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74" name="PORDB6">
          <a:extLst>
            <a:ext uri="{FF2B5EF4-FFF2-40B4-BE49-F238E27FC236}">
              <a16:creationId xmlns:a16="http://schemas.microsoft.com/office/drawing/2014/main" id="{4DF7DC98-EA75-4D01-8356-E5F6D5593BA3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75" name="PORDB6">
          <a:extLst>
            <a:ext uri="{FF2B5EF4-FFF2-40B4-BE49-F238E27FC236}">
              <a16:creationId xmlns:a16="http://schemas.microsoft.com/office/drawing/2014/main" id="{B512417A-30E1-4AB1-A6C3-6F4E2CFBE73C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76" name="PORDB6">
          <a:extLst>
            <a:ext uri="{FF2B5EF4-FFF2-40B4-BE49-F238E27FC236}">
              <a16:creationId xmlns:a16="http://schemas.microsoft.com/office/drawing/2014/main" id="{C4D4AD6D-CE16-41A4-AC24-78E8C441096A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77" name="PORDB6">
          <a:extLst>
            <a:ext uri="{FF2B5EF4-FFF2-40B4-BE49-F238E27FC236}">
              <a16:creationId xmlns:a16="http://schemas.microsoft.com/office/drawing/2014/main" id="{27387595-1E37-42CB-952A-4FB79C884F0F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78" name="PORDB6">
          <a:extLst>
            <a:ext uri="{FF2B5EF4-FFF2-40B4-BE49-F238E27FC236}">
              <a16:creationId xmlns:a16="http://schemas.microsoft.com/office/drawing/2014/main" id="{D76B32A0-FC7C-4E75-80AA-7C2BB3D82CFF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79" name="PORDB6">
          <a:extLst>
            <a:ext uri="{FF2B5EF4-FFF2-40B4-BE49-F238E27FC236}">
              <a16:creationId xmlns:a16="http://schemas.microsoft.com/office/drawing/2014/main" id="{54234D86-128D-47B8-B5B7-F2AE2971A63C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80" name="PORDB6">
          <a:extLst>
            <a:ext uri="{FF2B5EF4-FFF2-40B4-BE49-F238E27FC236}">
              <a16:creationId xmlns:a16="http://schemas.microsoft.com/office/drawing/2014/main" id="{7B30E875-7056-4F06-BB71-FBB52AA9483E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81" name="PORDB6">
          <a:extLst>
            <a:ext uri="{FF2B5EF4-FFF2-40B4-BE49-F238E27FC236}">
              <a16:creationId xmlns:a16="http://schemas.microsoft.com/office/drawing/2014/main" id="{DE7F34F6-AAC0-4D68-92C6-876F1D79ABA0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82" name="PORDB6">
          <a:extLst>
            <a:ext uri="{FF2B5EF4-FFF2-40B4-BE49-F238E27FC236}">
              <a16:creationId xmlns:a16="http://schemas.microsoft.com/office/drawing/2014/main" id="{9005EC2E-1B2C-4658-919F-8B713EC7290A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83" name="PORDB6">
          <a:extLst>
            <a:ext uri="{FF2B5EF4-FFF2-40B4-BE49-F238E27FC236}">
              <a16:creationId xmlns:a16="http://schemas.microsoft.com/office/drawing/2014/main" id="{430BE003-B567-41C4-ACCD-5B584FED764D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84" name="PORDB6">
          <a:extLst>
            <a:ext uri="{FF2B5EF4-FFF2-40B4-BE49-F238E27FC236}">
              <a16:creationId xmlns:a16="http://schemas.microsoft.com/office/drawing/2014/main" id="{34A96445-2BBD-49E1-B203-A862F047D43E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85" name="PORDB6">
          <a:extLst>
            <a:ext uri="{FF2B5EF4-FFF2-40B4-BE49-F238E27FC236}">
              <a16:creationId xmlns:a16="http://schemas.microsoft.com/office/drawing/2014/main" id="{40ABDBC9-D698-461B-9499-55016861C8D1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86" name="PORDB6">
          <a:extLst>
            <a:ext uri="{FF2B5EF4-FFF2-40B4-BE49-F238E27FC236}">
              <a16:creationId xmlns:a16="http://schemas.microsoft.com/office/drawing/2014/main" id="{87FEE430-27A3-4CA7-BFDE-9889089ED8A5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87" name="PORDB6">
          <a:extLst>
            <a:ext uri="{FF2B5EF4-FFF2-40B4-BE49-F238E27FC236}">
              <a16:creationId xmlns:a16="http://schemas.microsoft.com/office/drawing/2014/main" id="{0A5B21C5-E828-4530-8871-5D109891991C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88" name="PORDB6">
          <a:extLst>
            <a:ext uri="{FF2B5EF4-FFF2-40B4-BE49-F238E27FC236}">
              <a16:creationId xmlns:a16="http://schemas.microsoft.com/office/drawing/2014/main" id="{65E293E0-1A56-4664-96F4-1D1F2EE5A028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89" name="PORDB6">
          <a:extLst>
            <a:ext uri="{FF2B5EF4-FFF2-40B4-BE49-F238E27FC236}">
              <a16:creationId xmlns:a16="http://schemas.microsoft.com/office/drawing/2014/main" id="{B84C96C5-0DBA-4A88-BC70-D8E9A1183419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90" name="PORDB6">
          <a:extLst>
            <a:ext uri="{FF2B5EF4-FFF2-40B4-BE49-F238E27FC236}">
              <a16:creationId xmlns:a16="http://schemas.microsoft.com/office/drawing/2014/main" id="{482857AC-E485-490D-A859-F6F515D7A256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91" name="PORDB6">
          <a:extLst>
            <a:ext uri="{FF2B5EF4-FFF2-40B4-BE49-F238E27FC236}">
              <a16:creationId xmlns:a16="http://schemas.microsoft.com/office/drawing/2014/main" id="{F793E0DA-A3CD-4956-8992-1145CD961392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92" name="PORDB6">
          <a:extLst>
            <a:ext uri="{FF2B5EF4-FFF2-40B4-BE49-F238E27FC236}">
              <a16:creationId xmlns:a16="http://schemas.microsoft.com/office/drawing/2014/main" id="{93854E15-81FD-4A78-93C9-92BEB5F6CF25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93" name="PORDB6">
          <a:extLst>
            <a:ext uri="{FF2B5EF4-FFF2-40B4-BE49-F238E27FC236}">
              <a16:creationId xmlns:a16="http://schemas.microsoft.com/office/drawing/2014/main" id="{4EAEAFAD-2EB6-4893-9F3C-A5E4886DE104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94" name="PORDB6">
          <a:extLst>
            <a:ext uri="{FF2B5EF4-FFF2-40B4-BE49-F238E27FC236}">
              <a16:creationId xmlns:a16="http://schemas.microsoft.com/office/drawing/2014/main" id="{74AD308F-D4F9-4365-A7AF-317CD5BAFA63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95" name="PORDB6">
          <a:extLst>
            <a:ext uri="{FF2B5EF4-FFF2-40B4-BE49-F238E27FC236}">
              <a16:creationId xmlns:a16="http://schemas.microsoft.com/office/drawing/2014/main" id="{836ABE21-E2D9-4DB6-9D65-49BE2EC3B6E9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96" name="PORDB6">
          <a:extLst>
            <a:ext uri="{FF2B5EF4-FFF2-40B4-BE49-F238E27FC236}">
              <a16:creationId xmlns:a16="http://schemas.microsoft.com/office/drawing/2014/main" id="{6806AD0C-AA19-409F-BA4A-3949ADEC8416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97" name="PORDB6">
          <a:extLst>
            <a:ext uri="{FF2B5EF4-FFF2-40B4-BE49-F238E27FC236}">
              <a16:creationId xmlns:a16="http://schemas.microsoft.com/office/drawing/2014/main" id="{6FDAC72E-0FAE-4A13-BABC-73933ED6DEA8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98" name="PORDB6">
          <a:extLst>
            <a:ext uri="{FF2B5EF4-FFF2-40B4-BE49-F238E27FC236}">
              <a16:creationId xmlns:a16="http://schemas.microsoft.com/office/drawing/2014/main" id="{4C43FBB0-40D6-4F9A-91A5-3434BBF8FB2A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699" name="PORDB6">
          <a:extLst>
            <a:ext uri="{FF2B5EF4-FFF2-40B4-BE49-F238E27FC236}">
              <a16:creationId xmlns:a16="http://schemas.microsoft.com/office/drawing/2014/main" id="{F7019580-E7C0-4EC1-9768-6CBE20DC4A59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00" name="PORDB6">
          <a:extLst>
            <a:ext uri="{FF2B5EF4-FFF2-40B4-BE49-F238E27FC236}">
              <a16:creationId xmlns:a16="http://schemas.microsoft.com/office/drawing/2014/main" id="{0EF9DA20-9EA8-4281-9514-1091D729AC08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01" name="PORDB6">
          <a:extLst>
            <a:ext uri="{FF2B5EF4-FFF2-40B4-BE49-F238E27FC236}">
              <a16:creationId xmlns:a16="http://schemas.microsoft.com/office/drawing/2014/main" id="{0E4B83C7-1846-4BDB-BAFB-1F377ABCB251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02" name="PORDB6">
          <a:extLst>
            <a:ext uri="{FF2B5EF4-FFF2-40B4-BE49-F238E27FC236}">
              <a16:creationId xmlns:a16="http://schemas.microsoft.com/office/drawing/2014/main" id="{E6640A4B-990A-4A2D-90C6-77B11B664FFC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03" name="PORDB6">
          <a:extLst>
            <a:ext uri="{FF2B5EF4-FFF2-40B4-BE49-F238E27FC236}">
              <a16:creationId xmlns:a16="http://schemas.microsoft.com/office/drawing/2014/main" id="{C0107999-1B0E-4B47-A3D7-20C0451E3E81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04" name="PORDB6">
          <a:extLst>
            <a:ext uri="{FF2B5EF4-FFF2-40B4-BE49-F238E27FC236}">
              <a16:creationId xmlns:a16="http://schemas.microsoft.com/office/drawing/2014/main" id="{BEF09D8D-1102-40A2-AEED-96A33A249617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05" name="PORDB6">
          <a:extLst>
            <a:ext uri="{FF2B5EF4-FFF2-40B4-BE49-F238E27FC236}">
              <a16:creationId xmlns:a16="http://schemas.microsoft.com/office/drawing/2014/main" id="{90BC9EF9-BAF8-4F60-A6B6-93BDE104BB94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06" name="PORDB6">
          <a:extLst>
            <a:ext uri="{FF2B5EF4-FFF2-40B4-BE49-F238E27FC236}">
              <a16:creationId xmlns:a16="http://schemas.microsoft.com/office/drawing/2014/main" id="{0F5C7A43-1851-4420-8DA6-A8E4F3F0C8F1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07" name="PORDB6">
          <a:extLst>
            <a:ext uri="{FF2B5EF4-FFF2-40B4-BE49-F238E27FC236}">
              <a16:creationId xmlns:a16="http://schemas.microsoft.com/office/drawing/2014/main" id="{2F885A0B-FF1F-4AF9-A364-DE2E0DFB1292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08" name="PORDB6">
          <a:extLst>
            <a:ext uri="{FF2B5EF4-FFF2-40B4-BE49-F238E27FC236}">
              <a16:creationId xmlns:a16="http://schemas.microsoft.com/office/drawing/2014/main" id="{E7753B6F-E893-4C85-9C8B-A5C0C9FA1809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09" name="PORDB6">
          <a:extLst>
            <a:ext uri="{FF2B5EF4-FFF2-40B4-BE49-F238E27FC236}">
              <a16:creationId xmlns:a16="http://schemas.microsoft.com/office/drawing/2014/main" id="{303BDC5F-D062-43E9-BEC1-74A9C31F3DF8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10" name="PORDB6">
          <a:extLst>
            <a:ext uri="{FF2B5EF4-FFF2-40B4-BE49-F238E27FC236}">
              <a16:creationId xmlns:a16="http://schemas.microsoft.com/office/drawing/2014/main" id="{AEE45243-BC8F-4A7E-8AEB-84D2CD418661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11" name="PORDB6">
          <a:extLst>
            <a:ext uri="{FF2B5EF4-FFF2-40B4-BE49-F238E27FC236}">
              <a16:creationId xmlns:a16="http://schemas.microsoft.com/office/drawing/2014/main" id="{5E092E5E-9314-4A83-9007-3112AB23E98A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12" name="PORDB6">
          <a:extLst>
            <a:ext uri="{FF2B5EF4-FFF2-40B4-BE49-F238E27FC236}">
              <a16:creationId xmlns:a16="http://schemas.microsoft.com/office/drawing/2014/main" id="{9EFEF618-7C39-443F-8789-C38771F439C1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13" name="PORDB6">
          <a:extLst>
            <a:ext uri="{FF2B5EF4-FFF2-40B4-BE49-F238E27FC236}">
              <a16:creationId xmlns:a16="http://schemas.microsoft.com/office/drawing/2014/main" id="{1DDFDAD3-3F56-4ABB-B245-4854F3AED22D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14" name="PORDB6">
          <a:extLst>
            <a:ext uri="{FF2B5EF4-FFF2-40B4-BE49-F238E27FC236}">
              <a16:creationId xmlns:a16="http://schemas.microsoft.com/office/drawing/2014/main" id="{82FCF458-D052-4885-A9CA-5E9F6A5A929F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15" name="PORDB6">
          <a:extLst>
            <a:ext uri="{FF2B5EF4-FFF2-40B4-BE49-F238E27FC236}">
              <a16:creationId xmlns:a16="http://schemas.microsoft.com/office/drawing/2014/main" id="{FD02411D-9215-4C60-8506-8F056F7CCE97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16" name="PORDB6">
          <a:extLst>
            <a:ext uri="{FF2B5EF4-FFF2-40B4-BE49-F238E27FC236}">
              <a16:creationId xmlns:a16="http://schemas.microsoft.com/office/drawing/2014/main" id="{2CCE35DA-6C23-4023-B19F-443B1150CD85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17" name="PORDB6">
          <a:extLst>
            <a:ext uri="{FF2B5EF4-FFF2-40B4-BE49-F238E27FC236}">
              <a16:creationId xmlns:a16="http://schemas.microsoft.com/office/drawing/2014/main" id="{1A628BD5-0C50-4D3B-A20A-84421C78BBAF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18" name="PORDB6">
          <a:extLst>
            <a:ext uri="{FF2B5EF4-FFF2-40B4-BE49-F238E27FC236}">
              <a16:creationId xmlns:a16="http://schemas.microsoft.com/office/drawing/2014/main" id="{CC16FD42-E4A8-4C61-9038-5297D4B58D24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19" name="PORDB6">
          <a:extLst>
            <a:ext uri="{FF2B5EF4-FFF2-40B4-BE49-F238E27FC236}">
              <a16:creationId xmlns:a16="http://schemas.microsoft.com/office/drawing/2014/main" id="{8EB05214-F7DA-47B3-BE6E-F15CF4EBA26F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20" name="PORDB6">
          <a:extLst>
            <a:ext uri="{FF2B5EF4-FFF2-40B4-BE49-F238E27FC236}">
              <a16:creationId xmlns:a16="http://schemas.microsoft.com/office/drawing/2014/main" id="{2A8A2B6D-0B69-43CB-856C-0AD64C0228DE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21" name="PORDB6">
          <a:extLst>
            <a:ext uri="{FF2B5EF4-FFF2-40B4-BE49-F238E27FC236}">
              <a16:creationId xmlns:a16="http://schemas.microsoft.com/office/drawing/2014/main" id="{CFD5B383-900A-44EA-A043-E41B1255E083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22" name="PORDB6">
          <a:extLst>
            <a:ext uri="{FF2B5EF4-FFF2-40B4-BE49-F238E27FC236}">
              <a16:creationId xmlns:a16="http://schemas.microsoft.com/office/drawing/2014/main" id="{5A79BD54-5A5C-43FD-8205-BA366A7ACEB5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23" name="PORDB6">
          <a:extLst>
            <a:ext uri="{FF2B5EF4-FFF2-40B4-BE49-F238E27FC236}">
              <a16:creationId xmlns:a16="http://schemas.microsoft.com/office/drawing/2014/main" id="{D28EEB59-34E7-4B02-8695-5BDE1034124A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24" name="PORDB6">
          <a:extLst>
            <a:ext uri="{FF2B5EF4-FFF2-40B4-BE49-F238E27FC236}">
              <a16:creationId xmlns:a16="http://schemas.microsoft.com/office/drawing/2014/main" id="{D4A477D3-525D-4B13-8EEB-DE643717AEAA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25" name="PORDB6">
          <a:extLst>
            <a:ext uri="{FF2B5EF4-FFF2-40B4-BE49-F238E27FC236}">
              <a16:creationId xmlns:a16="http://schemas.microsoft.com/office/drawing/2014/main" id="{5EB50538-CBAE-4F9A-ABDA-9313C05F962F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26" name="PORDB6">
          <a:extLst>
            <a:ext uri="{FF2B5EF4-FFF2-40B4-BE49-F238E27FC236}">
              <a16:creationId xmlns:a16="http://schemas.microsoft.com/office/drawing/2014/main" id="{9DA70D5A-ED26-4FE0-8C27-5BEA0B51BCAE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27" name="PORDB6">
          <a:extLst>
            <a:ext uri="{FF2B5EF4-FFF2-40B4-BE49-F238E27FC236}">
              <a16:creationId xmlns:a16="http://schemas.microsoft.com/office/drawing/2014/main" id="{2B43B02F-635A-4454-80FB-55E104912A5B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28" name="PORDB6">
          <a:extLst>
            <a:ext uri="{FF2B5EF4-FFF2-40B4-BE49-F238E27FC236}">
              <a16:creationId xmlns:a16="http://schemas.microsoft.com/office/drawing/2014/main" id="{9DBCE4EB-3543-4069-A1D7-474E2AE47950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29" name="PORDB6">
          <a:extLst>
            <a:ext uri="{FF2B5EF4-FFF2-40B4-BE49-F238E27FC236}">
              <a16:creationId xmlns:a16="http://schemas.microsoft.com/office/drawing/2014/main" id="{5F41B441-5527-4BDE-B125-D17714C2C032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30" name="PORDB6">
          <a:extLst>
            <a:ext uri="{FF2B5EF4-FFF2-40B4-BE49-F238E27FC236}">
              <a16:creationId xmlns:a16="http://schemas.microsoft.com/office/drawing/2014/main" id="{01564D61-4C7D-4191-80B0-7F8A9834618D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31" name="PORDB6">
          <a:extLst>
            <a:ext uri="{FF2B5EF4-FFF2-40B4-BE49-F238E27FC236}">
              <a16:creationId xmlns:a16="http://schemas.microsoft.com/office/drawing/2014/main" id="{B9CBCC0D-E8E7-4CD6-A817-5750AD6F0A34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32" name="PORDB6">
          <a:extLst>
            <a:ext uri="{FF2B5EF4-FFF2-40B4-BE49-F238E27FC236}">
              <a16:creationId xmlns:a16="http://schemas.microsoft.com/office/drawing/2014/main" id="{1FBAEBA5-2EF2-4E99-8712-B851CAB6349B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33" name="PORDB6">
          <a:extLst>
            <a:ext uri="{FF2B5EF4-FFF2-40B4-BE49-F238E27FC236}">
              <a16:creationId xmlns:a16="http://schemas.microsoft.com/office/drawing/2014/main" id="{415B3CE6-7F8D-4B4F-A612-79BA6A5EFA83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34" name="PORDB6">
          <a:extLst>
            <a:ext uri="{FF2B5EF4-FFF2-40B4-BE49-F238E27FC236}">
              <a16:creationId xmlns:a16="http://schemas.microsoft.com/office/drawing/2014/main" id="{D7D07FA2-64D6-452D-B338-A69402185960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35" name="PORDB6">
          <a:extLst>
            <a:ext uri="{FF2B5EF4-FFF2-40B4-BE49-F238E27FC236}">
              <a16:creationId xmlns:a16="http://schemas.microsoft.com/office/drawing/2014/main" id="{5E33ECEB-A01B-4D6B-B169-9C42698CBEE8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36" name="PORDB6">
          <a:extLst>
            <a:ext uri="{FF2B5EF4-FFF2-40B4-BE49-F238E27FC236}">
              <a16:creationId xmlns:a16="http://schemas.microsoft.com/office/drawing/2014/main" id="{BE3A6BF8-9450-4DF5-AA41-EA7EF0FFA0B3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37" name="PORDB6">
          <a:extLst>
            <a:ext uri="{FF2B5EF4-FFF2-40B4-BE49-F238E27FC236}">
              <a16:creationId xmlns:a16="http://schemas.microsoft.com/office/drawing/2014/main" id="{6224FE7F-93AB-43A7-A0FC-DD261A2506B3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38" name="PORDB6">
          <a:extLst>
            <a:ext uri="{FF2B5EF4-FFF2-40B4-BE49-F238E27FC236}">
              <a16:creationId xmlns:a16="http://schemas.microsoft.com/office/drawing/2014/main" id="{CEB9CDA1-7CFE-4B35-B2C4-E7D77C286E9F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39" name="PORDB6">
          <a:extLst>
            <a:ext uri="{FF2B5EF4-FFF2-40B4-BE49-F238E27FC236}">
              <a16:creationId xmlns:a16="http://schemas.microsoft.com/office/drawing/2014/main" id="{62CC65A4-3EF9-4766-8317-0CA42BE23754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40" name="PORDB6">
          <a:extLst>
            <a:ext uri="{FF2B5EF4-FFF2-40B4-BE49-F238E27FC236}">
              <a16:creationId xmlns:a16="http://schemas.microsoft.com/office/drawing/2014/main" id="{998875EC-FC7D-4CDE-9979-EFBE543465CB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41" name="PORDB6">
          <a:extLst>
            <a:ext uri="{FF2B5EF4-FFF2-40B4-BE49-F238E27FC236}">
              <a16:creationId xmlns:a16="http://schemas.microsoft.com/office/drawing/2014/main" id="{521E715B-1D3E-4063-93AA-37F857F50B3E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42" name="PORDB6">
          <a:extLst>
            <a:ext uri="{FF2B5EF4-FFF2-40B4-BE49-F238E27FC236}">
              <a16:creationId xmlns:a16="http://schemas.microsoft.com/office/drawing/2014/main" id="{0151EB9B-81A8-4296-BEB8-741536A03ECF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43" name="PORDB6">
          <a:extLst>
            <a:ext uri="{FF2B5EF4-FFF2-40B4-BE49-F238E27FC236}">
              <a16:creationId xmlns:a16="http://schemas.microsoft.com/office/drawing/2014/main" id="{F504837F-86CB-4C3F-8831-2E46188A1221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44" name="PORDB6">
          <a:extLst>
            <a:ext uri="{FF2B5EF4-FFF2-40B4-BE49-F238E27FC236}">
              <a16:creationId xmlns:a16="http://schemas.microsoft.com/office/drawing/2014/main" id="{042D045C-D07F-486E-9B55-6139948BB2C2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45" name="PORDB6">
          <a:extLst>
            <a:ext uri="{FF2B5EF4-FFF2-40B4-BE49-F238E27FC236}">
              <a16:creationId xmlns:a16="http://schemas.microsoft.com/office/drawing/2014/main" id="{D05A7A19-7C0F-4E71-ABFE-E9AD8270339E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46" name="PORDB6">
          <a:extLst>
            <a:ext uri="{FF2B5EF4-FFF2-40B4-BE49-F238E27FC236}">
              <a16:creationId xmlns:a16="http://schemas.microsoft.com/office/drawing/2014/main" id="{A7AF5538-3395-4152-81D4-804D2B2A2BF3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47" name="PORDB6">
          <a:extLst>
            <a:ext uri="{FF2B5EF4-FFF2-40B4-BE49-F238E27FC236}">
              <a16:creationId xmlns:a16="http://schemas.microsoft.com/office/drawing/2014/main" id="{B7B3E1FB-ACD1-4C46-B85B-377483D8663F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48" name="PORDB6">
          <a:extLst>
            <a:ext uri="{FF2B5EF4-FFF2-40B4-BE49-F238E27FC236}">
              <a16:creationId xmlns:a16="http://schemas.microsoft.com/office/drawing/2014/main" id="{599D312A-0CA4-4E23-8EED-ED5DFE224B80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49" name="PORDB6">
          <a:extLst>
            <a:ext uri="{FF2B5EF4-FFF2-40B4-BE49-F238E27FC236}">
              <a16:creationId xmlns:a16="http://schemas.microsoft.com/office/drawing/2014/main" id="{FE4EDB30-3548-4881-AD97-F4D7AF6809C4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50" name="PORDB6">
          <a:extLst>
            <a:ext uri="{FF2B5EF4-FFF2-40B4-BE49-F238E27FC236}">
              <a16:creationId xmlns:a16="http://schemas.microsoft.com/office/drawing/2014/main" id="{E82D0591-0D55-4700-A05D-FBBCBE750F45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51" name="PORDB6">
          <a:extLst>
            <a:ext uri="{FF2B5EF4-FFF2-40B4-BE49-F238E27FC236}">
              <a16:creationId xmlns:a16="http://schemas.microsoft.com/office/drawing/2014/main" id="{E630C65F-3999-4A62-A7C9-77E639DBB0C3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52" name="PORDB6">
          <a:extLst>
            <a:ext uri="{FF2B5EF4-FFF2-40B4-BE49-F238E27FC236}">
              <a16:creationId xmlns:a16="http://schemas.microsoft.com/office/drawing/2014/main" id="{38A527C1-DE8E-4033-ADF6-A982136C6F6C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53" name="PORDB6">
          <a:extLst>
            <a:ext uri="{FF2B5EF4-FFF2-40B4-BE49-F238E27FC236}">
              <a16:creationId xmlns:a16="http://schemas.microsoft.com/office/drawing/2014/main" id="{2F9F42D5-2ABC-44F4-8E50-EA3E5631EAF5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54" name="PORDB6">
          <a:extLst>
            <a:ext uri="{FF2B5EF4-FFF2-40B4-BE49-F238E27FC236}">
              <a16:creationId xmlns:a16="http://schemas.microsoft.com/office/drawing/2014/main" id="{4B3D13C9-2CFE-4842-9A4B-4BF89752A07C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55" name="PORDB6">
          <a:extLst>
            <a:ext uri="{FF2B5EF4-FFF2-40B4-BE49-F238E27FC236}">
              <a16:creationId xmlns:a16="http://schemas.microsoft.com/office/drawing/2014/main" id="{900A9171-79A7-4E83-8918-AD24CEEE16CE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56" name="PORDB6">
          <a:extLst>
            <a:ext uri="{FF2B5EF4-FFF2-40B4-BE49-F238E27FC236}">
              <a16:creationId xmlns:a16="http://schemas.microsoft.com/office/drawing/2014/main" id="{62AE3D36-65D5-4ACE-B30D-92F4B2D2FA74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57" name="PORDB6">
          <a:extLst>
            <a:ext uri="{FF2B5EF4-FFF2-40B4-BE49-F238E27FC236}">
              <a16:creationId xmlns:a16="http://schemas.microsoft.com/office/drawing/2014/main" id="{7139D618-30B7-429C-8A79-7C3A0F404EE6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58" name="PORDB6">
          <a:extLst>
            <a:ext uri="{FF2B5EF4-FFF2-40B4-BE49-F238E27FC236}">
              <a16:creationId xmlns:a16="http://schemas.microsoft.com/office/drawing/2014/main" id="{AFE14851-4D12-45FF-95F1-2392723491A6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59" name="PORDB6">
          <a:extLst>
            <a:ext uri="{FF2B5EF4-FFF2-40B4-BE49-F238E27FC236}">
              <a16:creationId xmlns:a16="http://schemas.microsoft.com/office/drawing/2014/main" id="{F0716674-BDE4-4167-9213-B2C3E9674B13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60" name="PORDB6">
          <a:extLst>
            <a:ext uri="{FF2B5EF4-FFF2-40B4-BE49-F238E27FC236}">
              <a16:creationId xmlns:a16="http://schemas.microsoft.com/office/drawing/2014/main" id="{9973AA69-755E-485E-B0CD-78DE041AC729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61" name="PORDB6">
          <a:extLst>
            <a:ext uri="{FF2B5EF4-FFF2-40B4-BE49-F238E27FC236}">
              <a16:creationId xmlns:a16="http://schemas.microsoft.com/office/drawing/2014/main" id="{86A5240F-61BF-4E9E-8B49-D278844FC95D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62" name="PORDB6">
          <a:extLst>
            <a:ext uri="{FF2B5EF4-FFF2-40B4-BE49-F238E27FC236}">
              <a16:creationId xmlns:a16="http://schemas.microsoft.com/office/drawing/2014/main" id="{EF53B2AB-8DA5-452C-8456-BA69576D0B7F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63" name="PORDB6">
          <a:extLst>
            <a:ext uri="{FF2B5EF4-FFF2-40B4-BE49-F238E27FC236}">
              <a16:creationId xmlns:a16="http://schemas.microsoft.com/office/drawing/2014/main" id="{B5B3657C-A3F1-4F52-8F11-E52683B8E3D5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64" name="PORDB6">
          <a:extLst>
            <a:ext uri="{FF2B5EF4-FFF2-40B4-BE49-F238E27FC236}">
              <a16:creationId xmlns:a16="http://schemas.microsoft.com/office/drawing/2014/main" id="{90ECCE9B-C8CE-4ED9-BD19-70516BCD5D82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65" name="PORDB6">
          <a:extLst>
            <a:ext uri="{FF2B5EF4-FFF2-40B4-BE49-F238E27FC236}">
              <a16:creationId xmlns:a16="http://schemas.microsoft.com/office/drawing/2014/main" id="{2A7635B4-1B82-4D2D-9881-6DE614FD99C0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66" name="PORDB6">
          <a:extLst>
            <a:ext uri="{FF2B5EF4-FFF2-40B4-BE49-F238E27FC236}">
              <a16:creationId xmlns:a16="http://schemas.microsoft.com/office/drawing/2014/main" id="{BBB42FDB-3963-4F3C-B3D4-03AEEA989285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67" name="PORDB6">
          <a:extLst>
            <a:ext uri="{FF2B5EF4-FFF2-40B4-BE49-F238E27FC236}">
              <a16:creationId xmlns:a16="http://schemas.microsoft.com/office/drawing/2014/main" id="{577F2BD3-1756-4D46-8E25-B972631C570E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68" name="PORDB6">
          <a:extLst>
            <a:ext uri="{FF2B5EF4-FFF2-40B4-BE49-F238E27FC236}">
              <a16:creationId xmlns:a16="http://schemas.microsoft.com/office/drawing/2014/main" id="{D43F1575-C0F3-45CC-B67B-CC93663D2B0F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69" name="PORDB6">
          <a:extLst>
            <a:ext uri="{FF2B5EF4-FFF2-40B4-BE49-F238E27FC236}">
              <a16:creationId xmlns:a16="http://schemas.microsoft.com/office/drawing/2014/main" id="{741A0B26-63D0-41D5-BD18-296967165C38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70" name="PORDB6">
          <a:extLst>
            <a:ext uri="{FF2B5EF4-FFF2-40B4-BE49-F238E27FC236}">
              <a16:creationId xmlns:a16="http://schemas.microsoft.com/office/drawing/2014/main" id="{8C2271E6-0AAB-438C-893C-740CA525ADD9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71" name="PORDB6">
          <a:extLst>
            <a:ext uri="{FF2B5EF4-FFF2-40B4-BE49-F238E27FC236}">
              <a16:creationId xmlns:a16="http://schemas.microsoft.com/office/drawing/2014/main" id="{855C6B6F-21D5-4F2D-9810-F746BCBD9AEF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72" name="PORDB6">
          <a:extLst>
            <a:ext uri="{FF2B5EF4-FFF2-40B4-BE49-F238E27FC236}">
              <a16:creationId xmlns:a16="http://schemas.microsoft.com/office/drawing/2014/main" id="{478D1F62-B4AE-4435-BE73-1ADA7E175315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73" name="PORDB6">
          <a:extLst>
            <a:ext uri="{FF2B5EF4-FFF2-40B4-BE49-F238E27FC236}">
              <a16:creationId xmlns:a16="http://schemas.microsoft.com/office/drawing/2014/main" id="{1340CB1E-03F6-42CB-A1E3-B0374965EBB9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74" name="PORDB6">
          <a:extLst>
            <a:ext uri="{FF2B5EF4-FFF2-40B4-BE49-F238E27FC236}">
              <a16:creationId xmlns:a16="http://schemas.microsoft.com/office/drawing/2014/main" id="{6F4BFAC8-5135-45BE-975C-626D1853A37A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75" name="PORDB6">
          <a:extLst>
            <a:ext uri="{FF2B5EF4-FFF2-40B4-BE49-F238E27FC236}">
              <a16:creationId xmlns:a16="http://schemas.microsoft.com/office/drawing/2014/main" id="{E58D75FF-E8C0-4094-A986-397BDFF47D74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76" name="PORDB6">
          <a:extLst>
            <a:ext uri="{FF2B5EF4-FFF2-40B4-BE49-F238E27FC236}">
              <a16:creationId xmlns:a16="http://schemas.microsoft.com/office/drawing/2014/main" id="{B851A2B0-F5D4-4537-AF62-4B3F95BEC996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77" name="PORDB6">
          <a:extLst>
            <a:ext uri="{FF2B5EF4-FFF2-40B4-BE49-F238E27FC236}">
              <a16:creationId xmlns:a16="http://schemas.microsoft.com/office/drawing/2014/main" id="{FCA40923-89DC-408C-9A30-299ED009ADD9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78" name="PORDB6">
          <a:extLst>
            <a:ext uri="{FF2B5EF4-FFF2-40B4-BE49-F238E27FC236}">
              <a16:creationId xmlns:a16="http://schemas.microsoft.com/office/drawing/2014/main" id="{7181343F-5DD7-44A6-B88B-04311F657388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79" name="PORDB6">
          <a:extLst>
            <a:ext uri="{FF2B5EF4-FFF2-40B4-BE49-F238E27FC236}">
              <a16:creationId xmlns:a16="http://schemas.microsoft.com/office/drawing/2014/main" id="{01F62558-5691-48A1-AFBB-B80181451A18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80" name="PORDB6">
          <a:extLst>
            <a:ext uri="{FF2B5EF4-FFF2-40B4-BE49-F238E27FC236}">
              <a16:creationId xmlns:a16="http://schemas.microsoft.com/office/drawing/2014/main" id="{F8749B37-FD2C-466A-9E4B-F4C6EDF49B26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81" name="PORDB6">
          <a:extLst>
            <a:ext uri="{FF2B5EF4-FFF2-40B4-BE49-F238E27FC236}">
              <a16:creationId xmlns:a16="http://schemas.microsoft.com/office/drawing/2014/main" id="{D9DB3CA9-9C72-4B9C-8782-356802CC0A00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82" name="PORDB6">
          <a:extLst>
            <a:ext uri="{FF2B5EF4-FFF2-40B4-BE49-F238E27FC236}">
              <a16:creationId xmlns:a16="http://schemas.microsoft.com/office/drawing/2014/main" id="{ED040FCA-927F-4D66-835B-60670529A984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83" name="PORDB6">
          <a:extLst>
            <a:ext uri="{FF2B5EF4-FFF2-40B4-BE49-F238E27FC236}">
              <a16:creationId xmlns:a16="http://schemas.microsoft.com/office/drawing/2014/main" id="{FF5BC6B2-E3AF-4530-83FC-D16B62B27AD1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84" name="PORDB6">
          <a:extLst>
            <a:ext uri="{FF2B5EF4-FFF2-40B4-BE49-F238E27FC236}">
              <a16:creationId xmlns:a16="http://schemas.microsoft.com/office/drawing/2014/main" id="{8A4B52C4-8904-419C-9122-7125AD0FAB6B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85" name="PORDB6">
          <a:extLst>
            <a:ext uri="{FF2B5EF4-FFF2-40B4-BE49-F238E27FC236}">
              <a16:creationId xmlns:a16="http://schemas.microsoft.com/office/drawing/2014/main" id="{95B5E0AF-1504-41B1-B7D9-D6BDBE3D4AB4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86" name="PORDB6">
          <a:extLst>
            <a:ext uri="{FF2B5EF4-FFF2-40B4-BE49-F238E27FC236}">
              <a16:creationId xmlns:a16="http://schemas.microsoft.com/office/drawing/2014/main" id="{BFADC520-C6C3-4A4C-8F04-A76F47F64035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87" name="PORDB6">
          <a:extLst>
            <a:ext uri="{FF2B5EF4-FFF2-40B4-BE49-F238E27FC236}">
              <a16:creationId xmlns:a16="http://schemas.microsoft.com/office/drawing/2014/main" id="{62EB8DC9-488F-4F64-A4B0-0B8957F4F797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88" name="PORDB6">
          <a:extLst>
            <a:ext uri="{FF2B5EF4-FFF2-40B4-BE49-F238E27FC236}">
              <a16:creationId xmlns:a16="http://schemas.microsoft.com/office/drawing/2014/main" id="{9028AC9F-0425-468C-B5BD-C657D1359522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89" name="PORDB6">
          <a:extLst>
            <a:ext uri="{FF2B5EF4-FFF2-40B4-BE49-F238E27FC236}">
              <a16:creationId xmlns:a16="http://schemas.microsoft.com/office/drawing/2014/main" id="{B3750B76-9C89-4956-B433-00AE3A4DEB96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90" name="PORDB6">
          <a:extLst>
            <a:ext uri="{FF2B5EF4-FFF2-40B4-BE49-F238E27FC236}">
              <a16:creationId xmlns:a16="http://schemas.microsoft.com/office/drawing/2014/main" id="{C60400A1-7DE9-4C5E-8F03-8627B163F2B3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91" name="PORDB6">
          <a:extLst>
            <a:ext uri="{FF2B5EF4-FFF2-40B4-BE49-F238E27FC236}">
              <a16:creationId xmlns:a16="http://schemas.microsoft.com/office/drawing/2014/main" id="{00C974FB-EB83-4CCA-908E-F76D919480E2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92" name="PORDB6">
          <a:extLst>
            <a:ext uri="{FF2B5EF4-FFF2-40B4-BE49-F238E27FC236}">
              <a16:creationId xmlns:a16="http://schemas.microsoft.com/office/drawing/2014/main" id="{24970802-2BAA-4180-8BA6-1E6C8D49EAB9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93" name="PORDB6">
          <a:extLst>
            <a:ext uri="{FF2B5EF4-FFF2-40B4-BE49-F238E27FC236}">
              <a16:creationId xmlns:a16="http://schemas.microsoft.com/office/drawing/2014/main" id="{5987C610-FA32-4F74-B5D4-8DEF5BE1827B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94" name="PORDB6">
          <a:extLst>
            <a:ext uri="{FF2B5EF4-FFF2-40B4-BE49-F238E27FC236}">
              <a16:creationId xmlns:a16="http://schemas.microsoft.com/office/drawing/2014/main" id="{8E425B4F-3900-4A31-910D-2330FD2A116C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95" name="PORDB6">
          <a:extLst>
            <a:ext uri="{FF2B5EF4-FFF2-40B4-BE49-F238E27FC236}">
              <a16:creationId xmlns:a16="http://schemas.microsoft.com/office/drawing/2014/main" id="{1D0559B9-3FAB-4175-A1E6-FF3F55F909CB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96" name="PORDB6">
          <a:extLst>
            <a:ext uri="{FF2B5EF4-FFF2-40B4-BE49-F238E27FC236}">
              <a16:creationId xmlns:a16="http://schemas.microsoft.com/office/drawing/2014/main" id="{029609E0-2FBC-427F-89C1-3498211BB0B0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97" name="PORDB6">
          <a:extLst>
            <a:ext uri="{FF2B5EF4-FFF2-40B4-BE49-F238E27FC236}">
              <a16:creationId xmlns:a16="http://schemas.microsoft.com/office/drawing/2014/main" id="{260D64E6-DE05-46D5-AB31-BAE1F21D73AE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98" name="PORDB6">
          <a:extLst>
            <a:ext uri="{FF2B5EF4-FFF2-40B4-BE49-F238E27FC236}">
              <a16:creationId xmlns:a16="http://schemas.microsoft.com/office/drawing/2014/main" id="{EB7B8ACD-971E-456B-83A2-12DF607AF624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799" name="PORDB6">
          <a:extLst>
            <a:ext uri="{FF2B5EF4-FFF2-40B4-BE49-F238E27FC236}">
              <a16:creationId xmlns:a16="http://schemas.microsoft.com/office/drawing/2014/main" id="{D6D226EE-526A-4E6B-AB80-F1BEB93E6743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00" name="PORDB6">
          <a:extLst>
            <a:ext uri="{FF2B5EF4-FFF2-40B4-BE49-F238E27FC236}">
              <a16:creationId xmlns:a16="http://schemas.microsoft.com/office/drawing/2014/main" id="{C944E620-F24D-4CC5-92D4-5441BB7730D4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01" name="PORDB6">
          <a:extLst>
            <a:ext uri="{FF2B5EF4-FFF2-40B4-BE49-F238E27FC236}">
              <a16:creationId xmlns:a16="http://schemas.microsoft.com/office/drawing/2014/main" id="{1A074813-28FE-4D84-95ED-E974A7380F3C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02" name="PORDB6">
          <a:extLst>
            <a:ext uri="{FF2B5EF4-FFF2-40B4-BE49-F238E27FC236}">
              <a16:creationId xmlns:a16="http://schemas.microsoft.com/office/drawing/2014/main" id="{3D331D38-1C52-4C64-B000-8EBB6827E263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03" name="PORDB6">
          <a:extLst>
            <a:ext uri="{FF2B5EF4-FFF2-40B4-BE49-F238E27FC236}">
              <a16:creationId xmlns:a16="http://schemas.microsoft.com/office/drawing/2014/main" id="{C7CEBC76-1761-4AAB-BDC5-FE17790E3932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04" name="PORDB6">
          <a:extLst>
            <a:ext uri="{FF2B5EF4-FFF2-40B4-BE49-F238E27FC236}">
              <a16:creationId xmlns:a16="http://schemas.microsoft.com/office/drawing/2014/main" id="{7EF0B145-0B36-45E5-BD33-AB4C237A2676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05" name="PORDB6">
          <a:extLst>
            <a:ext uri="{FF2B5EF4-FFF2-40B4-BE49-F238E27FC236}">
              <a16:creationId xmlns:a16="http://schemas.microsoft.com/office/drawing/2014/main" id="{33FFAAA7-924F-4B3F-9B5D-160418D33C0A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06" name="PORDB6">
          <a:extLst>
            <a:ext uri="{FF2B5EF4-FFF2-40B4-BE49-F238E27FC236}">
              <a16:creationId xmlns:a16="http://schemas.microsoft.com/office/drawing/2014/main" id="{4F7C36CB-1BB4-490C-9A5F-6350322105A6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07" name="PORDB6">
          <a:extLst>
            <a:ext uri="{FF2B5EF4-FFF2-40B4-BE49-F238E27FC236}">
              <a16:creationId xmlns:a16="http://schemas.microsoft.com/office/drawing/2014/main" id="{9CB5DA53-C29E-4D37-BB1D-B163E1F0C211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08" name="PORDB6">
          <a:extLst>
            <a:ext uri="{FF2B5EF4-FFF2-40B4-BE49-F238E27FC236}">
              <a16:creationId xmlns:a16="http://schemas.microsoft.com/office/drawing/2014/main" id="{3A0B55FB-7C75-4E32-A173-16D475E25951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09" name="PORDB6">
          <a:extLst>
            <a:ext uri="{FF2B5EF4-FFF2-40B4-BE49-F238E27FC236}">
              <a16:creationId xmlns:a16="http://schemas.microsoft.com/office/drawing/2014/main" id="{6F1850C0-9BCD-4CEA-BCFD-980D233F13EA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10" name="PORDB6">
          <a:extLst>
            <a:ext uri="{FF2B5EF4-FFF2-40B4-BE49-F238E27FC236}">
              <a16:creationId xmlns:a16="http://schemas.microsoft.com/office/drawing/2014/main" id="{0C1787CE-5971-4267-8219-4CE4897CA384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11" name="PORDB6">
          <a:extLst>
            <a:ext uri="{FF2B5EF4-FFF2-40B4-BE49-F238E27FC236}">
              <a16:creationId xmlns:a16="http://schemas.microsoft.com/office/drawing/2014/main" id="{F7577427-695C-48A6-B1D7-1E9A217F8155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12" name="PORDB6">
          <a:extLst>
            <a:ext uri="{FF2B5EF4-FFF2-40B4-BE49-F238E27FC236}">
              <a16:creationId xmlns:a16="http://schemas.microsoft.com/office/drawing/2014/main" id="{238A1AD0-01D3-4323-985A-0A186FDAF63D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13" name="PORDB6">
          <a:extLst>
            <a:ext uri="{FF2B5EF4-FFF2-40B4-BE49-F238E27FC236}">
              <a16:creationId xmlns:a16="http://schemas.microsoft.com/office/drawing/2014/main" id="{768C1059-6775-4BD0-ACD0-D458C88AE931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14" name="PORDB6">
          <a:extLst>
            <a:ext uri="{FF2B5EF4-FFF2-40B4-BE49-F238E27FC236}">
              <a16:creationId xmlns:a16="http://schemas.microsoft.com/office/drawing/2014/main" id="{B27F7342-C5CA-45B6-8D3B-D48834B07B15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15" name="PORDB6">
          <a:extLst>
            <a:ext uri="{FF2B5EF4-FFF2-40B4-BE49-F238E27FC236}">
              <a16:creationId xmlns:a16="http://schemas.microsoft.com/office/drawing/2014/main" id="{53A32036-DAFC-42FA-AB68-C85D497DF9C2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16" name="PORDB6">
          <a:extLst>
            <a:ext uri="{FF2B5EF4-FFF2-40B4-BE49-F238E27FC236}">
              <a16:creationId xmlns:a16="http://schemas.microsoft.com/office/drawing/2014/main" id="{37021E43-20A7-414C-8EAA-8ED8197379A7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17" name="PORDB6">
          <a:extLst>
            <a:ext uri="{FF2B5EF4-FFF2-40B4-BE49-F238E27FC236}">
              <a16:creationId xmlns:a16="http://schemas.microsoft.com/office/drawing/2014/main" id="{C458E77C-1764-4DD3-ADCF-E24E18692FAA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18" name="PORDB6">
          <a:extLst>
            <a:ext uri="{FF2B5EF4-FFF2-40B4-BE49-F238E27FC236}">
              <a16:creationId xmlns:a16="http://schemas.microsoft.com/office/drawing/2014/main" id="{5CAF0FA5-0EBC-4C70-BEB2-DD8D5D32BCA2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19" name="PORDB6">
          <a:extLst>
            <a:ext uri="{FF2B5EF4-FFF2-40B4-BE49-F238E27FC236}">
              <a16:creationId xmlns:a16="http://schemas.microsoft.com/office/drawing/2014/main" id="{F46EFDB5-85AF-48E2-B95E-C12C31B6F6C5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20" name="PORDB6">
          <a:extLst>
            <a:ext uri="{FF2B5EF4-FFF2-40B4-BE49-F238E27FC236}">
              <a16:creationId xmlns:a16="http://schemas.microsoft.com/office/drawing/2014/main" id="{3BF911D2-D4A5-4241-8756-C14C7C4BD030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21" name="PORDB6">
          <a:extLst>
            <a:ext uri="{FF2B5EF4-FFF2-40B4-BE49-F238E27FC236}">
              <a16:creationId xmlns:a16="http://schemas.microsoft.com/office/drawing/2014/main" id="{BA7A08B0-7493-4C4B-993D-E8A3CFDB9261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22" name="PORDB6">
          <a:extLst>
            <a:ext uri="{FF2B5EF4-FFF2-40B4-BE49-F238E27FC236}">
              <a16:creationId xmlns:a16="http://schemas.microsoft.com/office/drawing/2014/main" id="{E49A3E34-2C7D-4FD5-A45A-B47F62D76A27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23" name="PORDB6">
          <a:extLst>
            <a:ext uri="{FF2B5EF4-FFF2-40B4-BE49-F238E27FC236}">
              <a16:creationId xmlns:a16="http://schemas.microsoft.com/office/drawing/2014/main" id="{3DA7CACA-0539-47C5-86FC-E0D7343F1D31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24" name="PORDB6">
          <a:extLst>
            <a:ext uri="{FF2B5EF4-FFF2-40B4-BE49-F238E27FC236}">
              <a16:creationId xmlns:a16="http://schemas.microsoft.com/office/drawing/2014/main" id="{8AEA5E93-E6E9-4FAA-9BD1-6DA3F01761F8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25" name="PORDB6">
          <a:extLst>
            <a:ext uri="{FF2B5EF4-FFF2-40B4-BE49-F238E27FC236}">
              <a16:creationId xmlns:a16="http://schemas.microsoft.com/office/drawing/2014/main" id="{1ECC7826-12D7-4108-AE14-FDF7B67BD80F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26" name="PORDB6">
          <a:extLst>
            <a:ext uri="{FF2B5EF4-FFF2-40B4-BE49-F238E27FC236}">
              <a16:creationId xmlns:a16="http://schemas.microsoft.com/office/drawing/2014/main" id="{2643D5BC-5D62-4F86-B41C-CA6947EBD81C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27" name="PORDB6">
          <a:extLst>
            <a:ext uri="{FF2B5EF4-FFF2-40B4-BE49-F238E27FC236}">
              <a16:creationId xmlns:a16="http://schemas.microsoft.com/office/drawing/2014/main" id="{E40AFEBC-4200-4C3C-BAD7-05A2AD514A85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28" name="PORDB6">
          <a:extLst>
            <a:ext uri="{FF2B5EF4-FFF2-40B4-BE49-F238E27FC236}">
              <a16:creationId xmlns:a16="http://schemas.microsoft.com/office/drawing/2014/main" id="{D32FA8F7-E4A8-492B-B507-17CF5277C17D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29" name="PORDB6">
          <a:extLst>
            <a:ext uri="{FF2B5EF4-FFF2-40B4-BE49-F238E27FC236}">
              <a16:creationId xmlns:a16="http://schemas.microsoft.com/office/drawing/2014/main" id="{B3B15222-EAD6-487B-89EF-95BF51861116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30" name="PORDB6">
          <a:extLst>
            <a:ext uri="{FF2B5EF4-FFF2-40B4-BE49-F238E27FC236}">
              <a16:creationId xmlns:a16="http://schemas.microsoft.com/office/drawing/2014/main" id="{6097BA1D-2F1B-4DC4-9820-311A24B34022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31" name="PORDB6">
          <a:extLst>
            <a:ext uri="{FF2B5EF4-FFF2-40B4-BE49-F238E27FC236}">
              <a16:creationId xmlns:a16="http://schemas.microsoft.com/office/drawing/2014/main" id="{92080DC3-666E-4C25-8FA3-C1F6B49526C6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32" name="PORDB6">
          <a:extLst>
            <a:ext uri="{FF2B5EF4-FFF2-40B4-BE49-F238E27FC236}">
              <a16:creationId xmlns:a16="http://schemas.microsoft.com/office/drawing/2014/main" id="{62289DE5-84D7-4390-BDF8-A4D6F9CB571E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33" name="PORDB6">
          <a:extLst>
            <a:ext uri="{FF2B5EF4-FFF2-40B4-BE49-F238E27FC236}">
              <a16:creationId xmlns:a16="http://schemas.microsoft.com/office/drawing/2014/main" id="{7854AD4D-E8EB-4C54-A4BE-ECF2E414E265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34" name="PORDB6">
          <a:extLst>
            <a:ext uri="{FF2B5EF4-FFF2-40B4-BE49-F238E27FC236}">
              <a16:creationId xmlns:a16="http://schemas.microsoft.com/office/drawing/2014/main" id="{77BA8957-6F5D-4CEC-8D02-8F7D5FBE15C1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35" name="PORDB6">
          <a:extLst>
            <a:ext uri="{FF2B5EF4-FFF2-40B4-BE49-F238E27FC236}">
              <a16:creationId xmlns:a16="http://schemas.microsoft.com/office/drawing/2014/main" id="{ABAE127C-AD4F-44C1-B504-5D864F2EEBA4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36" name="PORDB6">
          <a:extLst>
            <a:ext uri="{FF2B5EF4-FFF2-40B4-BE49-F238E27FC236}">
              <a16:creationId xmlns:a16="http://schemas.microsoft.com/office/drawing/2014/main" id="{7F90A330-36E2-4EEB-99D2-E13E41A5D8A1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37" name="PORDB6">
          <a:extLst>
            <a:ext uri="{FF2B5EF4-FFF2-40B4-BE49-F238E27FC236}">
              <a16:creationId xmlns:a16="http://schemas.microsoft.com/office/drawing/2014/main" id="{E8845FD5-69A3-44B0-B7E6-74D715686474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38" name="PORDB6">
          <a:extLst>
            <a:ext uri="{FF2B5EF4-FFF2-40B4-BE49-F238E27FC236}">
              <a16:creationId xmlns:a16="http://schemas.microsoft.com/office/drawing/2014/main" id="{3C864F43-680E-408E-8FFC-20BF12348EE2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39" name="PORDB6">
          <a:extLst>
            <a:ext uri="{FF2B5EF4-FFF2-40B4-BE49-F238E27FC236}">
              <a16:creationId xmlns:a16="http://schemas.microsoft.com/office/drawing/2014/main" id="{0B4A580B-EC34-4245-AD3A-2E45FB5022A6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40" name="PORDB6">
          <a:extLst>
            <a:ext uri="{FF2B5EF4-FFF2-40B4-BE49-F238E27FC236}">
              <a16:creationId xmlns:a16="http://schemas.microsoft.com/office/drawing/2014/main" id="{B90F36E5-1432-4728-9C0F-BDE365455084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41" name="PORDB6">
          <a:extLst>
            <a:ext uri="{FF2B5EF4-FFF2-40B4-BE49-F238E27FC236}">
              <a16:creationId xmlns:a16="http://schemas.microsoft.com/office/drawing/2014/main" id="{E1B938CF-0AEE-4513-B7A0-3DD04493F9E0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42" name="PORDB6">
          <a:extLst>
            <a:ext uri="{FF2B5EF4-FFF2-40B4-BE49-F238E27FC236}">
              <a16:creationId xmlns:a16="http://schemas.microsoft.com/office/drawing/2014/main" id="{350EE297-4B9F-4AAC-A218-43742061F62A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43" name="PORDB6">
          <a:extLst>
            <a:ext uri="{FF2B5EF4-FFF2-40B4-BE49-F238E27FC236}">
              <a16:creationId xmlns:a16="http://schemas.microsoft.com/office/drawing/2014/main" id="{3E30EBE4-0DC1-46C6-8B63-0E60BF0B1B14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44" name="PORDB6">
          <a:extLst>
            <a:ext uri="{FF2B5EF4-FFF2-40B4-BE49-F238E27FC236}">
              <a16:creationId xmlns:a16="http://schemas.microsoft.com/office/drawing/2014/main" id="{B8CD6959-7E98-4615-BCE7-306C679125D4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45" name="PORDB6">
          <a:extLst>
            <a:ext uri="{FF2B5EF4-FFF2-40B4-BE49-F238E27FC236}">
              <a16:creationId xmlns:a16="http://schemas.microsoft.com/office/drawing/2014/main" id="{758BEA07-68B1-4D64-B9A1-87BBEA96406C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46" name="PORDB6">
          <a:extLst>
            <a:ext uri="{FF2B5EF4-FFF2-40B4-BE49-F238E27FC236}">
              <a16:creationId xmlns:a16="http://schemas.microsoft.com/office/drawing/2014/main" id="{027C5692-B2B2-4EA8-8B84-1F24B3D9BF7A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47" name="PORDB6">
          <a:extLst>
            <a:ext uri="{FF2B5EF4-FFF2-40B4-BE49-F238E27FC236}">
              <a16:creationId xmlns:a16="http://schemas.microsoft.com/office/drawing/2014/main" id="{2DF52903-6AD7-4401-8539-84E11938833A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48" name="PORDB6">
          <a:extLst>
            <a:ext uri="{FF2B5EF4-FFF2-40B4-BE49-F238E27FC236}">
              <a16:creationId xmlns:a16="http://schemas.microsoft.com/office/drawing/2014/main" id="{6364F105-83AD-4C4C-B6E5-4C19F227FD31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49" name="PORDB6">
          <a:extLst>
            <a:ext uri="{FF2B5EF4-FFF2-40B4-BE49-F238E27FC236}">
              <a16:creationId xmlns:a16="http://schemas.microsoft.com/office/drawing/2014/main" id="{253A411A-E301-4C98-857B-54FC3036E4CF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50" name="PORDB6">
          <a:extLst>
            <a:ext uri="{FF2B5EF4-FFF2-40B4-BE49-F238E27FC236}">
              <a16:creationId xmlns:a16="http://schemas.microsoft.com/office/drawing/2014/main" id="{6B998A4E-31E7-4FAB-B7A1-4D14F9B65888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51" name="PORDB6">
          <a:extLst>
            <a:ext uri="{FF2B5EF4-FFF2-40B4-BE49-F238E27FC236}">
              <a16:creationId xmlns:a16="http://schemas.microsoft.com/office/drawing/2014/main" id="{CAA07395-6923-4A82-A871-547D1EF9DBA4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52" name="PORDB6">
          <a:extLst>
            <a:ext uri="{FF2B5EF4-FFF2-40B4-BE49-F238E27FC236}">
              <a16:creationId xmlns:a16="http://schemas.microsoft.com/office/drawing/2014/main" id="{7BCE12E3-4F6B-45AB-84D9-6E3B5B8178A7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53" name="PORDB6">
          <a:extLst>
            <a:ext uri="{FF2B5EF4-FFF2-40B4-BE49-F238E27FC236}">
              <a16:creationId xmlns:a16="http://schemas.microsoft.com/office/drawing/2014/main" id="{C8FB895C-DC6F-4BAA-B0D8-88612C0D0178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54" name="PORDB6">
          <a:extLst>
            <a:ext uri="{FF2B5EF4-FFF2-40B4-BE49-F238E27FC236}">
              <a16:creationId xmlns:a16="http://schemas.microsoft.com/office/drawing/2014/main" id="{FD8EB6A9-B90F-4CEE-BDE6-3D6F526CA5FB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55" name="PORDB6">
          <a:extLst>
            <a:ext uri="{FF2B5EF4-FFF2-40B4-BE49-F238E27FC236}">
              <a16:creationId xmlns:a16="http://schemas.microsoft.com/office/drawing/2014/main" id="{708DD4A9-BB22-42B3-842F-CD64C17E4AB0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56" name="PORDB6">
          <a:extLst>
            <a:ext uri="{FF2B5EF4-FFF2-40B4-BE49-F238E27FC236}">
              <a16:creationId xmlns:a16="http://schemas.microsoft.com/office/drawing/2014/main" id="{DA254D5D-846B-42C1-9C97-69D7C52B0104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57" name="PORDB6">
          <a:extLst>
            <a:ext uri="{FF2B5EF4-FFF2-40B4-BE49-F238E27FC236}">
              <a16:creationId xmlns:a16="http://schemas.microsoft.com/office/drawing/2014/main" id="{225FDDDF-2062-40E8-AC41-1D9704A06EB3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58" name="PORDB6">
          <a:extLst>
            <a:ext uri="{FF2B5EF4-FFF2-40B4-BE49-F238E27FC236}">
              <a16:creationId xmlns:a16="http://schemas.microsoft.com/office/drawing/2014/main" id="{ADE48345-94A6-4558-92D4-B0DB1305ECEE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59" name="PORDB6">
          <a:extLst>
            <a:ext uri="{FF2B5EF4-FFF2-40B4-BE49-F238E27FC236}">
              <a16:creationId xmlns:a16="http://schemas.microsoft.com/office/drawing/2014/main" id="{4042C6A7-ACCF-4D22-8462-A3A3826BA2FA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60" name="PORDB6">
          <a:extLst>
            <a:ext uri="{FF2B5EF4-FFF2-40B4-BE49-F238E27FC236}">
              <a16:creationId xmlns:a16="http://schemas.microsoft.com/office/drawing/2014/main" id="{DB804E0C-DB89-4460-B9E6-4425867DFC1A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61" name="PORDB6">
          <a:extLst>
            <a:ext uri="{FF2B5EF4-FFF2-40B4-BE49-F238E27FC236}">
              <a16:creationId xmlns:a16="http://schemas.microsoft.com/office/drawing/2014/main" id="{16FF63B9-B185-4CC1-84C3-478899CE162A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62" name="PORDB6">
          <a:extLst>
            <a:ext uri="{FF2B5EF4-FFF2-40B4-BE49-F238E27FC236}">
              <a16:creationId xmlns:a16="http://schemas.microsoft.com/office/drawing/2014/main" id="{36BE74F7-72AF-4E0D-A56A-25C81AC38FEC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63" name="PORDB6">
          <a:extLst>
            <a:ext uri="{FF2B5EF4-FFF2-40B4-BE49-F238E27FC236}">
              <a16:creationId xmlns:a16="http://schemas.microsoft.com/office/drawing/2014/main" id="{EC7ED3F2-8C17-4921-8FAD-0A5046A3EDDD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64" name="PORDB6">
          <a:extLst>
            <a:ext uri="{FF2B5EF4-FFF2-40B4-BE49-F238E27FC236}">
              <a16:creationId xmlns:a16="http://schemas.microsoft.com/office/drawing/2014/main" id="{15617438-6161-4E1A-920E-4ACF3362C5B5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65" name="PORDB6">
          <a:extLst>
            <a:ext uri="{FF2B5EF4-FFF2-40B4-BE49-F238E27FC236}">
              <a16:creationId xmlns:a16="http://schemas.microsoft.com/office/drawing/2014/main" id="{B0048ABA-1A54-406B-9F0D-A4D3A1099073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66" name="PORDB6">
          <a:extLst>
            <a:ext uri="{FF2B5EF4-FFF2-40B4-BE49-F238E27FC236}">
              <a16:creationId xmlns:a16="http://schemas.microsoft.com/office/drawing/2014/main" id="{89C87D8F-9D9F-49F5-BD77-A4F4565CC4E3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67" name="PORDB6">
          <a:extLst>
            <a:ext uri="{FF2B5EF4-FFF2-40B4-BE49-F238E27FC236}">
              <a16:creationId xmlns:a16="http://schemas.microsoft.com/office/drawing/2014/main" id="{B8A446B0-C091-49AF-96CB-A858D6E93374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68" name="PORDB6">
          <a:extLst>
            <a:ext uri="{FF2B5EF4-FFF2-40B4-BE49-F238E27FC236}">
              <a16:creationId xmlns:a16="http://schemas.microsoft.com/office/drawing/2014/main" id="{D0514EB6-D873-452A-B0C1-67575085EB81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69" name="PORDB6">
          <a:extLst>
            <a:ext uri="{FF2B5EF4-FFF2-40B4-BE49-F238E27FC236}">
              <a16:creationId xmlns:a16="http://schemas.microsoft.com/office/drawing/2014/main" id="{D6389DAD-3AF5-4CFE-AAF0-F485A8C886F5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70" name="PORDB6">
          <a:extLst>
            <a:ext uri="{FF2B5EF4-FFF2-40B4-BE49-F238E27FC236}">
              <a16:creationId xmlns:a16="http://schemas.microsoft.com/office/drawing/2014/main" id="{6FF75398-6583-4A25-8AC0-AA7C4AF1227B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71" name="PORDB6">
          <a:extLst>
            <a:ext uri="{FF2B5EF4-FFF2-40B4-BE49-F238E27FC236}">
              <a16:creationId xmlns:a16="http://schemas.microsoft.com/office/drawing/2014/main" id="{FFDEB1AC-B9C8-4B2A-B474-E7D363CCB17E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72" name="PORDB6">
          <a:extLst>
            <a:ext uri="{FF2B5EF4-FFF2-40B4-BE49-F238E27FC236}">
              <a16:creationId xmlns:a16="http://schemas.microsoft.com/office/drawing/2014/main" id="{D6142F47-D794-483E-A5F6-E57F21D35049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73" name="PORDB6">
          <a:extLst>
            <a:ext uri="{FF2B5EF4-FFF2-40B4-BE49-F238E27FC236}">
              <a16:creationId xmlns:a16="http://schemas.microsoft.com/office/drawing/2014/main" id="{91369A10-0002-4242-80CB-344B70EF1343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74" name="PORDB6">
          <a:extLst>
            <a:ext uri="{FF2B5EF4-FFF2-40B4-BE49-F238E27FC236}">
              <a16:creationId xmlns:a16="http://schemas.microsoft.com/office/drawing/2014/main" id="{194594DD-2EB9-4CD4-8D77-B6B84060DDEC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75" name="PORDB6">
          <a:extLst>
            <a:ext uri="{FF2B5EF4-FFF2-40B4-BE49-F238E27FC236}">
              <a16:creationId xmlns:a16="http://schemas.microsoft.com/office/drawing/2014/main" id="{881F5273-D1BC-4808-9B16-D03B96ECBCE4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76" name="PORDB6">
          <a:extLst>
            <a:ext uri="{FF2B5EF4-FFF2-40B4-BE49-F238E27FC236}">
              <a16:creationId xmlns:a16="http://schemas.microsoft.com/office/drawing/2014/main" id="{1776731C-233F-4559-BF7E-EC687D52EC46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77" name="PORDB6">
          <a:extLst>
            <a:ext uri="{FF2B5EF4-FFF2-40B4-BE49-F238E27FC236}">
              <a16:creationId xmlns:a16="http://schemas.microsoft.com/office/drawing/2014/main" id="{7506C39B-1019-4302-9647-C20C6F7336B1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78" name="PORDB6">
          <a:extLst>
            <a:ext uri="{FF2B5EF4-FFF2-40B4-BE49-F238E27FC236}">
              <a16:creationId xmlns:a16="http://schemas.microsoft.com/office/drawing/2014/main" id="{B20387DF-E151-4386-8376-2B0CFEB0741A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79" name="PORDB6">
          <a:extLst>
            <a:ext uri="{FF2B5EF4-FFF2-40B4-BE49-F238E27FC236}">
              <a16:creationId xmlns:a16="http://schemas.microsoft.com/office/drawing/2014/main" id="{446786F4-A3B6-408A-BA84-CFAE90A6D717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80" name="PORDB6">
          <a:extLst>
            <a:ext uri="{FF2B5EF4-FFF2-40B4-BE49-F238E27FC236}">
              <a16:creationId xmlns:a16="http://schemas.microsoft.com/office/drawing/2014/main" id="{DECD2865-B375-4F09-B23F-5A263436331B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81" name="PORDB6">
          <a:extLst>
            <a:ext uri="{FF2B5EF4-FFF2-40B4-BE49-F238E27FC236}">
              <a16:creationId xmlns:a16="http://schemas.microsoft.com/office/drawing/2014/main" id="{47B11C05-8AED-4A04-887B-5CF7DDB601CC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82" name="PORDB6">
          <a:extLst>
            <a:ext uri="{FF2B5EF4-FFF2-40B4-BE49-F238E27FC236}">
              <a16:creationId xmlns:a16="http://schemas.microsoft.com/office/drawing/2014/main" id="{6F374446-C6B6-425D-BB68-F671E1C8121F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83" name="PORDB6">
          <a:extLst>
            <a:ext uri="{FF2B5EF4-FFF2-40B4-BE49-F238E27FC236}">
              <a16:creationId xmlns:a16="http://schemas.microsoft.com/office/drawing/2014/main" id="{F594FE02-A313-4EC3-91A1-1B751824750F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84" name="PORDB6">
          <a:extLst>
            <a:ext uri="{FF2B5EF4-FFF2-40B4-BE49-F238E27FC236}">
              <a16:creationId xmlns:a16="http://schemas.microsoft.com/office/drawing/2014/main" id="{045B16B1-0201-4104-A8E2-44DE70B4241F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85" name="PORDB6">
          <a:extLst>
            <a:ext uri="{FF2B5EF4-FFF2-40B4-BE49-F238E27FC236}">
              <a16:creationId xmlns:a16="http://schemas.microsoft.com/office/drawing/2014/main" id="{03780B05-443F-4252-8A66-F38F7656FED1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86" name="PORDB6">
          <a:extLst>
            <a:ext uri="{FF2B5EF4-FFF2-40B4-BE49-F238E27FC236}">
              <a16:creationId xmlns:a16="http://schemas.microsoft.com/office/drawing/2014/main" id="{5F14ABBA-B60D-4229-ABD4-68F4233A5595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87" name="PORDB6">
          <a:extLst>
            <a:ext uri="{FF2B5EF4-FFF2-40B4-BE49-F238E27FC236}">
              <a16:creationId xmlns:a16="http://schemas.microsoft.com/office/drawing/2014/main" id="{151E70F3-0C89-40A7-8BE2-34FD9F8F5C04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88" name="PORDB6">
          <a:extLst>
            <a:ext uri="{FF2B5EF4-FFF2-40B4-BE49-F238E27FC236}">
              <a16:creationId xmlns:a16="http://schemas.microsoft.com/office/drawing/2014/main" id="{AF353BCA-A94F-46DB-9491-9CF198D5C3AB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89" name="PORDB6">
          <a:extLst>
            <a:ext uri="{FF2B5EF4-FFF2-40B4-BE49-F238E27FC236}">
              <a16:creationId xmlns:a16="http://schemas.microsoft.com/office/drawing/2014/main" id="{FC699659-0952-4629-B298-155D37903414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90" name="PORDB6">
          <a:extLst>
            <a:ext uri="{FF2B5EF4-FFF2-40B4-BE49-F238E27FC236}">
              <a16:creationId xmlns:a16="http://schemas.microsoft.com/office/drawing/2014/main" id="{DEF2DE99-F239-4CD3-955F-7AEB1FEC6643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91" name="PORDB6">
          <a:extLst>
            <a:ext uri="{FF2B5EF4-FFF2-40B4-BE49-F238E27FC236}">
              <a16:creationId xmlns:a16="http://schemas.microsoft.com/office/drawing/2014/main" id="{C1F5608D-47BD-4BCE-A46A-10AAF4EDFACA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92" name="PORDB6">
          <a:extLst>
            <a:ext uri="{FF2B5EF4-FFF2-40B4-BE49-F238E27FC236}">
              <a16:creationId xmlns:a16="http://schemas.microsoft.com/office/drawing/2014/main" id="{05642F5B-882D-474F-AE6D-165070132F2C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93" name="PORDB6">
          <a:extLst>
            <a:ext uri="{FF2B5EF4-FFF2-40B4-BE49-F238E27FC236}">
              <a16:creationId xmlns:a16="http://schemas.microsoft.com/office/drawing/2014/main" id="{DF640EE6-915B-43A5-BB05-91ABE0FBD9AB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94" name="PORDB6">
          <a:extLst>
            <a:ext uri="{FF2B5EF4-FFF2-40B4-BE49-F238E27FC236}">
              <a16:creationId xmlns:a16="http://schemas.microsoft.com/office/drawing/2014/main" id="{B4726035-5D23-4DA3-9E6D-E4C0DCCCBFA5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95" name="PORDB6">
          <a:extLst>
            <a:ext uri="{FF2B5EF4-FFF2-40B4-BE49-F238E27FC236}">
              <a16:creationId xmlns:a16="http://schemas.microsoft.com/office/drawing/2014/main" id="{826011E6-239B-4E67-89C9-F3BA1D0E4D3B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96" name="PORDB6">
          <a:extLst>
            <a:ext uri="{FF2B5EF4-FFF2-40B4-BE49-F238E27FC236}">
              <a16:creationId xmlns:a16="http://schemas.microsoft.com/office/drawing/2014/main" id="{F84A5535-C971-494C-AF6D-1E720308ADFF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97" name="PORDB6">
          <a:extLst>
            <a:ext uri="{FF2B5EF4-FFF2-40B4-BE49-F238E27FC236}">
              <a16:creationId xmlns:a16="http://schemas.microsoft.com/office/drawing/2014/main" id="{82267301-F022-40B1-8796-67E7AA7A4DF9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98" name="PORDB6">
          <a:extLst>
            <a:ext uri="{FF2B5EF4-FFF2-40B4-BE49-F238E27FC236}">
              <a16:creationId xmlns:a16="http://schemas.microsoft.com/office/drawing/2014/main" id="{E4DF7700-09E5-47A4-8436-985851003815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899" name="PORDB6">
          <a:extLst>
            <a:ext uri="{FF2B5EF4-FFF2-40B4-BE49-F238E27FC236}">
              <a16:creationId xmlns:a16="http://schemas.microsoft.com/office/drawing/2014/main" id="{02EE71AF-56C8-4D73-B69B-1E8975FE0652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900" name="PORDB6">
          <a:extLst>
            <a:ext uri="{FF2B5EF4-FFF2-40B4-BE49-F238E27FC236}">
              <a16:creationId xmlns:a16="http://schemas.microsoft.com/office/drawing/2014/main" id="{BCDD0D41-A919-434C-8174-5EFABAE117B7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901" name="PORDB6">
          <a:extLst>
            <a:ext uri="{FF2B5EF4-FFF2-40B4-BE49-F238E27FC236}">
              <a16:creationId xmlns:a16="http://schemas.microsoft.com/office/drawing/2014/main" id="{6E669DCE-C240-4A7A-948F-260EAF9602C7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902" name="PORDB6">
          <a:extLst>
            <a:ext uri="{FF2B5EF4-FFF2-40B4-BE49-F238E27FC236}">
              <a16:creationId xmlns:a16="http://schemas.microsoft.com/office/drawing/2014/main" id="{4C1F5648-CFFA-44C6-A0CC-C1F5B3F947C7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903" name="PORDB6">
          <a:extLst>
            <a:ext uri="{FF2B5EF4-FFF2-40B4-BE49-F238E27FC236}">
              <a16:creationId xmlns:a16="http://schemas.microsoft.com/office/drawing/2014/main" id="{685E451C-A053-436D-BF79-6431A3392197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904" name="PORDB6">
          <a:extLst>
            <a:ext uri="{FF2B5EF4-FFF2-40B4-BE49-F238E27FC236}">
              <a16:creationId xmlns:a16="http://schemas.microsoft.com/office/drawing/2014/main" id="{EFE1272E-917E-456B-BFA5-87C93FFB0354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905" name="PORDB6">
          <a:extLst>
            <a:ext uri="{FF2B5EF4-FFF2-40B4-BE49-F238E27FC236}">
              <a16:creationId xmlns:a16="http://schemas.microsoft.com/office/drawing/2014/main" id="{E6DD9586-E0EF-4195-8EDE-DA2B17418AF4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906" name="PORDB6">
          <a:extLst>
            <a:ext uri="{FF2B5EF4-FFF2-40B4-BE49-F238E27FC236}">
              <a16:creationId xmlns:a16="http://schemas.microsoft.com/office/drawing/2014/main" id="{BE0C7C23-9DE3-4B8A-9626-D1D764D516E2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907" name="PORDB6">
          <a:extLst>
            <a:ext uri="{FF2B5EF4-FFF2-40B4-BE49-F238E27FC236}">
              <a16:creationId xmlns:a16="http://schemas.microsoft.com/office/drawing/2014/main" id="{3260BD82-922E-4A30-B30D-1D8A91A1072F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908" name="PORDB6">
          <a:extLst>
            <a:ext uri="{FF2B5EF4-FFF2-40B4-BE49-F238E27FC236}">
              <a16:creationId xmlns:a16="http://schemas.microsoft.com/office/drawing/2014/main" id="{8A893F97-DF93-4C9E-8A5A-6C28F50849B0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909" name="PORDB6">
          <a:extLst>
            <a:ext uri="{FF2B5EF4-FFF2-40B4-BE49-F238E27FC236}">
              <a16:creationId xmlns:a16="http://schemas.microsoft.com/office/drawing/2014/main" id="{B18A12F6-9031-4F57-B3ED-66B03EA40185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910" name="PORDB6">
          <a:extLst>
            <a:ext uri="{FF2B5EF4-FFF2-40B4-BE49-F238E27FC236}">
              <a16:creationId xmlns:a16="http://schemas.microsoft.com/office/drawing/2014/main" id="{A36AC9EB-9857-4970-BBBA-606D40799B0E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911" name="PORDB6">
          <a:extLst>
            <a:ext uri="{FF2B5EF4-FFF2-40B4-BE49-F238E27FC236}">
              <a16:creationId xmlns:a16="http://schemas.microsoft.com/office/drawing/2014/main" id="{F1D7F48A-ACA4-4966-AE9E-393842781805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912" name="PORDB6">
          <a:extLst>
            <a:ext uri="{FF2B5EF4-FFF2-40B4-BE49-F238E27FC236}">
              <a16:creationId xmlns:a16="http://schemas.microsoft.com/office/drawing/2014/main" id="{76C06679-D293-4C48-BC10-EFB94C265E3F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913" name="PORDB6">
          <a:extLst>
            <a:ext uri="{FF2B5EF4-FFF2-40B4-BE49-F238E27FC236}">
              <a16:creationId xmlns:a16="http://schemas.microsoft.com/office/drawing/2014/main" id="{D6751723-D6F0-4226-B922-E1B23D774DB4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914" name="PORDB6">
          <a:extLst>
            <a:ext uri="{FF2B5EF4-FFF2-40B4-BE49-F238E27FC236}">
              <a16:creationId xmlns:a16="http://schemas.microsoft.com/office/drawing/2014/main" id="{E73F782B-DC1C-484E-AD5D-29CDB69074DC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915" name="PORDB6">
          <a:extLst>
            <a:ext uri="{FF2B5EF4-FFF2-40B4-BE49-F238E27FC236}">
              <a16:creationId xmlns:a16="http://schemas.microsoft.com/office/drawing/2014/main" id="{63661E68-8431-4207-B19F-EDB3E9C4BBA9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916" name="PORDB6">
          <a:extLst>
            <a:ext uri="{FF2B5EF4-FFF2-40B4-BE49-F238E27FC236}">
              <a16:creationId xmlns:a16="http://schemas.microsoft.com/office/drawing/2014/main" id="{AD70030C-6A2F-4E6C-A4A9-B4DEA1B824B3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917" name="PORDB6">
          <a:extLst>
            <a:ext uri="{FF2B5EF4-FFF2-40B4-BE49-F238E27FC236}">
              <a16:creationId xmlns:a16="http://schemas.microsoft.com/office/drawing/2014/main" id="{0AA7FF89-1B13-4FDF-944C-B01132ADC654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918" name="PORDB6">
          <a:extLst>
            <a:ext uri="{FF2B5EF4-FFF2-40B4-BE49-F238E27FC236}">
              <a16:creationId xmlns:a16="http://schemas.microsoft.com/office/drawing/2014/main" id="{EEE75C55-55A2-4AD9-BAC6-A3C00DDF09C6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919" name="PORDB6">
          <a:extLst>
            <a:ext uri="{FF2B5EF4-FFF2-40B4-BE49-F238E27FC236}">
              <a16:creationId xmlns:a16="http://schemas.microsoft.com/office/drawing/2014/main" id="{3A1D7BF8-5302-4254-8688-078F42665C3B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920" name="PORDB6">
          <a:extLst>
            <a:ext uri="{FF2B5EF4-FFF2-40B4-BE49-F238E27FC236}">
              <a16:creationId xmlns:a16="http://schemas.microsoft.com/office/drawing/2014/main" id="{F043E917-BC0F-4A9E-A02A-10B43FCFEA4E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921" name="PORDB6">
          <a:extLst>
            <a:ext uri="{FF2B5EF4-FFF2-40B4-BE49-F238E27FC236}">
              <a16:creationId xmlns:a16="http://schemas.microsoft.com/office/drawing/2014/main" id="{2D79718A-9E9E-4FE9-9FDC-20613EE513EC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922" name="PORDB6">
          <a:extLst>
            <a:ext uri="{FF2B5EF4-FFF2-40B4-BE49-F238E27FC236}">
              <a16:creationId xmlns:a16="http://schemas.microsoft.com/office/drawing/2014/main" id="{B7DBC5B0-182C-4145-B940-83F1E90F26FF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923" name="PORDB6">
          <a:extLst>
            <a:ext uri="{FF2B5EF4-FFF2-40B4-BE49-F238E27FC236}">
              <a16:creationId xmlns:a16="http://schemas.microsoft.com/office/drawing/2014/main" id="{34274A31-62E6-4DEC-944A-6184DA5ACD72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924" name="PORDB6">
          <a:extLst>
            <a:ext uri="{FF2B5EF4-FFF2-40B4-BE49-F238E27FC236}">
              <a16:creationId xmlns:a16="http://schemas.microsoft.com/office/drawing/2014/main" id="{58305ADB-5754-4ADD-BA6F-8071C2B255DF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925" name="PORDB6">
          <a:extLst>
            <a:ext uri="{FF2B5EF4-FFF2-40B4-BE49-F238E27FC236}">
              <a16:creationId xmlns:a16="http://schemas.microsoft.com/office/drawing/2014/main" id="{1CFBF53C-F540-47D8-8E92-56B1D2D11192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926" name="PORDB6">
          <a:extLst>
            <a:ext uri="{FF2B5EF4-FFF2-40B4-BE49-F238E27FC236}">
              <a16:creationId xmlns:a16="http://schemas.microsoft.com/office/drawing/2014/main" id="{F20030E1-B32C-482D-809F-2A88FFDB90AC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927" name="PORDB6">
          <a:extLst>
            <a:ext uri="{FF2B5EF4-FFF2-40B4-BE49-F238E27FC236}">
              <a16:creationId xmlns:a16="http://schemas.microsoft.com/office/drawing/2014/main" id="{CDD4FB24-E452-445D-8867-837374E64C7D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928" name="PORDB6">
          <a:extLst>
            <a:ext uri="{FF2B5EF4-FFF2-40B4-BE49-F238E27FC236}">
              <a16:creationId xmlns:a16="http://schemas.microsoft.com/office/drawing/2014/main" id="{B186ABBF-24B5-446B-84E2-2DFA2F225669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929" name="PORDB6">
          <a:extLst>
            <a:ext uri="{FF2B5EF4-FFF2-40B4-BE49-F238E27FC236}">
              <a16:creationId xmlns:a16="http://schemas.microsoft.com/office/drawing/2014/main" id="{822E318B-49A7-459F-8901-DCCE55859817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930" name="PORDB6">
          <a:extLst>
            <a:ext uri="{FF2B5EF4-FFF2-40B4-BE49-F238E27FC236}">
              <a16:creationId xmlns:a16="http://schemas.microsoft.com/office/drawing/2014/main" id="{9F768C4E-9565-45BA-AB44-D35050F1C916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931" name="PORDB6">
          <a:extLst>
            <a:ext uri="{FF2B5EF4-FFF2-40B4-BE49-F238E27FC236}">
              <a16:creationId xmlns:a16="http://schemas.microsoft.com/office/drawing/2014/main" id="{E7CAA72E-0E86-44B4-ABA2-32055E85418E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932" name="PORDB6">
          <a:extLst>
            <a:ext uri="{FF2B5EF4-FFF2-40B4-BE49-F238E27FC236}">
              <a16:creationId xmlns:a16="http://schemas.microsoft.com/office/drawing/2014/main" id="{F84B3DB6-44BE-465E-9C7A-94E4E36D0891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933" name="PORDB6">
          <a:extLst>
            <a:ext uri="{FF2B5EF4-FFF2-40B4-BE49-F238E27FC236}">
              <a16:creationId xmlns:a16="http://schemas.microsoft.com/office/drawing/2014/main" id="{B7DFC9C5-F926-4190-9E11-D349B4144419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934" name="PORDB6">
          <a:extLst>
            <a:ext uri="{FF2B5EF4-FFF2-40B4-BE49-F238E27FC236}">
              <a16:creationId xmlns:a16="http://schemas.microsoft.com/office/drawing/2014/main" id="{DAB7E04F-29E8-4136-90C3-1DA723DE1370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935" name="PORDB6">
          <a:extLst>
            <a:ext uri="{FF2B5EF4-FFF2-40B4-BE49-F238E27FC236}">
              <a16:creationId xmlns:a16="http://schemas.microsoft.com/office/drawing/2014/main" id="{A7F3A624-4686-41C5-B6FC-51C538F60997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936" name="PORDB6">
          <a:extLst>
            <a:ext uri="{FF2B5EF4-FFF2-40B4-BE49-F238E27FC236}">
              <a16:creationId xmlns:a16="http://schemas.microsoft.com/office/drawing/2014/main" id="{66DC0326-CCCC-4C12-BAE3-5543DB0365FD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937" name="PORDB6">
          <a:extLst>
            <a:ext uri="{FF2B5EF4-FFF2-40B4-BE49-F238E27FC236}">
              <a16:creationId xmlns:a16="http://schemas.microsoft.com/office/drawing/2014/main" id="{0613B943-F362-47D2-B1B7-F5344FE66399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938" name="PORDB6">
          <a:extLst>
            <a:ext uri="{FF2B5EF4-FFF2-40B4-BE49-F238E27FC236}">
              <a16:creationId xmlns:a16="http://schemas.microsoft.com/office/drawing/2014/main" id="{10EF908F-4ECD-499F-B738-64EA0D7C01B6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939" name="PORDB6">
          <a:extLst>
            <a:ext uri="{FF2B5EF4-FFF2-40B4-BE49-F238E27FC236}">
              <a16:creationId xmlns:a16="http://schemas.microsoft.com/office/drawing/2014/main" id="{65825BD2-EE85-456C-9644-A028EBBEC024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940" name="PORDB6">
          <a:extLst>
            <a:ext uri="{FF2B5EF4-FFF2-40B4-BE49-F238E27FC236}">
              <a16:creationId xmlns:a16="http://schemas.microsoft.com/office/drawing/2014/main" id="{C8E21D97-AD4D-46F6-9EC0-B123F70C7049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941" name="PORDB6">
          <a:extLst>
            <a:ext uri="{FF2B5EF4-FFF2-40B4-BE49-F238E27FC236}">
              <a16:creationId xmlns:a16="http://schemas.microsoft.com/office/drawing/2014/main" id="{D227AA9D-AA17-4BAC-AB30-E90105B2473E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942" name="PORDB6">
          <a:extLst>
            <a:ext uri="{FF2B5EF4-FFF2-40B4-BE49-F238E27FC236}">
              <a16:creationId xmlns:a16="http://schemas.microsoft.com/office/drawing/2014/main" id="{CED4ADE2-C8E2-4A4F-853B-C5757EF61363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943" name="PORDB6">
          <a:extLst>
            <a:ext uri="{FF2B5EF4-FFF2-40B4-BE49-F238E27FC236}">
              <a16:creationId xmlns:a16="http://schemas.microsoft.com/office/drawing/2014/main" id="{DFDB66D3-1DEB-4D75-8050-3B4E89DE3FD3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944" name="PORDB6">
          <a:extLst>
            <a:ext uri="{FF2B5EF4-FFF2-40B4-BE49-F238E27FC236}">
              <a16:creationId xmlns:a16="http://schemas.microsoft.com/office/drawing/2014/main" id="{B4F6BC88-BCEA-4E35-84D5-E16FC7018A1E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945" name="PORDB6">
          <a:extLst>
            <a:ext uri="{FF2B5EF4-FFF2-40B4-BE49-F238E27FC236}">
              <a16:creationId xmlns:a16="http://schemas.microsoft.com/office/drawing/2014/main" id="{E1F021AD-6258-4B0A-A137-3469FA161945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76</xdr:row>
      <xdr:rowOff>76200</xdr:rowOff>
    </xdr:from>
    <xdr:to>
      <xdr:col>6</xdr:col>
      <xdr:colOff>0</xdr:colOff>
      <xdr:row>80</xdr:row>
      <xdr:rowOff>123825</xdr:rowOff>
    </xdr:to>
    <xdr:sp macro="" textlink="">
      <xdr:nvSpPr>
        <xdr:cNvPr id="946" name="PORDB6">
          <a:extLst>
            <a:ext uri="{FF2B5EF4-FFF2-40B4-BE49-F238E27FC236}">
              <a16:creationId xmlns:a16="http://schemas.microsoft.com/office/drawing/2014/main" id="{C91906FF-E416-416C-BC32-48C1CF4A4042}"/>
            </a:ext>
          </a:extLst>
        </xdr:cNvPr>
        <xdr:cNvSpPr>
          <a:spLocks noChangeArrowheads="1"/>
        </xdr:cNvSpPr>
      </xdr:nvSpPr>
      <xdr:spPr bwMode="auto">
        <a:xfrm>
          <a:off x="638175" y="9553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5</xdr:col>
      <xdr:colOff>238125</xdr:colOff>
      <xdr:row>76</xdr:row>
      <xdr:rowOff>76200</xdr:rowOff>
    </xdr:from>
    <xdr:to>
      <xdr:col>15</xdr:col>
      <xdr:colOff>285749</xdr:colOff>
      <xdr:row>80</xdr:row>
      <xdr:rowOff>123825</xdr:rowOff>
    </xdr:to>
    <xdr:sp macro="" textlink="">
      <xdr:nvSpPr>
        <xdr:cNvPr id="947" name="PORDB6">
          <a:extLst>
            <a:ext uri="{FF2B5EF4-FFF2-40B4-BE49-F238E27FC236}">
              <a16:creationId xmlns:a16="http://schemas.microsoft.com/office/drawing/2014/main" id="{879BFB99-353F-4978-BCFB-84C914C380B4}"/>
            </a:ext>
          </a:extLst>
        </xdr:cNvPr>
        <xdr:cNvSpPr>
          <a:spLocks noChangeArrowheads="1"/>
        </xdr:cNvSpPr>
      </xdr:nvSpPr>
      <xdr:spPr bwMode="auto">
        <a:xfrm>
          <a:off x="3259455" y="9553575"/>
          <a:ext cx="7479029" cy="706755"/>
        </a:xfrm>
        <a:prstGeom prst="roundRect">
          <a:avLst>
            <a:gd name="adj" fmla="val 5000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usuarios\Documents%20and%20Settings\Usuario\Datos%20de%20programa\Microsoft\Excel\Mis%20documentos\COMPRAS\ORDENES%20DE%20COMPRA\FLORESTA%20I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anya\Documents\MAPEI\PROYECCION%20PASEO%20DE%20GRACIA..xlsx" TargetMode="External"/><Relationship Id="rId1" Type="http://schemas.openxmlformats.org/officeDocument/2006/relationships/externalLinkPath" Target="file:///C:\Users\Tanya\Documents\MAPEI\PROYECCION%20PASEO%20DE%20GRACIA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Open Stub Data"/>
      <sheetName val="199"/>
      <sheetName val="198"/>
      <sheetName val="197"/>
      <sheetName val="196"/>
      <sheetName val="195"/>
      <sheetName val="194"/>
      <sheetName val="193"/>
      <sheetName val=" 119-2"/>
      <sheetName val="192"/>
      <sheetName val="191"/>
      <sheetName val="190"/>
      <sheetName val="189"/>
      <sheetName val="188"/>
      <sheetName val="187"/>
      <sheetName val="186"/>
      <sheetName val="185"/>
      <sheetName val="184"/>
      <sheetName val="183"/>
      <sheetName val="182"/>
      <sheetName val="181"/>
      <sheetName val="180"/>
      <sheetName val="179"/>
      <sheetName val="178"/>
      <sheetName val="177"/>
      <sheetName val="176"/>
      <sheetName val="175"/>
      <sheetName val="174"/>
      <sheetName val="173"/>
      <sheetName val="172"/>
      <sheetName val="171"/>
      <sheetName val="170"/>
      <sheetName val="169"/>
      <sheetName val="168"/>
      <sheetName val="167"/>
      <sheetName val="166"/>
      <sheetName val="165"/>
      <sheetName val="164"/>
      <sheetName val="163"/>
      <sheetName val="162"/>
      <sheetName val="161"/>
      <sheetName val="160"/>
      <sheetName val="159"/>
      <sheetName val="158"/>
      <sheetName val="157"/>
      <sheetName val="156"/>
      <sheetName val="155"/>
      <sheetName val="154"/>
      <sheetName val="153"/>
      <sheetName val="152"/>
      <sheetName val="151"/>
      <sheetName val="150"/>
      <sheetName val="149"/>
      <sheetName val="148"/>
      <sheetName val="147"/>
      <sheetName val="146"/>
      <sheetName val="145"/>
      <sheetName val="144"/>
      <sheetName val="143"/>
      <sheetName val="142"/>
      <sheetName val="141"/>
      <sheetName val="140"/>
      <sheetName val="139"/>
      <sheetName val="138"/>
      <sheetName val="137"/>
      <sheetName val="136"/>
      <sheetName val="135"/>
      <sheetName val="134"/>
      <sheetName val="133"/>
      <sheetName val="132"/>
      <sheetName val="131"/>
      <sheetName val="130"/>
      <sheetName val="129"/>
      <sheetName val="128"/>
      <sheetName val="127"/>
      <sheetName val="126"/>
      <sheetName val="125"/>
      <sheetName val="124"/>
      <sheetName val="123"/>
      <sheetName val="122"/>
      <sheetName val="121"/>
      <sheetName val="120"/>
      <sheetName val="119"/>
      <sheetName val="Personalizar"/>
      <sheetName val="Macros"/>
      <sheetName val="ATW"/>
      <sheetName val="Lock"/>
      <sheetName val="TemplateInformation"/>
      <sheetName val="FLORESTA 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>
        <row r="23">
          <cell r="H23" t="str">
            <v>Tarjeta 1</v>
          </cell>
        </row>
        <row r="29">
          <cell r="E29" t="b">
            <v>0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PEI"/>
      <sheetName val="Hoja1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21548-96F3-454C-81F5-F91CBE26315D}">
  <dimension ref="A1:Y93"/>
  <sheetViews>
    <sheetView tabSelected="1" zoomScale="115" zoomScaleNormal="115" workbookViewId="0">
      <selection activeCell="H19" sqref="H19"/>
    </sheetView>
  </sheetViews>
  <sheetFormatPr baseColWidth="10" defaultRowHeight="14.4"/>
  <cols>
    <col min="1" max="1" width="9.33203125" style="104" customWidth="1"/>
    <col min="2" max="2" width="7.88671875" style="104" bestFit="1" customWidth="1"/>
    <col min="3" max="4" width="9.44140625" style="105" customWidth="1"/>
    <col min="5" max="5" width="12.6640625" style="101" bestFit="1" customWidth="1"/>
    <col min="6" max="22" width="12.6640625" style="101" customWidth="1"/>
    <col min="23" max="23" width="11.109375" style="86" customWidth="1"/>
    <col min="24" max="24" width="19.6640625" style="86" customWidth="1"/>
    <col min="25" max="25" width="24.44140625" style="103" bestFit="1" customWidth="1"/>
  </cols>
  <sheetData>
    <row r="1" spans="1:25" ht="34.200000000000003" customHeight="1">
      <c r="A1" s="183" t="s">
        <v>159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</row>
    <row r="2" spans="1:25" ht="12.75" customHeight="1">
      <c r="A2" s="184"/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70"/>
    </row>
    <row r="3" spans="1:25" ht="14.25" customHeight="1">
      <c r="A3" s="71"/>
      <c r="B3" s="72" t="s">
        <v>60</v>
      </c>
      <c r="C3" s="72" t="s">
        <v>60</v>
      </c>
      <c r="D3" s="72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5" t="s">
        <v>106</v>
      </c>
      <c r="X3" s="71"/>
      <c r="Y3" s="76"/>
    </row>
    <row r="4" spans="1:25" ht="12.75" customHeight="1">
      <c r="A4" s="77"/>
      <c r="B4" s="78" t="s">
        <v>176</v>
      </c>
      <c r="C4" s="186" t="s">
        <v>177</v>
      </c>
      <c r="D4" s="186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1"/>
      <c r="X4" s="80"/>
      <c r="Y4" s="81"/>
    </row>
    <row r="5" spans="1:25" ht="12.75" customHeight="1">
      <c r="A5" s="77"/>
      <c r="B5" s="78" t="s">
        <v>178</v>
      </c>
      <c r="C5" s="78" t="s">
        <v>179</v>
      </c>
      <c r="D5" s="78"/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1"/>
      <c r="X5" s="80"/>
      <c r="Y5" s="81"/>
    </row>
    <row r="6" spans="1:25" ht="12.75" customHeight="1">
      <c r="A6" s="77"/>
      <c r="B6" s="78"/>
      <c r="C6" s="78"/>
      <c r="D6" s="78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1"/>
      <c r="X6" s="80"/>
      <c r="Y6" s="81"/>
    </row>
    <row r="7" spans="1:25" ht="12.75" customHeight="1">
      <c r="A7" s="77"/>
      <c r="B7" s="78"/>
      <c r="C7" s="78"/>
      <c r="D7" s="78"/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1"/>
      <c r="X7" s="80"/>
      <c r="Y7" s="81"/>
    </row>
    <row r="8" spans="1:25" s="83" customFormat="1" ht="13.5" customHeight="1">
      <c r="A8" s="77"/>
      <c r="B8" s="78"/>
      <c r="C8" s="78"/>
      <c r="D8" s="78"/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1"/>
      <c r="X8" s="80"/>
      <c r="Y8" s="81"/>
    </row>
    <row r="9" spans="1:25" s="83" customFormat="1" ht="13.5" customHeight="1">
      <c r="A9" s="77"/>
      <c r="B9" s="78"/>
      <c r="C9" s="78"/>
      <c r="D9" s="78"/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1"/>
      <c r="X9" s="80"/>
      <c r="Y9" s="81"/>
    </row>
    <row r="10" spans="1:25" s="86" customFormat="1" ht="30" customHeight="1">
      <c r="A10" s="87" t="s">
        <v>62</v>
      </c>
      <c r="B10" s="87" t="s">
        <v>63</v>
      </c>
      <c r="C10" s="88" t="s">
        <v>61</v>
      </c>
      <c r="D10" s="120" t="s">
        <v>47</v>
      </c>
      <c r="E10" s="87" t="s">
        <v>256</v>
      </c>
      <c r="F10" s="87" t="s">
        <v>215</v>
      </c>
      <c r="G10" s="87" t="s">
        <v>257</v>
      </c>
      <c r="H10" s="87" t="s">
        <v>255</v>
      </c>
      <c r="I10" s="87" t="s">
        <v>165</v>
      </c>
      <c r="J10" s="87" t="s">
        <v>164</v>
      </c>
      <c r="K10" s="87" t="s">
        <v>216</v>
      </c>
      <c r="L10" s="87" t="s">
        <v>160</v>
      </c>
      <c r="M10" s="87" t="s">
        <v>161</v>
      </c>
      <c r="N10" s="87" t="s">
        <v>254</v>
      </c>
      <c r="O10" s="87" t="s">
        <v>233</v>
      </c>
      <c r="P10" s="87" t="s">
        <v>162</v>
      </c>
      <c r="Q10" s="87" t="s">
        <v>163</v>
      </c>
      <c r="R10" s="87" t="s">
        <v>166</v>
      </c>
      <c r="S10" s="87" t="s">
        <v>167</v>
      </c>
      <c r="T10" s="87" t="s">
        <v>171</v>
      </c>
      <c r="U10" s="87" t="s">
        <v>168</v>
      </c>
      <c r="V10" s="87" t="s">
        <v>169</v>
      </c>
      <c r="W10" s="87" t="s">
        <v>170</v>
      </c>
      <c r="X10" s="87" t="s">
        <v>96</v>
      </c>
      <c r="Y10" s="87" t="s">
        <v>66</v>
      </c>
    </row>
    <row r="11" spans="1:25" s="83" customFormat="1">
      <c r="A11" s="169" t="s">
        <v>259</v>
      </c>
      <c r="B11" s="170">
        <v>121</v>
      </c>
      <c r="C11" s="171" t="s">
        <v>101</v>
      </c>
      <c r="D11" s="171" t="s">
        <v>102</v>
      </c>
      <c r="E11" s="172">
        <v>4</v>
      </c>
      <c r="F11" s="113">
        <v>5</v>
      </c>
      <c r="G11" s="113">
        <v>1</v>
      </c>
      <c r="H11" s="113">
        <v>5</v>
      </c>
      <c r="I11" s="113">
        <v>4</v>
      </c>
      <c r="J11" s="113">
        <v>5</v>
      </c>
      <c r="K11" s="113">
        <v>6</v>
      </c>
      <c r="L11" s="113">
        <v>5</v>
      </c>
      <c r="M11" s="113">
        <v>5</v>
      </c>
      <c r="N11" s="113">
        <v>1</v>
      </c>
      <c r="O11" s="113">
        <f>2*H11</f>
        <v>10</v>
      </c>
      <c r="P11" s="113">
        <v>5</v>
      </c>
      <c r="Q11" s="113">
        <v>4</v>
      </c>
      <c r="R11" s="113">
        <v>4</v>
      </c>
      <c r="S11" s="113">
        <v>5</v>
      </c>
      <c r="T11" s="113">
        <v>4</v>
      </c>
      <c r="U11" s="113">
        <v>4</v>
      </c>
      <c r="V11" s="113">
        <v>4</v>
      </c>
      <c r="W11" s="94"/>
      <c r="X11" s="94"/>
      <c r="Y11" s="95">
        <v>45884</v>
      </c>
    </row>
    <row r="12" spans="1:25" s="83" customFormat="1">
      <c r="A12" s="169" t="s">
        <v>107</v>
      </c>
      <c r="B12" s="170">
        <v>120</v>
      </c>
      <c r="C12" s="171" t="s">
        <v>100</v>
      </c>
      <c r="D12" s="171" t="s">
        <v>103</v>
      </c>
      <c r="E12" s="172">
        <v>4</v>
      </c>
      <c r="F12" s="113">
        <v>4</v>
      </c>
      <c r="G12" s="113"/>
      <c r="H12" s="113">
        <v>4</v>
      </c>
      <c r="I12" s="113">
        <v>3</v>
      </c>
      <c r="J12" s="113">
        <v>4</v>
      </c>
      <c r="K12" s="113">
        <v>4</v>
      </c>
      <c r="L12" s="113">
        <v>4</v>
      </c>
      <c r="M12" s="113">
        <v>4</v>
      </c>
      <c r="N12" s="113">
        <f t="shared" ref="N12:N33" si="0">2*H12</f>
        <v>8</v>
      </c>
      <c r="O12" s="113">
        <f t="shared" ref="O12:O33" si="1">2*H12</f>
        <v>8</v>
      </c>
      <c r="P12" s="113">
        <v>4</v>
      </c>
      <c r="Q12" s="113">
        <v>3</v>
      </c>
      <c r="R12" s="113">
        <v>3</v>
      </c>
      <c r="S12" s="113">
        <v>4</v>
      </c>
      <c r="T12" s="113">
        <v>3</v>
      </c>
      <c r="U12" s="113">
        <v>3</v>
      </c>
      <c r="V12" s="113">
        <v>3</v>
      </c>
      <c r="W12" s="94"/>
      <c r="X12" s="94"/>
      <c r="Y12" s="95">
        <v>45884</v>
      </c>
    </row>
    <row r="13" spans="1:25" s="83" customFormat="1">
      <c r="A13" s="169" t="s">
        <v>107</v>
      </c>
      <c r="B13" s="170">
        <v>119</v>
      </c>
      <c r="C13" s="171" t="s">
        <v>101</v>
      </c>
      <c r="D13" s="171" t="s">
        <v>102</v>
      </c>
      <c r="E13" s="172">
        <v>4</v>
      </c>
      <c r="F13" s="113">
        <v>5</v>
      </c>
      <c r="G13" s="113">
        <v>1</v>
      </c>
      <c r="H13" s="113">
        <v>5</v>
      </c>
      <c r="I13" s="113">
        <v>4</v>
      </c>
      <c r="J13" s="113">
        <v>5</v>
      </c>
      <c r="K13" s="113">
        <v>6</v>
      </c>
      <c r="L13" s="113">
        <v>5</v>
      </c>
      <c r="M13" s="113">
        <v>5</v>
      </c>
      <c r="N13" s="113">
        <v>1</v>
      </c>
      <c r="O13" s="113">
        <f t="shared" si="1"/>
        <v>10</v>
      </c>
      <c r="P13" s="113">
        <v>5</v>
      </c>
      <c r="Q13" s="113">
        <v>4</v>
      </c>
      <c r="R13" s="113">
        <v>4</v>
      </c>
      <c r="S13" s="113">
        <v>5</v>
      </c>
      <c r="T13" s="113">
        <v>4</v>
      </c>
      <c r="U13" s="113">
        <v>4</v>
      </c>
      <c r="V13" s="113">
        <v>4</v>
      </c>
      <c r="W13" s="94"/>
      <c r="X13" s="94"/>
      <c r="Y13" s="95">
        <v>45884</v>
      </c>
    </row>
    <row r="14" spans="1:25" s="83" customFormat="1">
      <c r="A14" s="169" t="s">
        <v>107</v>
      </c>
      <c r="B14" s="170">
        <v>118</v>
      </c>
      <c r="C14" s="171" t="s">
        <v>100</v>
      </c>
      <c r="D14" s="171" t="s">
        <v>103</v>
      </c>
      <c r="E14" s="172">
        <v>4</v>
      </c>
      <c r="F14" s="113">
        <v>4</v>
      </c>
      <c r="G14" s="113"/>
      <c r="H14" s="113">
        <v>4</v>
      </c>
      <c r="I14" s="113">
        <v>3</v>
      </c>
      <c r="J14" s="113">
        <v>4</v>
      </c>
      <c r="K14" s="113">
        <v>4</v>
      </c>
      <c r="L14" s="113">
        <v>4</v>
      </c>
      <c r="M14" s="113">
        <v>4</v>
      </c>
      <c r="N14" s="113">
        <f t="shared" si="0"/>
        <v>8</v>
      </c>
      <c r="O14" s="113">
        <f t="shared" si="1"/>
        <v>8</v>
      </c>
      <c r="P14" s="113">
        <v>4</v>
      </c>
      <c r="Q14" s="113">
        <v>3</v>
      </c>
      <c r="R14" s="113">
        <v>3</v>
      </c>
      <c r="S14" s="113">
        <v>4</v>
      </c>
      <c r="T14" s="113">
        <v>3</v>
      </c>
      <c r="U14" s="113">
        <v>3</v>
      </c>
      <c r="V14" s="113">
        <v>3</v>
      </c>
      <c r="W14" s="94"/>
      <c r="X14" s="94"/>
      <c r="Y14" s="95">
        <v>45884</v>
      </c>
    </row>
    <row r="15" spans="1:25" s="83" customFormat="1">
      <c r="A15" s="169" t="s">
        <v>108</v>
      </c>
      <c r="B15" s="170">
        <v>55</v>
      </c>
      <c r="C15" s="171" t="s">
        <v>101</v>
      </c>
      <c r="D15" s="171" t="s">
        <v>104</v>
      </c>
      <c r="E15" s="172">
        <v>4</v>
      </c>
      <c r="F15" s="113">
        <v>5</v>
      </c>
      <c r="G15" s="113">
        <v>1</v>
      </c>
      <c r="H15" s="113">
        <v>5</v>
      </c>
      <c r="I15" s="113">
        <v>4</v>
      </c>
      <c r="J15" s="113">
        <v>5</v>
      </c>
      <c r="K15" s="113">
        <v>6</v>
      </c>
      <c r="L15" s="113">
        <v>5</v>
      </c>
      <c r="M15" s="113">
        <v>5</v>
      </c>
      <c r="N15" s="113">
        <v>1</v>
      </c>
      <c r="O15" s="113">
        <f t="shared" si="1"/>
        <v>10</v>
      </c>
      <c r="P15" s="113">
        <v>5</v>
      </c>
      <c r="Q15" s="113">
        <v>4</v>
      </c>
      <c r="R15" s="113">
        <v>4</v>
      </c>
      <c r="S15" s="113">
        <v>5</v>
      </c>
      <c r="T15" s="113">
        <v>4</v>
      </c>
      <c r="U15" s="113">
        <v>4</v>
      </c>
      <c r="V15" s="113">
        <v>4</v>
      </c>
      <c r="W15" s="94"/>
      <c r="X15" s="94"/>
      <c r="Y15" s="95">
        <v>45898</v>
      </c>
    </row>
    <row r="16" spans="1:25" s="83" customFormat="1">
      <c r="A16" s="169" t="s">
        <v>108</v>
      </c>
      <c r="B16" s="170">
        <v>85</v>
      </c>
      <c r="C16" s="171" t="s">
        <v>101</v>
      </c>
      <c r="D16" s="171" t="s">
        <v>102</v>
      </c>
      <c r="E16" s="172">
        <v>4</v>
      </c>
      <c r="F16" s="113">
        <v>5</v>
      </c>
      <c r="G16" s="113">
        <v>1</v>
      </c>
      <c r="H16" s="113">
        <v>5</v>
      </c>
      <c r="I16" s="113">
        <v>4</v>
      </c>
      <c r="J16" s="113">
        <v>5</v>
      </c>
      <c r="K16" s="113">
        <v>6</v>
      </c>
      <c r="L16" s="113">
        <v>5</v>
      </c>
      <c r="M16" s="113">
        <v>5</v>
      </c>
      <c r="N16" s="113">
        <v>1</v>
      </c>
      <c r="O16" s="113">
        <f t="shared" si="1"/>
        <v>10</v>
      </c>
      <c r="P16" s="113">
        <v>5</v>
      </c>
      <c r="Q16" s="113">
        <v>4</v>
      </c>
      <c r="R16" s="113">
        <v>4</v>
      </c>
      <c r="S16" s="113">
        <v>5</v>
      </c>
      <c r="T16" s="113">
        <v>4</v>
      </c>
      <c r="U16" s="113">
        <v>4</v>
      </c>
      <c r="V16" s="113">
        <v>4</v>
      </c>
      <c r="W16" s="94"/>
      <c r="X16" s="94"/>
      <c r="Y16" s="95">
        <v>45898</v>
      </c>
    </row>
    <row r="17" spans="1:25" s="83" customFormat="1">
      <c r="A17" s="173" t="s">
        <v>108</v>
      </c>
      <c r="B17" s="174">
        <v>56</v>
      </c>
      <c r="C17" s="175" t="s">
        <v>100</v>
      </c>
      <c r="D17" s="175" t="s">
        <v>103</v>
      </c>
      <c r="E17" s="176">
        <v>4</v>
      </c>
      <c r="F17" s="113">
        <v>4</v>
      </c>
      <c r="G17" s="113"/>
      <c r="H17" s="113">
        <v>4</v>
      </c>
      <c r="I17" s="113">
        <v>3</v>
      </c>
      <c r="J17" s="113">
        <v>4</v>
      </c>
      <c r="K17" s="113">
        <v>4</v>
      </c>
      <c r="L17" s="113">
        <v>4</v>
      </c>
      <c r="M17" s="113">
        <v>4</v>
      </c>
      <c r="N17" s="113">
        <f t="shared" si="0"/>
        <v>8</v>
      </c>
      <c r="O17" s="113">
        <f t="shared" si="1"/>
        <v>8</v>
      </c>
      <c r="P17" s="113">
        <v>4</v>
      </c>
      <c r="Q17" s="113">
        <v>3</v>
      </c>
      <c r="R17" s="113">
        <v>3</v>
      </c>
      <c r="S17" s="113">
        <v>4</v>
      </c>
      <c r="T17" s="113">
        <v>3</v>
      </c>
      <c r="U17" s="113">
        <v>3</v>
      </c>
      <c r="V17" s="113">
        <v>3</v>
      </c>
      <c r="W17" s="94"/>
      <c r="X17" s="94"/>
      <c r="Y17" s="95">
        <v>45898</v>
      </c>
    </row>
    <row r="18" spans="1:25" s="83" customFormat="1">
      <c r="A18" s="173" t="s">
        <v>108</v>
      </c>
      <c r="B18" s="174">
        <v>84</v>
      </c>
      <c r="C18" s="175" t="s">
        <v>100</v>
      </c>
      <c r="D18" s="175" t="s">
        <v>103</v>
      </c>
      <c r="E18" s="176">
        <v>4</v>
      </c>
      <c r="F18" s="113">
        <v>4</v>
      </c>
      <c r="G18" s="113"/>
      <c r="H18" s="113">
        <v>4</v>
      </c>
      <c r="I18" s="113">
        <v>3</v>
      </c>
      <c r="J18" s="113">
        <v>4</v>
      </c>
      <c r="K18" s="113">
        <v>4</v>
      </c>
      <c r="L18" s="113">
        <v>4</v>
      </c>
      <c r="M18" s="113">
        <v>4</v>
      </c>
      <c r="N18" s="113">
        <f t="shared" si="0"/>
        <v>8</v>
      </c>
      <c r="O18" s="113">
        <f t="shared" si="1"/>
        <v>8</v>
      </c>
      <c r="P18" s="113">
        <v>4</v>
      </c>
      <c r="Q18" s="113">
        <v>3</v>
      </c>
      <c r="R18" s="113">
        <v>3</v>
      </c>
      <c r="S18" s="113">
        <v>4</v>
      </c>
      <c r="T18" s="113">
        <v>3</v>
      </c>
      <c r="U18" s="113">
        <v>3</v>
      </c>
      <c r="V18" s="113">
        <v>3</v>
      </c>
      <c r="W18" s="94"/>
      <c r="X18" s="94"/>
      <c r="Y18" s="95">
        <v>45898</v>
      </c>
    </row>
    <row r="19" spans="1:25" s="83" customFormat="1">
      <c r="A19" s="91" t="s">
        <v>108</v>
      </c>
      <c r="B19" s="112">
        <v>57</v>
      </c>
      <c r="C19" s="92" t="s">
        <v>101</v>
      </c>
      <c r="D19" s="92" t="s">
        <v>102</v>
      </c>
      <c r="E19" s="113">
        <v>4</v>
      </c>
      <c r="F19" s="113">
        <v>5</v>
      </c>
      <c r="G19" s="113">
        <v>1</v>
      </c>
      <c r="H19" s="113">
        <v>5</v>
      </c>
      <c r="I19" s="113">
        <v>4</v>
      </c>
      <c r="J19" s="113">
        <v>5</v>
      </c>
      <c r="K19" s="113">
        <v>6</v>
      </c>
      <c r="L19" s="113">
        <v>5</v>
      </c>
      <c r="M19" s="113">
        <v>5</v>
      </c>
      <c r="N19" s="113">
        <v>1</v>
      </c>
      <c r="O19" s="113">
        <f t="shared" si="1"/>
        <v>10</v>
      </c>
      <c r="P19" s="113">
        <v>5</v>
      </c>
      <c r="Q19" s="113">
        <v>4</v>
      </c>
      <c r="R19" s="113">
        <v>4</v>
      </c>
      <c r="S19" s="113">
        <v>5</v>
      </c>
      <c r="T19" s="113">
        <v>4</v>
      </c>
      <c r="U19" s="113">
        <v>4</v>
      </c>
      <c r="V19" s="113">
        <v>4</v>
      </c>
      <c r="W19" s="94"/>
      <c r="X19" s="94"/>
      <c r="Y19" s="95">
        <v>45898</v>
      </c>
    </row>
    <row r="20" spans="1:25" s="83" customFormat="1">
      <c r="A20" s="91" t="s">
        <v>108</v>
      </c>
      <c r="B20" s="112">
        <v>83</v>
      </c>
      <c r="C20" s="92" t="s">
        <v>101</v>
      </c>
      <c r="D20" s="92" t="s">
        <v>102</v>
      </c>
      <c r="E20" s="113">
        <v>4</v>
      </c>
      <c r="F20" s="113">
        <v>5</v>
      </c>
      <c r="G20" s="113">
        <v>1</v>
      </c>
      <c r="H20" s="113">
        <v>5</v>
      </c>
      <c r="I20" s="113">
        <v>4</v>
      </c>
      <c r="J20" s="113">
        <v>5</v>
      </c>
      <c r="K20" s="113">
        <v>6</v>
      </c>
      <c r="L20" s="113">
        <v>5</v>
      </c>
      <c r="M20" s="113">
        <v>5</v>
      </c>
      <c r="N20" s="113">
        <v>1</v>
      </c>
      <c r="O20" s="113">
        <f t="shared" si="1"/>
        <v>10</v>
      </c>
      <c r="P20" s="113">
        <v>5</v>
      </c>
      <c r="Q20" s="113">
        <v>4</v>
      </c>
      <c r="R20" s="113">
        <v>4</v>
      </c>
      <c r="S20" s="113">
        <v>5</v>
      </c>
      <c r="T20" s="113">
        <v>4</v>
      </c>
      <c r="U20" s="113">
        <v>4</v>
      </c>
      <c r="V20" s="113">
        <v>4</v>
      </c>
      <c r="W20" s="94"/>
      <c r="X20" s="94"/>
      <c r="Y20" s="95">
        <v>45898</v>
      </c>
    </row>
    <row r="21" spans="1:25" s="83" customFormat="1">
      <c r="A21" s="91" t="s">
        <v>108</v>
      </c>
      <c r="B21" s="112">
        <v>58</v>
      </c>
      <c r="C21" s="92" t="s">
        <v>100</v>
      </c>
      <c r="D21" s="92" t="s">
        <v>103</v>
      </c>
      <c r="E21" s="113">
        <v>4</v>
      </c>
      <c r="F21" s="113">
        <v>4</v>
      </c>
      <c r="G21" s="113"/>
      <c r="H21" s="113">
        <v>4</v>
      </c>
      <c r="I21" s="113">
        <v>3</v>
      </c>
      <c r="J21" s="113">
        <v>4</v>
      </c>
      <c r="K21" s="113">
        <v>4</v>
      </c>
      <c r="L21" s="113">
        <v>4</v>
      </c>
      <c r="M21" s="113">
        <v>4</v>
      </c>
      <c r="N21" s="113">
        <f t="shared" si="0"/>
        <v>8</v>
      </c>
      <c r="O21" s="113">
        <f t="shared" si="1"/>
        <v>8</v>
      </c>
      <c r="P21" s="113">
        <v>4</v>
      </c>
      <c r="Q21" s="113">
        <v>3</v>
      </c>
      <c r="R21" s="113">
        <v>3</v>
      </c>
      <c r="S21" s="113">
        <v>4</v>
      </c>
      <c r="T21" s="113">
        <v>3</v>
      </c>
      <c r="U21" s="113">
        <v>3</v>
      </c>
      <c r="V21" s="113">
        <v>3</v>
      </c>
      <c r="W21" s="94"/>
      <c r="X21" s="94"/>
      <c r="Y21" s="95">
        <v>45912</v>
      </c>
    </row>
    <row r="22" spans="1:25" s="83" customFormat="1">
      <c r="A22" s="91" t="s">
        <v>108</v>
      </c>
      <c r="B22" s="112">
        <v>82</v>
      </c>
      <c r="C22" s="92" t="s">
        <v>100</v>
      </c>
      <c r="D22" s="92" t="s">
        <v>103</v>
      </c>
      <c r="E22" s="113">
        <v>4</v>
      </c>
      <c r="F22" s="113">
        <v>4</v>
      </c>
      <c r="G22" s="113"/>
      <c r="H22" s="113">
        <v>4</v>
      </c>
      <c r="I22" s="113">
        <v>3</v>
      </c>
      <c r="J22" s="113">
        <v>4</v>
      </c>
      <c r="K22" s="113">
        <v>4</v>
      </c>
      <c r="L22" s="113">
        <v>4</v>
      </c>
      <c r="M22" s="113">
        <v>4</v>
      </c>
      <c r="N22" s="113">
        <f t="shared" si="0"/>
        <v>8</v>
      </c>
      <c r="O22" s="113">
        <f t="shared" si="1"/>
        <v>8</v>
      </c>
      <c r="P22" s="113">
        <v>4</v>
      </c>
      <c r="Q22" s="113">
        <v>3</v>
      </c>
      <c r="R22" s="113">
        <v>3</v>
      </c>
      <c r="S22" s="113">
        <v>4</v>
      </c>
      <c r="T22" s="113">
        <v>3</v>
      </c>
      <c r="U22" s="113">
        <v>3</v>
      </c>
      <c r="V22" s="113">
        <v>3</v>
      </c>
      <c r="W22" s="94"/>
      <c r="X22" s="94"/>
      <c r="Y22" s="95">
        <v>45912</v>
      </c>
    </row>
    <row r="23" spans="1:25" s="83" customFormat="1">
      <c r="A23" s="91" t="s">
        <v>108</v>
      </c>
      <c r="B23" s="112">
        <v>59</v>
      </c>
      <c r="C23" s="92" t="s">
        <v>101</v>
      </c>
      <c r="D23" s="92" t="s">
        <v>102</v>
      </c>
      <c r="E23" s="113">
        <v>4</v>
      </c>
      <c r="F23" s="113">
        <v>5</v>
      </c>
      <c r="G23" s="113">
        <v>1</v>
      </c>
      <c r="H23" s="113">
        <v>5</v>
      </c>
      <c r="I23" s="113">
        <v>4</v>
      </c>
      <c r="J23" s="113">
        <v>5</v>
      </c>
      <c r="K23" s="113">
        <v>6</v>
      </c>
      <c r="L23" s="113">
        <v>5</v>
      </c>
      <c r="M23" s="113">
        <v>5</v>
      </c>
      <c r="N23" s="113">
        <v>1</v>
      </c>
      <c r="O23" s="113">
        <f t="shared" si="1"/>
        <v>10</v>
      </c>
      <c r="P23" s="113">
        <v>5</v>
      </c>
      <c r="Q23" s="113">
        <v>4</v>
      </c>
      <c r="R23" s="113">
        <v>4</v>
      </c>
      <c r="S23" s="113">
        <v>5</v>
      </c>
      <c r="T23" s="113">
        <v>4</v>
      </c>
      <c r="U23" s="113">
        <v>4</v>
      </c>
      <c r="V23" s="113">
        <v>4</v>
      </c>
      <c r="W23" s="94"/>
      <c r="X23" s="94"/>
      <c r="Y23" s="95">
        <v>45912</v>
      </c>
    </row>
    <row r="24" spans="1:25" s="83" customFormat="1">
      <c r="A24" s="91" t="s">
        <v>108</v>
      </c>
      <c r="B24" s="114">
        <v>81</v>
      </c>
      <c r="C24" s="92" t="s">
        <v>101</v>
      </c>
      <c r="D24" s="92" t="s">
        <v>102</v>
      </c>
      <c r="E24" s="113">
        <v>4</v>
      </c>
      <c r="F24" s="113">
        <v>5</v>
      </c>
      <c r="G24" s="113">
        <v>1</v>
      </c>
      <c r="H24" s="113">
        <v>5</v>
      </c>
      <c r="I24" s="113">
        <v>4</v>
      </c>
      <c r="J24" s="113">
        <v>5</v>
      </c>
      <c r="K24" s="113">
        <v>6</v>
      </c>
      <c r="L24" s="113">
        <v>5</v>
      </c>
      <c r="M24" s="113">
        <v>5</v>
      </c>
      <c r="N24" s="113">
        <v>1</v>
      </c>
      <c r="O24" s="113">
        <f t="shared" si="1"/>
        <v>10</v>
      </c>
      <c r="P24" s="113">
        <v>5</v>
      </c>
      <c r="Q24" s="113">
        <v>4</v>
      </c>
      <c r="R24" s="113">
        <v>4</v>
      </c>
      <c r="S24" s="113">
        <v>5</v>
      </c>
      <c r="T24" s="113">
        <v>4</v>
      </c>
      <c r="U24" s="113">
        <v>4</v>
      </c>
      <c r="V24" s="113">
        <v>4</v>
      </c>
      <c r="W24" s="94"/>
      <c r="X24" s="94"/>
      <c r="Y24" s="95">
        <v>45912</v>
      </c>
    </row>
    <row r="25" spans="1:25" s="83" customFormat="1">
      <c r="A25" s="91" t="s">
        <v>108</v>
      </c>
      <c r="B25" s="114">
        <v>60</v>
      </c>
      <c r="C25" s="92" t="s">
        <v>100</v>
      </c>
      <c r="D25" s="92" t="s">
        <v>103</v>
      </c>
      <c r="E25" s="113">
        <v>4</v>
      </c>
      <c r="F25" s="113">
        <v>4</v>
      </c>
      <c r="G25" s="113"/>
      <c r="H25" s="113">
        <v>4</v>
      </c>
      <c r="I25" s="113">
        <v>3</v>
      </c>
      <c r="J25" s="113">
        <v>4</v>
      </c>
      <c r="K25" s="113">
        <v>4</v>
      </c>
      <c r="L25" s="113">
        <v>4</v>
      </c>
      <c r="M25" s="113">
        <v>4</v>
      </c>
      <c r="N25" s="113">
        <f t="shared" si="0"/>
        <v>8</v>
      </c>
      <c r="O25" s="113">
        <f t="shared" si="1"/>
        <v>8</v>
      </c>
      <c r="P25" s="113">
        <v>4</v>
      </c>
      <c r="Q25" s="113">
        <v>3</v>
      </c>
      <c r="R25" s="113">
        <v>3</v>
      </c>
      <c r="S25" s="113">
        <v>4</v>
      </c>
      <c r="T25" s="113">
        <v>3</v>
      </c>
      <c r="U25" s="113">
        <v>3</v>
      </c>
      <c r="V25" s="113">
        <v>3</v>
      </c>
      <c r="W25" s="94"/>
      <c r="X25" s="94"/>
      <c r="Y25" s="95">
        <v>45912</v>
      </c>
    </row>
    <row r="26" spans="1:25" s="83" customFormat="1">
      <c r="A26" s="91" t="s">
        <v>108</v>
      </c>
      <c r="B26" s="114">
        <v>80</v>
      </c>
      <c r="C26" s="92" t="s">
        <v>100</v>
      </c>
      <c r="D26" s="92" t="s">
        <v>103</v>
      </c>
      <c r="E26" s="113">
        <v>4</v>
      </c>
      <c r="F26" s="113">
        <v>4</v>
      </c>
      <c r="G26" s="113"/>
      <c r="H26" s="113">
        <v>4</v>
      </c>
      <c r="I26" s="113">
        <v>3</v>
      </c>
      <c r="J26" s="113">
        <v>4</v>
      </c>
      <c r="K26" s="113">
        <v>4</v>
      </c>
      <c r="L26" s="113">
        <v>4</v>
      </c>
      <c r="M26" s="113">
        <v>4</v>
      </c>
      <c r="N26" s="113">
        <f t="shared" si="0"/>
        <v>8</v>
      </c>
      <c r="O26" s="113">
        <f t="shared" si="1"/>
        <v>8</v>
      </c>
      <c r="P26" s="113">
        <v>4</v>
      </c>
      <c r="Q26" s="113">
        <v>3</v>
      </c>
      <c r="R26" s="113">
        <v>3</v>
      </c>
      <c r="S26" s="113">
        <v>4</v>
      </c>
      <c r="T26" s="113">
        <v>3</v>
      </c>
      <c r="U26" s="113">
        <v>3</v>
      </c>
      <c r="V26" s="113">
        <v>3</v>
      </c>
      <c r="W26" s="94"/>
      <c r="X26" s="94"/>
      <c r="Y26" s="95">
        <v>45912</v>
      </c>
    </row>
    <row r="27" spans="1:25" s="83" customFormat="1">
      <c r="A27" s="91" t="s">
        <v>108</v>
      </c>
      <c r="B27" s="114">
        <v>61</v>
      </c>
      <c r="C27" s="92" t="s">
        <v>101</v>
      </c>
      <c r="D27" s="92" t="s">
        <v>102</v>
      </c>
      <c r="E27" s="113">
        <v>4</v>
      </c>
      <c r="F27" s="113">
        <v>5</v>
      </c>
      <c r="G27" s="113">
        <v>1</v>
      </c>
      <c r="H27" s="113">
        <v>5</v>
      </c>
      <c r="I27" s="113">
        <v>4</v>
      </c>
      <c r="J27" s="113">
        <v>5</v>
      </c>
      <c r="K27" s="113">
        <v>6</v>
      </c>
      <c r="L27" s="113">
        <v>6</v>
      </c>
      <c r="M27" s="113">
        <v>6</v>
      </c>
      <c r="N27" s="113">
        <v>1</v>
      </c>
      <c r="O27" s="113">
        <f t="shared" si="1"/>
        <v>10</v>
      </c>
      <c r="P27" s="113">
        <v>5</v>
      </c>
      <c r="Q27" s="113">
        <v>4</v>
      </c>
      <c r="R27" s="113">
        <v>4</v>
      </c>
      <c r="S27" s="113">
        <v>5</v>
      </c>
      <c r="T27" s="113">
        <v>4</v>
      </c>
      <c r="U27" s="113">
        <v>4</v>
      </c>
      <c r="V27" s="113">
        <v>4</v>
      </c>
      <c r="W27" s="94"/>
      <c r="X27" s="94"/>
      <c r="Y27" s="95">
        <v>45926</v>
      </c>
    </row>
    <row r="28" spans="1:25" s="83" customFormat="1">
      <c r="A28" s="91" t="s">
        <v>108</v>
      </c>
      <c r="B28" s="114">
        <v>79</v>
      </c>
      <c r="C28" s="92" t="s">
        <v>101</v>
      </c>
      <c r="D28" s="92" t="s">
        <v>102</v>
      </c>
      <c r="E28" s="113">
        <v>4</v>
      </c>
      <c r="F28" s="113">
        <v>5</v>
      </c>
      <c r="G28" s="113">
        <v>1</v>
      </c>
      <c r="H28" s="113">
        <v>5</v>
      </c>
      <c r="I28" s="113">
        <v>4</v>
      </c>
      <c r="J28" s="113">
        <v>5</v>
      </c>
      <c r="K28" s="113">
        <v>6</v>
      </c>
      <c r="L28" s="113">
        <v>6</v>
      </c>
      <c r="M28" s="113">
        <v>6</v>
      </c>
      <c r="N28" s="113">
        <v>1</v>
      </c>
      <c r="O28" s="113">
        <f t="shared" si="1"/>
        <v>10</v>
      </c>
      <c r="P28" s="113">
        <v>5</v>
      </c>
      <c r="Q28" s="113">
        <v>4</v>
      </c>
      <c r="R28" s="113">
        <v>4</v>
      </c>
      <c r="S28" s="113">
        <v>5</v>
      </c>
      <c r="T28" s="113">
        <v>4</v>
      </c>
      <c r="U28" s="113">
        <v>4</v>
      </c>
      <c r="V28" s="113">
        <v>4</v>
      </c>
      <c r="W28" s="94"/>
      <c r="X28" s="94"/>
      <c r="Y28" s="95">
        <v>45926</v>
      </c>
    </row>
    <row r="29" spans="1:25" s="83" customFormat="1">
      <c r="A29" s="91" t="s">
        <v>108</v>
      </c>
      <c r="B29" s="114">
        <v>62</v>
      </c>
      <c r="C29" s="92" t="s">
        <v>100</v>
      </c>
      <c r="D29" s="92" t="s">
        <v>103</v>
      </c>
      <c r="E29" s="113">
        <v>4</v>
      </c>
      <c r="F29" s="113">
        <v>4</v>
      </c>
      <c r="G29" s="113"/>
      <c r="H29" s="113">
        <v>4</v>
      </c>
      <c r="I29" s="113">
        <v>3</v>
      </c>
      <c r="J29" s="113">
        <v>4</v>
      </c>
      <c r="K29" s="113">
        <v>4</v>
      </c>
      <c r="L29" s="113">
        <v>4</v>
      </c>
      <c r="M29" s="113">
        <v>4</v>
      </c>
      <c r="N29" s="113">
        <f t="shared" si="0"/>
        <v>8</v>
      </c>
      <c r="O29" s="113">
        <f t="shared" si="1"/>
        <v>8</v>
      </c>
      <c r="P29" s="113">
        <v>4</v>
      </c>
      <c r="Q29" s="113">
        <v>3</v>
      </c>
      <c r="R29" s="113">
        <v>3</v>
      </c>
      <c r="S29" s="113">
        <v>4</v>
      </c>
      <c r="T29" s="113">
        <v>3</v>
      </c>
      <c r="U29" s="113">
        <v>3</v>
      </c>
      <c r="V29" s="113">
        <v>3</v>
      </c>
      <c r="W29" s="94"/>
      <c r="X29" s="94"/>
      <c r="Y29" s="95">
        <v>45926</v>
      </c>
    </row>
    <row r="30" spans="1:25" s="83" customFormat="1">
      <c r="A30" s="91" t="s">
        <v>108</v>
      </c>
      <c r="B30" s="115">
        <v>78</v>
      </c>
      <c r="C30" s="92" t="s">
        <v>100</v>
      </c>
      <c r="D30" s="92" t="s">
        <v>103</v>
      </c>
      <c r="E30" s="113">
        <v>4</v>
      </c>
      <c r="F30" s="113">
        <v>4</v>
      </c>
      <c r="G30" s="113"/>
      <c r="H30" s="113">
        <v>4</v>
      </c>
      <c r="I30" s="113">
        <v>3</v>
      </c>
      <c r="J30" s="113">
        <v>4</v>
      </c>
      <c r="K30" s="113">
        <v>4</v>
      </c>
      <c r="L30" s="113">
        <v>4</v>
      </c>
      <c r="M30" s="113">
        <v>4</v>
      </c>
      <c r="N30" s="113">
        <f t="shared" si="0"/>
        <v>8</v>
      </c>
      <c r="O30" s="113">
        <f t="shared" si="1"/>
        <v>8</v>
      </c>
      <c r="P30" s="113">
        <v>4</v>
      </c>
      <c r="Q30" s="113">
        <v>3</v>
      </c>
      <c r="R30" s="113">
        <v>3</v>
      </c>
      <c r="S30" s="113">
        <v>4</v>
      </c>
      <c r="T30" s="113">
        <v>3</v>
      </c>
      <c r="U30" s="113">
        <v>3</v>
      </c>
      <c r="V30" s="113">
        <v>3</v>
      </c>
      <c r="W30" s="94"/>
      <c r="X30" s="94"/>
      <c r="Y30" s="95">
        <v>45926</v>
      </c>
    </row>
    <row r="31" spans="1:25" s="83" customFormat="1">
      <c r="A31" s="91" t="s">
        <v>108</v>
      </c>
      <c r="B31" s="114">
        <v>63</v>
      </c>
      <c r="C31" s="92" t="s">
        <v>101</v>
      </c>
      <c r="D31" s="92" t="s">
        <v>102</v>
      </c>
      <c r="E31" s="113">
        <v>4</v>
      </c>
      <c r="F31" s="113">
        <v>5</v>
      </c>
      <c r="G31" s="113">
        <v>1</v>
      </c>
      <c r="H31" s="113">
        <v>5</v>
      </c>
      <c r="I31" s="113">
        <v>4</v>
      </c>
      <c r="J31" s="113">
        <v>5</v>
      </c>
      <c r="K31" s="113">
        <v>6</v>
      </c>
      <c r="L31" s="113">
        <v>5</v>
      </c>
      <c r="M31" s="113">
        <v>5</v>
      </c>
      <c r="N31" s="113">
        <v>1</v>
      </c>
      <c r="O31" s="113">
        <f t="shared" si="1"/>
        <v>10</v>
      </c>
      <c r="P31" s="113">
        <v>5</v>
      </c>
      <c r="Q31" s="113">
        <v>4</v>
      </c>
      <c r="R31" s="113">
        <v>4</v>
      </c>
      <c r="S31" s="113">
        <v>5</v>
      </c>
      <c r="T31" s="113">
        <v>4</v>
      </c>
      <c r="U31" s="113">
        <v>4</v>
      </c>
      <c r="V31" s="113">
        <v>4</v>
      </c>
      <c r="W31" s="94"/>
      <c r="X31" s="94"/>
      <c r="Y31" s="95">
        <v>45926</v>
      </c>
    </row>
    <row r="32" spans="1:25" s="83" customFormat="1">
      <c r="A32" s="91" t="s">
        <v>108</v>
      </c>
      <c r="B32" s="114">
        <v>77</v>
      </c>
      <c r="C32" s="92" t="s">
        <v>101</v>
      </c>
      <c r="D32" s="92" t="s">
        <v>102</v>
      </c>
      <c r="E32" s="113">
        <v>4</v>
      </c>
      <c r="F32" s="113">
        <v>5</v>
      </c>
      <c r="G32" s="113">
        <v>1</v>
      </c>
      <c r="H32" s="113">
        <v>5</v>
      </c>
      <c r="I32" s="113">
        <v>4</v>
      </c>
      <c r="J32" s="113">
        <v>5</v>
      </c>
      <c r="K32" s="113">
        <v>6</v>
      </c>
      <c r="L32" s="113">
        <v>5</v>
      </c>
      <c r="M32" s="113">
        <v>5</v>
      </c>
      <c r="N32" s="113">
        <v>1</v>
      </c>
      <c r="O32" s="113">
        <f t="shared" si="1"/>
        <v>10</v>
      </c>
      <c r="P32" s="113">
        <v>5</v>
      </c>
      <c r="Q32" s="113">
        <v>4</v>
      </c>
      <c r="R32" s="113">
        <v>4</v>
      </c>
      <c r="S32" s="113">
        <v>5</v>
      </c>
      <c r="T32" s="113">
        <v>4</v>
      </c>
      <c r="U32" s="113">
        <v>4</v>
      </c>
      <c r="V32" s="113">
        <v>4</v>
      </c>
      <c r="W32" s="94"/>
      <c r="X32" s="94"/>
      <c r="Y32" s="95">
        <v>45926</v>
      </c>
    </row>
    <row r="33" spans="1:25" s="83" customFormat="1">
      <c r="A33" s="91" t="s">
        <v>108</v>
      </c>
      <c r="B33" s="114">
        <v>64</v>
      </c>
      <c r="C33" s="92" t="s">
        <v>100</v>
      </c>
      <c r="D33" s="92" t="s">
        <v>103</v>
      </c>
      <c r="E33" s="113">
        <v>4</v>
      </c>
      <c r="F33" s="113">
        <v>4</v>
      </c>
      <c r="G33" s="113"/>
      <c r="H33" s="113">
        <v>4</v>
      </c>
      <c r="I33" s="113">
        <v>3</v>
      </c>
      <c r="J33" s="113">
        <v>4</v>
      </c>
      <c r="K33" s="113">
        <v>4</v>
      </c>
      <c r="L33" s="113">
        <v>4</v>
      </c>
      <c r="M33" s="113">
        <v>4</v>
      </c>
      <c r="N33" s="113">
        <f t="shared" si="0"/>
        <v>8</v>
      </c>
      <c r="O33" s="113">
        <f t="shared" si="1"/>
        <v>8</v>
      </c>
      <c r="P33" s="113">
        <v>4</v>
      </c>
      <c r="Q33" s="113">
        <v>3</v>
      </c>
      <c r="R33" s="113">
        <v>3</v>
      </c>
      <c r="S33" s="113">
        <v>4</v>
      </c>
      <c r="T33" s="113">
        <v>3</v>
      </c>
      <c r="U33" s="113">
        <v>3</v>
      </c>
      <c r="V33" s="113">
        <v>3</v>
      </c>
      <c r="W33" s="94"/>
      <c r="X33" s="94"/>
      <c r="Y33" s="95">
        <v>45926</v>
      </c>
    </row>
    <row r="34" spans="1:25" s="83" customFormat="1">
      <c r="A34" s="91"/>
      <c r="B34" s="114"/>
      <c r="C34" s="92"/>
      <c r="D34" s="92"/>
      <c r="E34" s="113"/>
      <c r="F34" s="113"/>
      <c r="G34" s="113"/>
      <c r="H34" s="113"/>
      <c r="I34" s="113"/>
      <c r="J34" s="113"/>
      <c r="K34" s="113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94"/>
      <c r="X34" s="94"/>
      <c r="Y34" s="95"/>
    </row>
    <row r="35" spans="1:25" s="83" customFormat="1" ht="16.2">
      <c r="C35" s="83" t="s">
        <v>97</v>
      </c>
      <c r="E35" s="116">
        <f>SUM(E11:E34)</f>
        <v>92</v>
      </c>
      <c r="F35" s="116">
        <f>SUM(F11:F34)</f>
        <v>104</v>
      </c>
      <c r="G35" s="116"/>
      <c r="H35" s="116">
        <f t="shared" ref="H35:V35" si="2">SUM(H11:H34)</f>
        <v>104</v>
      </c>
      <c r="I35" s="116">
        <f t="shared" si="2"/>
        <v>81</v>
      </c>
      <c r="J35" s="116">
        <f t="shared" si="2"/>
        <v>104</v>
      </c>
      <c r="K35" s="116">
        <f t="shared" si="2"/>
        <v>116</v>
      </c>
      <c r="L35" s="116">
        <f t="shared" si="2"/>
        <v>106</v>
      </c>
      <c r="M35" s="116">
        <f t="shared" si="2"/>
        <v>106</v>
      </c>
      <c r="N35" s="116">
        <f t="shared" si="2"/>
        <v>100</v>
      </c>
      <c r="O35" s="116">
        <f t="shared" si="2"/>
        <v>208</v>
      </c>
      <c r="P35" s="116">
        <f t="shared" si="2"/>
        <v>104</v>
      </c>
      <c r="Q35" s="116">
        <f t="shared" si="2"/>
        <v>81</v>
      </c>
      <c r="R35" s="116">
        <f t="shared" si="2"/>
        <v>81</v>
      </c>
      <c r="S35" s="116">
        <f t="shared" si="2"/>
        <v>104</v>
      </c>
      <c r="T35" s="116">
        <f t="shared" si="2"/>
        <v>81</v>
      </c>
      <c r="U35" s="116">
        <f t="shared" si="2"/>
        <v>81</v>
      </c>
      <c r="V35" s="116">
        <f t="shared" si="2"/>
        <v>81</v>
      </c>
      <c r="X35" s="117">
        <f>SUM(X11:X34)</f>
        <v>0</v>
      </c>
    </row>
    <row r="36" spans="1:25" s="83" customFormat="1">
      <c r="E36" s="118"/>
      <c r="F36" s="118"/>
      <c r="G36" s="118"/>
      <c r="H36" s="118"/>
      <c r="I36" s="118"/>
      <c r="J36" s="118"/>
      <c r="K36" s="118"/>
      <c r="L36" s="118"/>
      <c r="M36" s="118"/>
      <c r="N36" s="118"/>
      <c r="O36" s="118"/>
      <c r="P36" s="118"/>
      <c r="Q36" s="118"/>
      <c r="R36" s="118"/>
      <c r="S36" s="118"/>
      <c r="T36" s="118">
        <v>28</v>
      </c>
      <c r="U36" s="118"/>
      <c r="V36" s="118"/>
    </row>
    <row r="37" spans="1:25" s="83" customFormat="1" ht="16.2">
      <c r="X37" s="119"/>
    </row>
    <row r="38" spans="1:25" s="83" customFormat="1"/>
    <row r="39" spans="1:25" s="83" customFormat="1"/>
    <row r="40" spans="1:25">
      <c r="A40" s="83"/>
      <c r="B40"/>
      <c r="C40"/>
      <c r="D40" s="187" t="s">
        <v>217</v>
      </c>
      <c r="E40" s="188"/>
      <c r="F40" s="188"/>
      <c r="G40" s="188"/>
      <c r="H40" s="188"/>
      <c r="I40" s="189">
        <v>219.29</v>
      </c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  <row r="41" spans="1:25">
      <c r="A41" s="83"/>
      <c r="B41"/>
      <c r="C41"/>
      <c r="D41" s="181" t="s">
        <v>218</v>
      </c>
      <c r="E41" s="182"/>
      <c r="F41" s="182"/>
      <c r="G41" s="182"/>
      <c r="H41" s="182"/>
      <c r="I41" s="190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</row>
    <row r="42" spans="1:25">
      <c r="A42" s="83"/>
      <c r="B42"/>
      <c r="C42"/>
      <c r="D42" s="181" t="s">
        <v>219</v>
      </c>
      <c r="E42" s="182"/>
      <c r="F42" s="182"/>
      <c r="G42" s="182"/>
      <c r="H42" s="182"/>
      <c r="I42" s="190"/>
      <c r="J42">
        <v>325.56</v>
      </c>
      <c r="K42" s="164">
        <f>+I40-J42</f>
        <v>-106.27000000000001</v>
      </c>
      <c r="L42"/>
      <c r="M42"/>
      <c r="N42"/>
      <c r="O42"/>
      <c r="P42"/>
      <c r="Q42"/>
      <c r="R42"/>
      <c r="S42"/>
      <c r="T42"/>
      <c r="U42"/>
      <c r="V42"/>
      <c r="W42"/>
      <c r="X42"/>
      <c r="Y42"/>
    </row>
    <row r="43" spans="1:25">
      <c r="A43" s="83"/>
      <c r="B43"/>
      <c r="C43"/>
      <c r="D43" s="181" t="s">
        <v>220</v>
      </c>
      <c r="E43" s="182"/>
      <c r="F43" s="182"/>
      <c r="G43" s="182"/>
      <c r="H43" s="182"/>
      <c r="I43" s="190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</row>
    <row r="44" spans="1:25">
      <c r="A44" s="83"/>
      <c r="B44"/>
      <c r="C44"/>
      <c r="D44" s="162"/>
      <c r="E44" s="182" t="s">
        <v>221</v>
      </c>
      <c r="F44" s="182"/>
      <c r="G44" s="182"/>
      <c r="H44" s="182"/>
      <c r="I44" s="190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</row>
    <row r="45" spans="1:25">
      <c r="A45" s="83"/>
      <c r="B45"/>
      <c r="C45"/>
      <c r="D45" s="163"/>
      <c r="E45" s="192" t="s">
        <v>222</v>
      </c>
      <c r="F45" s="192"/>
      <c r="G45" s="192"/>
      <c r="H45" s="192"/>
      <c r="I45" s="191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</row>
    <row r="46" spans="1:25">
      <c r="E46" s="179" t="s">
        <v>223</v>
      </c>
      <c r="F46" s="179"/>
      <c r="G46" s="179"/>
      <c r="H46" s="179"/>
      <c r="I46" s="161">
        <f>84.87*2</f>
        <v>169.74</v>
      </c>
    </row>
    <row r="47" spans="1:25">
      <c r="E47" s="179" t="s">
        <v>224</v>
      </c>
      <c r="F47" s="179"/>
      <c r="G47" s="179"/>
      <c r="H47" s="179"/>
      <c r="I47" s="161">
        <f>44.8*2</f>
        <v>89.6</v>
      </c>
    </row>
    <row r="48" spans="1:25">
      <c r="E48" s="179" t="s">
        <v>234</v>
      </c>
      <c r="F48" s="179"/>
      <c r="G48" s="179"/>
      <c r="H48" s="179"/>
      <c r="I48" s="161">
        <v>3.81</v>
      </c>
      <c r="J48" s="101">
        <f>+I46+I47+I48+I49</f>
        <v>316.59000000000003</v>
      </c>
    </row>
    <row r="49" spans="5:11">
      <c r="E49" s="179" t="s">
        <v>232</v>
      </c>
      <c r="F49" s="179"/>
      <c r="G49" s="179"/>
      <c r="H49" s="179"/>
      <c r="I49" s="161">
        <v>53.44</v>
      </c>
    </row>
    <row r="50" spans="5:11">
      <c r="E50" s="160"/>
      <c r="F50" s="160"/>
      <c r="G50" s="160"/>
      <c r="H50" s="160"/>
      <c r="I50" s="161">
        <f>SUM(I46:I49)</f>
        <v>316.59000000000003</v>
      </c>
      <c r="J50" s="167">
        <f>+I40-I50</f>
        <v>-97.30000000000004</v>
      </c>
    </row>
    <row r="51" spans="5:11">
      <c r="E51" s="179" t="s">
        <v>226</v>
      </c>
      <c r="F51" s="179"/>
      <c r="G51" s="179"/>
      <c r="H51" s="179"/>
      <c r="I51" s="161">
        <v>196.81</v>
      </c>
    </row>
    <row r="52" spans="5:11">
      <c r="E52" s="179" t="s">
        <v>227</v>
      </c>
      <c r="F52" s="179"/>
      <c r="G52" s="179"/>
      <c r="H52" s="179"/>
      <c r="I52" s="161">
        <v>150.25</v>
      </c>
    </row>
    <row r="53" spans="5:11">
      <c r="E53" s="179" t="s">
        <v>240</v>
      </c>
      <c r="F53" s="179"/>
      <c r="G53" s="179"/>
      <c r="H53" s="179"/>
      <c r="I53" s="161">
        <v>90.53</v>
      </c>
    </row>
    <row r="54" spans="5:11">
      <c r="E54" s="179"/>
      <c r="F54" s="179"/>
      <c r="G54" s="179"/>
      <c r="H54" s="179"/>
      <c r="I54" s="161">
        <f>SUM(I51:I53)</f>
        <v>437.59000000000003</v>
      </c>
      <c r="K54" s="167">
        <f>+I40+I54</f>
        <v>656.88</v>
      </c>
    </row>
    <row r="55" spans="5:11">
      <c r="E55" s="179"/>
      <c r="F55" s="179"/>
      <c r="G55" s="179"/>
      <c r="H55" s="179"/>
    </row>
    <row r="56" spans="5:11">
      <c r="E56" s="179" t="s">
        <v>228</v>
      </c>
      <c r="F56" s="179"/>
      <c r="G56" s="179"/>
      <c r="H56" s="179"/>
    </row>
    <row r="57" spans="5:11">
      <c r="E57" s="179" t="s">
        <v>229</v>
      </c>
      <c r="F57" s="179"/>
      <c r="G57" s="179"/>
      <c r="H57" s="179"/>
      <c r="I57" s="161">
        <v>65.78</v>
      </c>
    </row>
    <row r="58" spans="5:11">
      <c r="E58" s="179" t="s">
        <v>230</v>
      </c>
      <c r="F58" s="179"/>
      <c r="G58" s="179"/>
      <c r="H58" s="179"/>
      <c r="I58" s="161">
        <v>42.13</v>
      </c>
    </row>
    <row r="59" spans="5:11">
      <c r="E59" s="179" t="s">
        <v>225</v>
      </c>
      <c r="F59" s="179"/>
      <c r="G59" s="179"/>
      <c r="H59" s="179"/>
      <c r="I59" s="161">
        <v>3.51</v>
      </c>
    </row>
    <row r="60" spans="5:11">
      <c r="E60" s="179" t="s">
        <v>231</v>
      </c>
      <c r="F60" s="179"/>
      <c r="G60" s="179"/>
      <c r="H60" s="179"/>
      <c r="I60" s="161">
        <v>18</v>
      </c>
    </row>
    <row r="61" spans="5:11">
      <c r="E61" s="179"/>
      <c r="F61" s="179"/>
      <c r="G61" s="179"/>
      <c r="H61" s="179"/>
      <c r="I61" s="161">
        <f>SUM(I57:I60)</f>
        <v>129.42000000000002</v>
      </c>
    </row>
    <row r="62" spans="5:11">
      <c r="E62" s="179"/>
      <c r="F62" s="179"/>
      <c r="G62" s="179"/>
      <c r="H62" s="179"/>
      <c r="I62" s="161"/>
    </row>
    <row r="63" spans="5:11">
      <c r="I63" s="161"/>
    </row>
    <row r="64" spans="5:11">
      <c r="E64" s="180" t="s">
        <v>217</v>
      </c>
      <c r="F64" s="180"/>
      <c r="G64" s="180"/>
      <c r="H64" s="180"/>
      <c r="I64" s="180"/>
    </row>
    <row r="65" spans="5:9">
      <c r="E65" s="166" t="s">
        <v>235</v>
      </c>
      <c r="F65" s="166" t="s">
        <v>236</v>
      </c>
      <c r="G65" s="166"/>
      <c r="H65" s="166" t="s">
        <v>237</v>
      </c>
      <c r="I65" s="166" t="s">
        <v>238</v>
      </c>
    </row>
    <row r="66" spans="5:9">
      <c r="E66" s="168">
        <v>70</v>
      </c>
      <c r="F66" s="168">
        <v>104</v>
      </c>
      <c r="G66" s="168"/>
      <c r="H66" s="168"/>
      <c r="I66" s="168">
        <v>57</v>
      </c>
    </row>
    <row r="67" spans="5:9">
      <c r="E67" s="180" t="s">
        <v>239</v>
      </c>
      <c r="F67" s="180"/>
      <c r="G67" s="180"/>
      <c r="H67" s="180"/>
      <c r="I67" s="180"/>
    </row>
    <row r="68" spans="5:9">
      <c r="E68" s="166" t="s">
        <v>235</v>
      </c>
      <c r="F68" s="166" t="s">
        <v>236</v>
      </c>
      <c r="G68" s="166"/>
      <c r="H68" s="166" t="s">
        <v>237</v>
      </c>
      <c r="I68" s="166" t="s">
        <v>238</v>
      </c>
    </row>
    <row r="69" spans="5:9">
      <c r="E69" s="166">
        <v>70</v>
      </c>
      <c r="F69" s="166">
        <v>90</v>
      </c>
      <c r="G69" s="166"/>
      <c r="H69" s="166"/>
      <c r="I69" s="166">
        <v>57</v>
      </c>
    </row>
    <row r="70" spans="5:9">
      <c r="E70" s="180" t="s">
        <v>239</v>
      </c>
      <c r="F70" s="180"/>
      <c r="G70" s="180"/>
      <c r="H70" s="180"/>
      <c r="I70" s="180"/>
    </row>
    <row r="71" spans="5:9">
      <c r="E71" s="166" t="s">
        <v>235</v>
      </c>
      <c r="F71" s="166" t="s">
        <v>236</v>
      </c>
      <c r="G71" s="166"/>
      <c r="H71" s="166" t="s">
        <v>237</v>
      </c>
      <c r="I71" s="166" t="s">
        <v>238</v>
      </c>
    </row>
    <row r="72" spans="5:9">
      <c r="E72" s="166">
        <v>70</v>
      </c>
      <c r="F72" s="166">
        <v>90</v>
      </c>
      <c r="G72" s="166"/>
      <c r="H72" s="166"/>
      <c r="I72" s="166">
        <v>57</v>
      </c>
    </row>
    <row r="73" spans="5:9">
      <c r="E73" s="165"/>
      <c r="F73" s="165"/>
      <c r="G73" s="165"/>
      <c r="H73" s="165"/>
      <c r="I73" s="165"/>
    </row>
    <row r="74" spans="5:9">
      <c r="E74" s="165"/>
      <c r="F74" s="165"/>
      <c r="G74" s="165"/>
      <c r="H74" s="165"/>
      <c r="I74" s="165"/>
    </row>
    <row r="75" spans="5:9">
      <c r="E75" s="165"/>
      <c r="F75" s="165"/>
      <c r="G75" s="165"/>
      <c r="H75" s="165"/>
      <c r="I75" s="165"/>
    </row>
    <row r="76" spans="5:9">
      <c r="E76" s="165"/>
      <c r="F76" s="165"/>
      <c r="G76" s="165"/>
      <c r="H76" s="165"/>
      <c r="I76" s="165"/>
    </row>
    <row r="77" spans="5:9">
      <c r="E77" s="165"/>
      <c r="F77" s="165"/>
      <c r="G77" s="165"/>
      <c r="H77" s="165"/>
      <c r="I77" s="165"/>
    </row>
    <row r="80" spans="5:9">
      <c r="E80" s="180" t="s">
        <v>239</v>
      </c>
      <c r="F80" s="180"/>
      <c r="G80" s="180"/>
      <c r="H80" s="180"/>
      <c r="I80" s="180"/>
    </row>
    <row r="81" spans="5:9">
      <c r="E81" s="166" t="s">
        <v>235</v>
      </c>
      <c r="F81" s="166" t="s">
        <v>236</v>
      </c>
      <c r="G81" s="166"/>
      <c r="H81" s="166" t="s">
        <v>237</v>
      </c>
      <c r="I81" s="166" t="s">
        <v>238</v>
      </c>
    </row>
    <row r="82" spans="5:9">
      <c r="E82" s="166">
        <v>70</v>
      </c>
      <c r="F82" s="166">
        <v>90</v>
      </c>
      <c r="G82" s="166"/>
      <c r="H82" s="166"/>
      <c r="I82" s="166">
        <v>57</v>
      </c>
    </row>
    <row r="83" spans="5:9">
      <c r="E83" s="165"/>
      <c r="F83" s="165"/>
      <c r="G83" s="165"/>
      <c r="H83" s="165"/>
      <c r="I83" s="165"/>
    </row>
    <row r="84" spans="5:9">
      <c r="E84" s="165"/>
      <c r="F84" s="165"/>
      <c r="G84" s="165"/>
      <c r="H84" s="165"/>
      <c r="I84" s="165"/>
    </row>
    <row r="85" spans="5:9">
      <c r="E85" s="165"/>
      <c r="F85" s="165"/>
      <c r="G85" s="165"/>
      <c r="H85" s="165"/>
      <c r="I85" s="165"/>
    </row>
    <row r="86" spans="5:9">
      <c r="E86" s="165"/>
      <c r="F86" s="165"/>
      <c r="G86" s="165"/>
      <c r="H86" s="165"/>
      <c r="I86" s="165"/>
    </row>
    <row r="87" spans="5:9">
      <c r="E87" s="165"/>
      <c r="F87" s="165"/>
      <c r="G87" s="165"/>
      <c r="H87" s="165"/>
      <c r="I87" s="165"/>
    </row>
    <row r="88" spans="5:9">
      <c r="E88" s="165"/>
      <c r="F88" s="165"/>
      <c r="G88" s="165"/>
      <c r="H88" s="165"/>
      <c r="I88" s="165"/>
    </row>
    <row r="89" spans="5:9">
      <c r="E89" s="165"/>
      <c r="F89" s="165"/>
      <c r="G89" s="165"/>
      <c r="H89" s="165"/>
      <c r="I89" s="165"/>
    </row>
    <row r="90" spans="5:9">
      <c r="E90" s="165"/>
      <c r="F90" s="165"/>
      <c r="G90" s="165"/>
      <c r="H90" s="165"/>
      <c r="I90" s="165"/>
    </row>
    <row r="91" spans="5:9">
      <c r="E91" s="165"/>
      <c r="F91" s="165"/>
      <c r="G91" s="165"/>
      <c r="H91" s="165"/>
      <c r="I91" s="165"/>
    </row>
    <row r="92" spans="5:9">
      <c r="E92" s="165"/>
      <c r="F92" s="165"/>
      <c r="G92" s="165"/>
      <c r="H92" s="165"/>
      <c r="I92" s="165"/>
    </row>
    <row r="93" spans="5:9">
      <c r="E93" s="165"/>
      <c r="F93" s="165"/>
      <c r="G93" s="165"/>
      <c r="H93" s="165"/>
      <c r="I93" s="165"/>
    </row>
  </sheetData>
  <autoFilter ref="A10:Y35" xr:uid="{00000000-0009-0000-0000-000000000000}"/>
  <mergeCells count="30">
    <mergeCell ref="E70:I70"/>
    <mergeCell ref="E80:I80"/>
    <mergeCell ref="E59:H59"/>
    <mergeCell ref="E60:H60"/>
    <mergeCell ref="E61:H61"/>
    <mergeCell ref="E62:H62"/>
    <mergeCell ref="E64:I64"/>
    <mergeCell ref="E67:I67"/>
    <mergeCell ref="E53:H53"/>
    <mergeCell ref="E54:H54"/>
    <mergeCell ref="E55:H55"/>
    <mergeCell ref="E56:H56"/>
    <mergeCell ref="E57:H57"/>
    <mergeCell ref="E58:H58"/>
    <mergeCell ref="E46:H46"/>
    <mergeCell ref="E47:H47"/>
    <mergeCell ref="E48:H48"/>
    <mergeCell ref="E49:H49"/>
    <mergeCell ref="E51:H51"/>
    <mergeCell ref="E52:H52"/>
    <mergeCell ref="A1:Y1"/>
    <mergeCell ref="A2:X2"/>
    <mergeCell ref="C4:D4"/>
    <mergeCell ref="D40:H40"/>
    <mergeCell ref="I40:I45"/>
    <mergeCell ref="D41:H41"/>
    <mergeCell ref="D42:H42"/>
    <mergeCell ref="D43:H43"/>
    <mergeCell ref="E44:H44"/>
    <mergeCell ref="E45:H4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89024-D7F9-48A8-918D-3DB6D2F7DEBB}">
  <dimension ref="A1:Y93"/>
  <sheetViews>
    <sheetView zoomScale="115" zoomScaleNormal="115" workbookViewId="0">
      <selection activeCell="J35" sqref="J35"/>
    </sheetView>
  </sheetViews>
  <sheetFormatPr baseColWidth="10" defaultRowHeight="14.4"/>
  <cols>
    <col min="1" max="1" width="9.33203125" style="104" customWidth="1"/>
    <col min="2" max="2" width="7.88671875" style="104" bestFit="1" customWidth="1"/>
    <col min="3" max="4" width="9.44140625" style="105" customWidth="1"/>
    <col min="5" max="5" width="12.6640625" style="101" bestFit="1" customWidth="1"/>
    <col min="6" max="22" width="12.6640625" style="101" customWidth="1"/>
    <col min="23" max="23" width="11.109375" style="86" customWidth="1"/>
    <col min="24" max="24" width="19.6640625" style="86" customWidth="1"/>
    <col min="25" max="25" width="24.44140625" style="103" bestFit="1" customWidth="1"/>
  </cols>
  <sheetData>
    <row r="1" spans="1:25" ht="34.200000000000003" customHeight="1">
      <c r="A1" s="183" t="s">
        <v>159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</row>
    <row r="2" spans="1:25" ht="12.75" customHeight="1">
      <c r="A2" s="184"/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70"/>
    </row>
    <row r="3" spans="1:25" ht="14.25" customHeight="1">
      <c r="A3" s="71"/>
      <c r="B3" s="72" t="s">
        <v>60</v>
      </c>
      <c r="C3" s="72" t="s">
        <v>60</v>
      </c>
      <c r="D3" s="72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5" t="s">
        <v>106</v>
      </c>
      <c r="X3" s="71"/>
      <c r="Y3" s="76"/>
    </row>
    <row r="4" spans="1:25" ht="12.75" customHeight="1">
      <c r="A4" s="77"/>
      <c r="B4" s="78" t="s">
        <v>176</v>
      </c>
      <c r="C4" s="186" t="s">
        <v>177</v>
      </c>
      <c r="D4" s="186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1"/>
      <c r="X4" s="80"/>
      <c r="Y4" s="81"/>
    </row>
    <row r="5" spans="1:25" ht="12.75" customHeight="1">
      <c r="A5" s="77"/>
      <c r="B5" s="78" t="s">
        <v>178</v>
      </c>
      <c r="C5" s="78" t="s">
        <v>179</v>
      </c>
      <c r="D5" s="78"/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1"/>
      <c r="X5" s="80"/>
      <c r="Y5" s="81"/>
    </row>
    <row r="6" spans="1:25" ht="12.75" customHeight="1">
      <c r="A6" s="77"/>
      <c r="B6" s="78"/>
      <c r="C6" s="78"/>
      <c r="D6" s="78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1"/>
      <c r="X6" s="80"/>
      <c r="Y6" s="81"/>
    </row>
    <row r="7" spans="1:25" ht="12.75" customHeight="1">
      <c r="A7" s="77"/>
      <c r="B7" s="78"/>
      <c r="C7" s="78"/>
      <c r="D7" s="78"/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1"/>
      <c r="X7" s="80"/>
      <c r="Y7" s="81"/>
    </row>
    <row r="8" spans="1:25" s="83" customFormat="1" ht="13.5" customHeight="1">
      <c r="A8" s="77"/>
      <c r="B8" s="78"/>
      <c r="C8" s="78"/>
      <c r="D8" s="78"/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1"/>
      <c r="X8" s="80"/>
      <c r="Y8" s="81"/>
    </row>
    <row r="9" spans="1:25" s="83" customFormat="1" ht="13.5" customHeight="1">
      <c r="A9" s="77"/>
      <c r="B9" s="78"/>
      <c r="C9" s="78"/>
      <c r="D9" s="78"/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1"/>
      <c r="X9" s="80"/>
      <c r="Y9" s="81"/>
    </row>
    <row r="10" spans="1:25" s="86" customFormat="1" ht="30" customHeight="1">
      <c r="A10" s="87" t="s">
        <v>62</v>
      </c>
      <c r="B10" s="87" t="s">
        <v>63</v>
      </c>
      <c r="C10" s="88" t="s">
        <v>61</v>
      </c>
      <c r="D10" s="120" t="s">
        <v>47</v>
      </c>
      <c r="E10" s="87" t="s">
        <v>256</v>
      </c>
      <c r="F10" s="87" t="s">
        <v>215</v>
      </c>
      <c r="G10" s="87" t="s">
        <v>257</v>
      </c>
      <c r="H10" s="87" t="s">
        <v>255</v>
      </c>
      <c r="I10" s="87" t="s">
        <v>165</v>
      </c>
      <c r="J10" s="87" t="s">
        <v>164</v>
      </c>
      <c r="K10" s="87" t="s">
        <v>216</v>
      </c>
      <c r="L10" s="87" t="s">
        <v>160</v>
      </c>
      <c r="M10" s="87" t="s">
        <v>161</v>
      </c>
      <c r="N10" s="87" t="s">
        <v>254</v>
      </c>
      <c r="O10" s="87" t="s">
        <v>233</v>
      </c>
      <c r="P10" s="87" t="s">
        <v>162</v>
      </c>
      <c r="Q10" s="87" t="s">
        <v>163</v>
      </c>
      <c r="R10" s="87" t="s">
        <v>166</v>
      </c>
      <c r="S10" s="87" t="s">
        <v>167</v>
      </c>
      <c r="T10" s="87" t="s">
        <v>171</v>
      </c>
      <c r="U10" s="87" t="s">
        <v>168</v>
      </c>
      <c r="V10" s="87" t="s">
        <v>169</v>
      </c>
      <c r="W10" s="87" t="s">
        <v>170</v>
      </c>
      <c r="X10" s="87" t="s">
        <v>96</v>
      </c>
      <c r="Y10" s="87" t="s">
        <v>66</v>
      </c>
    </row>
    <row r="11" spans="1:25" s="83" customFormat="1">
      <c r="A11" s="169" t="s">
        <v>107</v>
      </c>
      <c r="B11" s="170">
        <v>121</v>
      </c>
      <c r="C11" s="171" t="s">
        <v>101</v>
      </c>
      <c r="D11" s="171" t="s">
        <v>102</v>
      </c>
      <c r="E11" s="172">
        <v>4</v>
      </c>
      <c r="F11" s="113">
        <v>5</v>
      </c>
      <c r="G11" s="113">
        <v>1</v>
      </c>
      <c r="H11" s="113">
        <v>5</v>
      </c>
      <c r="I11" s="113">
        <v>4</v>
      </c>
      <c r="J11" s="113">
        <v>5</v>
      </c>
      <c r="K11" s="113">
        <v>6</v>
      </c>
      <c r="L11" s="113">
        <v>5</v>
      </c>
      <c r="M11" s="113">
        <v>5</v>
      </c>
      <c r="N11" s="113">
        <v>1</v>
      </c>
      <c r="O11" s="113">
        <f>2*H11</f>
        <v>10</v>
      </c>
      <c r="P11" s="113">
        <v>5</v>
      </c>
      <c r="Q11" s="113">
        <v>4</v>
      </c>
      <c r="R11" s="113">
        <v>4</v>
      </c>
      <c r="S11" s="113">
        <v>5</v>
      </c>
      <c r="T11" s="113">
        <v>4</v>
      </c>
      <c r="U11" s="113">
        <v>4</v>
      </c>
      <c r="V11" s="113">
        <v>4</v>
      </c>
      <c r="W11" s="94"/>
      <c r="X11" s="94"/>
      <c r="Y11" s="95">
        <v>45884</v>
      </c>
    </row>
    <row r="12" spans="1:25" s="83" customFormat="1">
      <c r="A12" s="169" t="s">
        <v>107</v>
      </c>
      <c r="B12" s="170">
        <v>120</v>
      </c>
      <c r="C12" s="171" t="s">
        <v>100</v>
      </c>
      <c r="D12" s="171" t="s">
        <v>103</v>
      </c>
      <c r="E12" s="172">
        <v>4</v>
      </c>
      <c r="F12" s="113">
        <v>4</v>
      </c>
      <c r="G12" s="113"/>
      <c r="H12" s="113">
        <v>4</v>
      </c>
      <c r="I12" s="113">
        <v>3</v>
      </c>
      <c r="J12" s="113">
        <v>4</v>
      </c>
      <c r="K12" s="113">
        <v>4</v>
      </c>
      <c r="L12" s="113">
        <v>4</v>
      </c>
      <c r="M12" s="113">
        <v>4</v>
      </c>
      <c r="N12" s="113">
        <f t="shared" ref="N12:N33" si="0">2*H12</f>
        <v>8</v>
      </c>
      <c r="O12" s="113">
        <f t="shared" ref="O12:O33" si="1">2*H12</f>
        <v>8</v>
      </c>
      <c r="P12" s="113">
        <v>4</v>
      </c>
      <c r="Q12" s="113">
        <v>3</v>
      </c>
      <c r="R12" s="113">
        <v>3</v>
      </c>
      <c r="S12" s="113">
        <v>4</v>
      </c>
      <c r="T12" s="113">
        <v>3</v>
      </c>
      <c r="U12" s="113">
        <v>3</v>
      </c>
      <c r="V12" s="113">
        <v>3</v>
      </c>
      <c r="W12" s="94"/>
      <c r="X12" s="94"/>
      <c r="Y12" s="95">
        <v>45884</v>
      </c>
    </row>
    <row r="13" spans="1:25" s="83" customFormat="1">
      <c r="A13" s="169" t="s">
        <v>107</v>
      </c>
      <c r="B13" s="170">
        <v>119</v>
      </c>
      <c r="C13" s="171" t="s">
        <v>101</v>
      </c>
      <c r="D13" s="171" t="s">
        <v>102</v>
      </c>
      <c r="E13" s="172">
        <v>4</v>
      </c>
      <c r="F13" s="113">
        <v>5</v>
      </c>
      <c r="G13" s="113">
        <v>1</v>
      </c>
      <c r="H13" s="113">
        <v>5</v>
      </c>
      <c r="I13" s="113">
        <v>4</v>
      </c>
      <c r="J13" s="113">
        <v>5</v>
      </c>
      <c r="K13" s="113">
        <v>6</v>
      </c>
      <c r="L13" s="113">
        <v>5</v>
      </c>
      <c r="M13" s="113">
        <v>5</v>
      </c>
      <c r="N13" s="113">
        <v>1</v>
      </c>
      <c r="O13" s="113">
        <f t="shared" si="1"/>
        <v>10</v>
      </c>
      <c r="P13" s="113">
        <v>5</v>
      </c>
      <c r="Q13" s="113">
        <v>4</v>
      </c>
      <c r="R13" s="113">
        <v>4</v>
      </c>
      <c r="S13" s="113">
        <v>5</v>
      </c>
      <c r="T13" s="113">
        <v>4</v>
      </c>
      <c r="U13" s="113">
        <v>4</v>
      </c>
      <c r="V13" s="113">
        <v>4</v>
      </c>
      <c r="W13" s="94"/>
      <c r="X13" s="94"/>
      <c r="Y13" s="95">
        <v>45884</v>
      </c>
    </row>
    <row r="14" spans="1:25" s="83" customFormat="1">
      <c r="A14" s="169" t="s">
        <v>107</v>
      </c>
      <c r="B14" s="170">
        <v>118</v>
      </c>
      <c r="C14" s="171" t="s">
        <v>100</v>
      </c>
      <c r="D14" s="171" t="s">
        <v>103</v>
      </c>
      <c r="E14" s="172">
        <v>4</v>
      </c>
      <c r="F14" s="113">
        <v>4</v>
      </c>
      <c r="G14" s="113"/>
      <c r="H14" s="113">
        <v>4</v>
      </c>
      <c r="I14" s="113">
        <v>3</v>
      </c>
      <c r="J14" s="113">
        <v>4</v>
      </c>
      <c r="K14" s="113">
        <v>4</v>
      </c>
      <c r="L14" s="113">
        <v>4</v>
      </c>
      <c r="M14" s="113">
        <v>4</v>
      </c>
      <c r="N14" s="113">
        <f t="shared" si="0"/>
        <v>8</v>
      </c>
      <c r="O14" s="113">
        <f t="shared" si="1"/>
        <v>8</v>
      </c>
      <c r="P14" s="113">
        <v>4</v>
      </c>
      <c r="Q14" s="113">
        <v>3</v>
      </c>
      <c r="R14" s="113">
        <v>3</v>
      </c>
      <c r="S14" s="113">
        <v>4</v>
      </c>
      <c r="T14" s="113">
        <v>3</v>
      </c>
      <c r="U14" s="113">
        <v>3</v>
      </c>
      <c r="V14" s="113">
        <v>3</v>
      </c>
      <c r="W14" s="94"/>
      <c r="X14" s="94"/>
      <c r="Y14" s="95">
        <v>45884</v>
      </c>
    </row>
    <row r="15" spans="1:25" s="83" customFormat="1">
      <c r="A15" s="169" t="s">
        <v>108</v>
      </c>
      <c r="B15" s="170">
        <v>55</v>
      </c>
      <c r="C15" s="171" t="s">
        <v>101</v>
      </c>
      <c r="D15" s="171" t="s">
        <v>104</v>
      </c>
      <c r="E15" s="172">
        <v>4</v>
      </c>
      <c r="F15" s="113">
        <v>5</v>
      </c>
      <c r="G15" s="113">
        <v>1</v>
      </c>
      <c r="H15" s="113">
        <v>5</v>
      </c>
      <c r="I15" s="113">
        <v>4</v>
      </c>
      <c r="J15" s="113">
        <v>5</v>
      </c>
      <c r="K15" s="113">
        <v>6</v>
      </c>
      <c r="L15" s="113">
        <v>5</v>
      </c>
      <c r="M15" s="113">
        <v>5</v>
      </c>
      <c r="N15" s="113">
        <v>1</v>
      </c>
      <c r="O15" s="113">
        <f t="shared" si="1"/>
        <v>10</v>
      </c>
      <c r="P15" s="113">
        <v>5</v>
      </c>
      <c r="Q15" s="113">
        <v>4</v>
      </c>
      <c r="R15" s="113">
        <v>4</v>
      </c>
      <c r="S15" s="113">
        <v>5</v>
      </c>
      <c r="T15" s="113">
        <v>4</v>
      </c>
      <c r="U15" s="113">
        <v>4</v>
      </c>
      <c r="V15" s="113">
        <v>4</v>
      </c>
      <c r="W15" s="94"/>
      <c r="X15" s="94"/>
      <c r="Y15" s="95">
        <v>45898</v>
      </c>
    </row>
    <row r="16" spans="1:25" s="83" customFormat="1">
      <c r="A16" s="169" t="s">
        <v>108</v>
      </c>
      <c r="B16" s="170">
        <v>85</v>
      </c>
      <c r="C16" s="171" t="s">
        <v>101</v>
      </c>
      <c r="D16" s="171" t="s">
        <v>102</v>
      </c>
      <c r="E16" s="172">
        <v>4</v>
      </c>
      <c r="F16" s="113">
        <v>5</v>
      </c>
      <c r="G16" s="113">
        <v>1</v>
      </c>
      <c r="H16" s="113">
        <v>5</v>
      </c>
      <c r="I16" s="113">
        <v>4</v>
      </c>
      <c r="J16" s="113">
        <v>5</v>
      </c>
      <c r="K16" s="113">
        <v>6</v>
      </c>
      <c r="L16" s="113">
        <v>5</v>
      </c>
      <c r="M16" s="113">
        <v>5</v>
      </c>
      <c r="N16" s="113">
        <v>1</v>
      </c>
      <c r="O16" s="113">
        <f t="shared" si="1"/>
        <v>10</v>
      </c>
      <c r="P16" s="113">
        <v>5</v>
      </c>
      <c r="Q16" s="113">
        <v>4</v>
      </c>
      <c r="R16" s="113">
        <v>4</v>
      </c>
      <c r="S16" s="113">
        <v>5</v>
      </c>
      <c r="T16" s="113">
        <v>4</v>
      </c>
      <c r="U16" s="113">
        <v>4</v>
      </c>
      <c r="V16" s="113">
        <v>4</v>
      </c>
      <c r="W16" s="94"/>
      <c r="X16" s="94"/>
      <c r="Y16" s="95">
        <v>45898</v>
      </c>
    </row>
    <row r="17" spans="1:25" s="83" customFormat="1">
      <c r="A17" s="173" t="s">
        <v>108</v>
      </c>
      <c r="B17" s="174">
        <v>56</v>
      </c>
      <c r="C17" s="175" t="s">
        <v>100</v>
      </c>
      <c r="D17" s="175" t="s">
        <v>103</v>
      </c>
      <c r="E17" s="176">
        <v>4</v>
      </c>
      <c r="F17" s="113">
        <v>4</v>
      </c>
      <c r="G17" s="113"/>
      <c r="H17" s="113">
        <v>4</v>
      </c>
      <c r="I17" s="113">
        <v>3</v>
      </c>
      <c r="J17" s="113">
        <v>4</v>
      </c>
      <c r="K17" s="113">
        <v>4</v>
      </c>
      <c r="L17" s="113">
        <v>4</v>
      </c>
      <c r="M17" s="113">
        <v>4</v>
      </c>
      <c r="N17" s="113">
        <f t="shared" si="0"/>
        <v>8</v>
      </c>
      <c r="O17" s="113">
        <f t="shared" si="1"/>
        <v>8</v>
      </c>
      <c r="P17" s="113">
        <v>4</v>
      </c>
      <c r="Q17" s="113">
        <v>3</v>
      </c>
      <c r="R17" s="113">
        <v>3</v>
      </c>
      <c r="S17" s="113">
        <v>4</v>
      </c>
      <c r="T17" s="113">
        <v>3</v>
      </c>
      <c r="U17" s="113">
        <v>3</v>
      </c>
      <c r="V17" s="113">
        <v>3</v>
      </c>
      <c r="W17" s="94"/>
      <c r="X17" s="94"/>
      <c r="Y17" s="95">
        <v>45898</v>
      </c>
    </row>
    <row r="18" spans="1:25" s="83" customFormat="1">
      <c r="A18" s="173" t="s">
        <v>108</v>
      </c>
      <c r="B18" s="174">
        <v>84</v>
      </c>
      <c r="C18" s="175" t="s">
        <v>100</v>
      </c>
      <c r="D18" s="175" t="s">
        <v>103</v>
      </c>
      <c r="E18" s="176">
        <v>4</v>
      </c>
      <c r="F18" s="113">
        <v>4</v>
      </c>
      <c r="G18" s="113"/>
      <c r="H18" s="113">
        <v>4</v>
      </c>
      <c r="I18" s="113">
        <v>3</v>
      </c>
      <c r="J18" s="113">
        <v>4</v>
      </c>
      <c r="K18" s="113">
        <v>4</v>
      </c>
      <c r="L18" s="113">
        <v>4</v>
      </c>
      <c r="M18" s="113">
        <v>4</v>
      </c>
      <c r="N18" s="113">
        <f t="shared" si="0"/>
        <v>8</v>
      </c>
      <c r="O18" s="113">
        <f t="shared" si="1"/>
        <v>8</v>
      </c>
      <c r="P18" s="113">
        <v>4</v>
      </c>
      <c r="Q18" s="113">
        <v>3</v>
      </c>
      <c r="R18" s="113">
        <v>3</v>
      </c>
      <c r="S18" s="113">
        <v>4</v>
      </c>
      <c r="T18" s="113">
        <v>3</v>
      </c>
      <c r="U18" s="113">
        <v>3</v>
      </c>
      <c r="V18" s="113">
        <v>3</v>
      </c>
      <c r="W18" s="94"/>
      <c r="X18" s="94"/>
      <c r="Y18" s="95">
        <v>45898</v>
      </c>
    </row>
    <row r="19" spans="1:25" s="83" customFormat="1">
      <c r="A19" s="91" t="s">
        <v>108</v>
      </c>
      <c r="B19" s="112">
        <v>57</v>
      </c>
      <c r="C19" s="92" t="s">
        <v>101</v>
      </c>
      <c r="D19" s="92" t="s">
        <v>102</v>
      </c>
      <c r="E19" s="113">
        <v>4</v>
      </c>
      <c r="F19" s="113">
        <v>5</v>
      </c>
      <c r="G19" s="113">
        <v>1</v>
      </c>
      <c r="H19" s="113">
        <v>5</v>
      </c>
      <c r="I19" s="113">
        <v>4</v>
      </c>
      <c r="J19" s="113">
        <v>5</v>
      </c>
      <c r="K19" s="113">
        <v>6</v>
      </c>
      <c r="L19" s="113">
        <v>5</v>
      </c>
      <c r="M19" s="113">
        <v>5</v>
      </c>
      <c r="N19" s="113">
        <v>1</v>
      </c>
      <c r="O19" s="113">
        <f t="shared" si="1"/>
        <v>10</v>
      </c>
      <c r="P19" s="113">
        <v>5</v>
      </c>
      <c r="Q19" s="113">
        <v>4</v>
      </c>
      <c r="R19" s="113">
        <v>4</v>
      </c>
      <c r="S19" s="113">
        <v>5</v>
      </c>
      <c r="T19" s="113">
        <v>4</v>
      </c>
      <c r="U19" s="113">
        <v>4</v>
      </c>
      <c r="V19" s="113">
        <v>4</v>
      </c>
      <c r="W19" s="94"/>
      <c r="X19" s="94"/>
      <c r="Y19" s="95">
        <v>45898</v>
      </c>
    </row>
    <row r="20" spans="1:25" s="83" customFormat="1">
      <c r="A20" s="91" t="s">
        <v>108</v>
      </c>
      <c r="B20" s="112">
        <v>83</v>
      </c>
      <c r="C20" s="92" t="s">
        <v>101</v>
      </c>
      <c r="D20" s="92" t="s">
        <v>102</v>
      </c>
      <c r="E20" s="113">
        <v>4</v>
      </c>
      <c r="F20" s="113">
        <v>5</v>
      </c>
      <c r="G20" s="113">
        <v>1</v>
      </c>
      <c r="H20" s="113">
        <v>5</v>
      </c>
      <c r="I20" s="113">
        <v>4</v>
      </c>
      <c r="J20" s="113">
        <v>5</v>
      </c>
      <c r="K20" s="113">
        <v>6</v>
      </c>
      <c r="L20" s="113">
        <v>5</v>
      </c>
      <c r="M20" s="113">
        <v>5</v>
      </c>
      <c r="N20" s="113">
        <v>1</v>
      </c>
      <c r="O20" s="113">
        <f t="shared" si="1"/>
        <v>10</v>
      </c>
      <c r="P20" s="113">
        <v>5</v>
      </c>
      <c r="Q20" s="113">
        <v>4</v>
      </c>
      <c r="R20" s="113">
        <v>4</v>
      </c>
      <c r="S20" s="113">
        <v>5</v>
      </c>
      <c r="T20" s="113">
        <v>4</v>
      </c>
      <c r="U20" s="113">
        <v>4</v>
      </c>
      <c r="V20" s="113">
        <v>4</v>
      </c>
      <c r="W20" s="94"/>
      <c r="X20" s="94"/>
      <c r="Y20" s="95">
        <v>45898</v>
      </c>
    </row>
    <row r="21" spans="1:25" s="83" customFormat="1">
      <c r="A21" s="91" t="s">
        <v>108</v>
      </c>
      <c r="B21" s="112">
        <v>58</v>
      </c>
      <c r="C21" s="92" t="s">
        <v>100</v>
      </c>
      <c r="D21" s="92" t="s">
        <v>103</v>
      </c>
      <c r="E21" s="113">
        <v>4</v>
      </c>
      <c r="F21" s="113">
        <v>4</v>
      </c>
      <c r="G21" s="113"/>
      <c r="H21" s="113">
        <v>4</v>
      </c>
      <c r="I21" s="113">
        <v>3</v>
      </c>
      <c r="J21" s="113">
        <v>4</v>
      </c>
      <c r="K21" s="113">
        <v>4</v>
      </c>
      <c r="L21" s="113">
        <v>4</v>
      </c>
      <c r="M21" s="113">
        <v>4</v>
      </c>
      <c r="N21" s="113">
        <f t="shared" si="0"/>
        <v>8</v>
      </c>
      <c r="O21" s="113">
        <f t="shared" si="1"/>
        <v>8</v>
      </c>
      <c r="P21" s="113">
        <v>4</v>
      </c>
      <c r="Q21" s="113">
        <v>3</v>
      </c>
      <c r="R21" s="113">
        <v>3</v>
      </c>
      <c r="S21" s="113">
        <v>4</v>
      </c>
      <c r="T21" s="113">
        <v>3</v>
      </c>
      <c r="U21" s="113">
        <v>3</v>
      </c>
      <c r="V21" s="113">
        <v>3</v>
      </c>
      <c r="W21" s="94"/>
      <c r="X21" s="94"/>
      <c r="Y21" s="95">
        <v>45912</v>
      </c>
    </row>
    <row r="22" spans="1:25" s="83" customFormat="1">
      <c r="A22" s="91" t="s">
        <v>108</v>
      </c>
      <c r="B22" s="112">
        <v>82</v>
      </c>
      <c r="C22" s="92" t="s">
        <v>100</v>
      </c>
      <c r="D22" s="92" t="s">
        <v>103</v>
      </c>
      <c r="E22" s="113">
        <v>4</v>
      </c>
      <c r="F22" s="113">
        <v>4</v>
      </c>
      <c r="G22" s="113"/>
      <c r="H22" s="113">
        <v>4</v>
      </c>
      <c r="I22" s="113">
        <v>3</v>
      </c>
      <c r="J22" s="113">
        <v>4</v>
      </c>
      <c r="K22" s="113">
        <v>4</v>
      </c>
      <c r="L22" s="113">
        <v>4</v>
      </c>
      <c r="M22" s="113">
        <v>4</v>
      </c>
      <c r="N22" s="113">
        <f t="shared" si="0"/>
        <v>8</v>
      </c>
      <c r="O22" s="113">
        <f t="shared" si="1"/>
        <v>8</v>
      </c>
      <c r="P22" s="113">
        <v>4</v>
      </c>
      <c r="Q22" s="113">
        <v>3</v>
      </c>
      <c r="R22" s="113">
        <v>3</v>
      </c>
      <c r="S22" s="113">
        <v>4</v>
      </c>
      <c r="T22" s="113">
        <v>3</v>
      </c>
      <c r="U22" s="113">
        <v>3</v>
      </c>
      <c r="V22" s="113">
        <v>3</v>
      </c>
      <c r="W22" s="94"/>
      <c r="X22" s="94"/>
      <c r="Y22" s="95">
        <v>45912</v>
      </c>
    </row>
    <row r="23" spans="1:25" s="83" customFormat="1">
      <c r="A23" s="91" t="s">
        <v>108</v>
      </c>
      <c r="B23" s="112">
        <v>59</v>
      </c>
      <c r="C23" s="92" t="s">
        <v>101</v>
      </c>
      <c r="D23" s="92" t="s">
        <v>102</v>
      </c>
      <c r="E23" s="113">
        <v>4</v>
      </c>
      <c r="F23" s="113">
        <v>5</v>
      </c>
      <c r="G23" s="113">
        <v>1</v>
      </c>
      <c r="H23" s="113">
        <v>5</v>
      </c>
      <c r="I23" s="113">
        <v>4</v>
      </c>
      <c r="J23" s="113">
        <v>5</v>
      </c>
      <c r="K23" s="113">
        <v>6</v>
      </c>
      <c r="L23" s="113">
        <v>5</v>
      </c>
      <c r="M23" s="113">
        <v>5</v>
      </c>
      <c r="N23" s="113">
        <v>1</v>
      </c>
      <c r="O23" s="113">
        <f t="shared" si="1"/>
        <v>10</v>
      </c>
      <c r="P23" s="113">
        <v>5</v>
      </c>
      <c r="Q23" s="113">
        <v>4</v>
      </c>
      <c r="R23" s="113">
        <v>4</v>
      </c>
      <c r="S23" s="113">
        <v>5</v>
      </c>
      <c r="T23" s="113">
        <v>4</v>
      </c>
      <c r="U23" s="113">
        <v>4</v>
      </c>
      <c r="V23" s="113">
        <v>4</v>
      </c>
      <c r="W23" s="94"/>
      <c r="X23" s="94"/>
      <c r="Y23" s="95">
        <v>45912</v>
      </c>
    </row>
    <row r="24" spans="1:25" s="83" customFormat="1">
      <c r="A24" s="91" t="s">
        <v>108</v>
      </c>
      <c r="B24" s="114">
        <v>81</v>
      </c>
      <c r="C24" s="92" t="s">
        <v>101</v>
      </c>
      <c r="D24" s="92" t="s">
        <v>102</v>
      </c>
      <c r="E24" s="113">
        <v>4</v>
      </c>
      <c r="F24" s="113">
        <v>5</v>
      </c>
      <c r="G24" s="113">
        <v>1</v>
      </c>
      <c r="H24" s="113">
        <v>5</v>
      </c>
      <c r="I24" s="113">
        <v>4</v>
      </c>
      <c r="J24" s="113">
        <v>5</v>
      </c>
      <c r="K24" s="113">
        <v>6</v>
      </c>
      <c r="L24" s="113">
        <v>5</v>
      </c>
      <c r="M24" s="113">
        <v>5</v>
      </c>
      <c r="N24" s="113">
        <v>1</v>
      </c>
      <c r="O24" s="113">
        <f t="shared" si="1"/>
        <v>10</v>
      </c>
      <c r="P24" s="113">
        <v>5</v>
      </c>
      <c r="Q24" s="113">
        <v>4</v>
      </c>
      <c r="R24" s="113">
        <v>4</v>
      </c>
      <c r="S24" s="113">
        <v>5</v>
      </c>
      <c r="T24" s="113">
        <v>4</v>
      </c>
      <c r="U24" s="113">
        <v>4</v>
      </c>
      <c r="V24" s="113">
        <v>4</v>
      </c>
      <c r="W24" s="94"/>
      <c r="X24" s="94"/>
      <c r="Y24" s="95">
        <v>45912</v>
      </c>
    </row>
    <row r="25" spans="1:25" s="83" customFormat="1">
      <c r="A25" s="91" t="s">
        <v>108</v>
      </c>
      <c r="B25" s="114">
        <v>60</v>
      </c>
      <c r="C25" s="92" t="s">
        <v>100</v>
      </c>
      <c r="D25" s="92" t="s">
        <v>103</v>
      </c>
      <c r="E25" s="113">
        <v>4</v>
      </c>
      <c r="F25" s="113">
        <v>4</v>
      </c>
      <c r="G25" s="113"/>
      <c r="H25" s="113">
        <v>4</v>
      </c>
      <c r="I25" s="113">
        <v>3</v>
      </c>
      <c r="J25" s="113">
        <v>4</v>
      </c>
      <c r="K25" s="113">
        <v>4</v>
      </c>
      <c r="L25" s="113">
        <v>4</v>
      </c>
      <c r="M25" s="113">
        <v>4</v>
      </c>
      <c r="N25" s="113">
        <f t="shared" si="0"/>
        <v>8</v>
      </c>
      <c r="O25" s="113">
        <f t="shared" si="1"/>
        <v>8</v>
      </c>
      <c r="P25" s="113">
        <v>4</v>
      </c>
      <c r="Q25" s="113">
        <v>3</v>
      </c>
      <c r="R25" s="113">
        <v>3</v>
      </c>
      <c r="S25" s="113">
        <v>4</v>
      </c>
      <c r="T25" s="113">
        <v>3</v>
      </c>
      <c r="U25" s="113">
        <v>3</v>
      </c>
      <c r="V25" s="113">
        <v>3</v>
      </c>
      <c r="W25" s="94"/>
      <c r="X25" s="94"/>
      <c r="Y25" s="95">
        <v>45912</v>
      </c>
    </row>
    <row r="26" spans="1:25" s="83" customFormat="1">
      <c r="A26" s="91" t="s">
        <v>108</v>
      </c>
      <c r="B26" s="114">
        <v>80</v>
      </c>
      <c r="C26" s="92" t="s">
        <v>100</v>
      </c>
      <c r="D26" s="92" t="s">
        <v>103</v>
      </c>
      <c r="E26" s="113">
        <v>4</v>
      </c>
      <c r="F26" s="113">
        <v>4</v>
      </c>
      <c r="G26" s="113"/>
      <c r="H26" s="113">
        <v>4</v>
      </c>
      <c r="I26" s="113">
        <v>3</v>
      </c>
      <c r="J26" s="113">
        <v>4</v>
      </c>
      <c r="K26" s="113">
        <v>4</v>
      </c>
      <c r="L26" s="113">
        <v>4</v>
      </c>
      <c r="M26" s="113">
        <v>4</v>
      </c>
      <c r="N26" s="113">
        <f t="shared" si="0"/>
        <v>8</v>
      </c>
      <c r="O26" s="113">
        <f t="shared" si="1"/>
        <v>8</v>
      </c>
      <c r="P26" s="113">
        <v>4</v>
      </c>
      <c r="Q26" s="113">
        <v>3</v>
      </c>
      <c r="R26" s="113">
        <v>3</v>
      </c>
      <c r="S26" s="113">
        <v>4</v>
      </c>
      <c r="T26" s="113">
        <v>3</v>
      </c>
      <c r="U26" s="113">
        <v>3</v>
      </c>
      <c r="V26" s="113">
        <v>3</v>
      </c>
      <c r="W26" s="94"/>
      <c r="X26" s="94"/>
      <c r="Y26" s="95">
        <v>45912</v>
      </c>
    </row>
    <row r="27" spans="1:25" s="83" customFormat="1">
      <c r="A27" s="91" t="s">
        <v>108</v>
      </c>
      <c r="B27" s="114">
        <v>61</v>
      </c>
      <c r="C27" s="92" t="s">
        <v>101</v>
      </c>
      <c r="D27" s="92" t="s">
        <v>102</v>
      </c>
      <c r="E27" s="113">
        <v>4</v>
      </c>
      <c r="F27" s="113">
        <v>5</v>
      </c>
      <c r="G27" s="113">
        <v>1</v>
      </c>
      <c r="H27" s="113">
        <v>5</v>
      </c>
      <c r="I27" s="113">
        <v>4</v>
      </c>
      <c r="J27" s="113">
        <v>5</v>
      </c>
      <c r="K27" s="113">
        <v>6</v>
      </c>
      <c r="L27" s="113">
        <v>6</v>
      </c>
      <c r="M27" s="113">
        <v>6</v>
      </c>
      <c r="N27" s="113">
        <v>1</v>
      </c>
      <c r="O27" s="113">
        <f t="shared" si="1"/>
        <v>10</v>
      </c>
      <c r="P27" s="113">
        <v>5</v>
      </c>
      <c r="Q27" s="113">
        <v>4</v>
      </c>
      <c r="R27" s="113">
        <v>4</v>
      </c>
      <c r="S27" s="113">
        <v>5</v>
      </c>
      <c r="T27" s="113">
        <v>4</v>
      </c>
      <c r="U27" s="113">
        <v>4</v>
      </c>
      <c r="V27" s="113">
        <v>4</v>
      </c>
      <c r="W27" s="94"/>
      <c r="X27" s="94"/>
      <c r="Y27" s="95">
        <v>45926</v>
      </c>
    </row>
    <row r="28" spans="1:25" s="83" customFormat="1">
      <c r="A28" s="91" t="s">
        <v>108</v>
      </c>
      <c r="B28" s="114">
        <v>79</v>
      </c>
      <c r="C28" s="92" t="s">
        <v>101</v>
      </c>
      <c r="D28" s="92" t="s">
        <v>102</v>
      </c>
      <c r="E28" s="113">
        <v>4</v>
      </c>
      <c r="F28" s="113">
        <v>5</v>
      </c>
      <c r="G28" s="113">
        <v>1</v>
      </c>
      <c r="H28" s="113">
        <v>5</v>
      </c>
      <c r="I28" s="113">
        <v>4</v>
      </c>
      <c r="J28" s="113">
        <v>5</v>
      </c>
      <c r="K28" s="113">
        <v>6</v>
      </c>
      <c r="L28" s="113">
        <v>6</v>
      </c>
      <c r="M28" s="113">
        <v>6</v>
      </c>
      <c r="N28" s="113">
        <v>1</v>
      </c>
      <c r="O28" s="113">
        <f t="shared" si="1"/>
        <v>10</v>
      </c>
      <c r="P28" s="113">
        <v>5</v>
      </c>
      <c r="Q28" s="113">
        <v>4</v>
      </c>
      <c r="R28" s="113">
        <v>4</v>
      </c>
      <c r="S28" s="113">
        <v>5</v>
      </c>
      <c r="T28" s="113">
        <v>4</v>
      </c>
      <c r="U28" s="113">
        <v>4</v>
      </c>
      <c r="V28" s="113">
        <v>4</v>
      </c>
      <c r="W28" s="94"/>
      <c r="X28" s="94"/>
      <c r="Y28" s="95">
        <v>45926</v>
      </c>
    </row>
    <row r="29" spans="1:25" s="83" customFormat="1">
      <c r="A29" s="91" t="s">
        <v>108</v>
      </c>
      <c r="B29" s="114">
        <v>62</v>
      </c>
      <c r="C29" s="92" t="s">
        <v>100</v>
      </c>
      <c r="D29" s="92" t="s">
        <v>103</v>
      </c>
      <c r="E29" s="113">
        <v>4</v>
      </c>
      <c r="F29" s="113">
        <v>4</v>
      </c>
      <c r="G29" s="113"/>
      <c r="H29" s="113">
        <v>4</v>
      </c>
      <c r="I29" s="113">
        <v>3</v>
      </c>
      <c r="J29" s="113">
        <v>4</v>
      </c>
      <c r="K29" s="113">
        <v>4</v>
      </c>
      <c r="L29" s="113">
        <v>4</v>
      </c>
      <c r="M29" s="113">
        <v>4</v>
      </c>
      <c r="N29" s="113">
        <f t="shared" si="0"/>
        <v>8</v>
      </c>
      <c r="O29" s="113">
        <f t="shared" si="1"/>
        <v>8</v>
      </c>
      <c r="P29" s="113">
        <v>4</v>
      </c>
      <c r="Q29" s="113">
        <v>3</v>
      </c>
      <c r="R29" s="113">
        <v>3</v>
      </c>
      <c r="S29" s="113">
        <v>4</v>
      </c>
      <c r="T29" s="113">
        <v>3</v>
      </c>
      <c r="U29" s="113">
        <v>3</v>
      </c>
      <c r="V29" s="113">
        <v>3</v>
      </c>
      <c r="W29" s="94"/>
      <c r="X29" s="94"/>
      <c r="Y29" s="95">
        <v>45926</v>
      </c>
    </row>
    <row r="30" spans="1:25" s="83" customFormat="1">
      <c r="A30" s="91" t="s">
        <v>108</v>
      </c>
      <c r="B30" s="115">
        <v>78</v>
      </c>
      <c r="C30" s="92" t="s">
        <v>100</v>
      </c>
      <c r="D30" s="92" t="s">
        <v>103</v>
      </c>
      <c r="E30" s="113">
        <v>4</v>
      </c>
      <c r="F30" s="113">
        <v>4</v>
      </c>
      <c r="G30" s="113"/>
      <c r="H30" s="113">
        <v>4</v>
      </c>
      <c r="I30" s="113">
        <v>3</v>
      </c>
      <c r="J30" s="113">
        <v>4</v>
      </c>
      <c r="K30" s="113">
        <v>4</v>
      </c>
      <c r="L30" s="113">
        <v>4</v>
      </c>
      <c r="M30" s="113">
        <v>4</v>
      </c>
      <c r="N30" s="113">
        <f t="shared" si="0"/>
        <v>8</v>
      </c>
      <c r="O30" s="113">
        <f t="shared" si="1"/>
        <v>8</v>
      </c>
      <c r="P30" s="113">
        <v>4</v>
      </c>
      <c r="Q30" s="113">
        <v>3</v>
      </c>
      <c r="R30" s="113">
        <v>3</v>
      </c>
      <c r="S30" s="113">
        <v>4</v>
      </c>
      <c r="T30" s="113">
        <v>3</v>
      </c>
      <c r="U30" s="113">
        <v>3</v>
      </c>
      <c r="V30" s="113">
        <v>3</v>
      </c>
      <c r="W30" s="94"/>
      <c r="X30" s="94"/>
      <c r="Y30" s="95">
        <v>45926</v>
      </c>
    </row>
    <row r="31" spans="1:25" s="83" customFormat="1">
      <c r="A31" s="91" t="s">
        <v>108</v>
      </c>
      <c r="B31" s="114">
        <v>63</v>
      </c>
      <c r="C31" s="92" t="s">
        <v>101</v>
      </c>
      <c r="D31" s="92" t="s">
        <v>102</v>
      </c>
      <c r="E31" s="113">
        <v>4</v>
      </c>
      <c r="F31" s="113">
        <v>5</v>
      </c>
      <c r="G31" s="113">
        <v>1</v>
      </c>
      <c r="H31" s="113">
        <v>5</v>
      </c>
      <c r="I31" s="113">
        <v>4</v>
      </c>
      <c r="J31" s="113">
        <v>5</v>
      </c>
      <c r="K31" s="113">
        <v>6</v>
      </c>
      <c r="L31" s="113">
        <v>5</v>
      </c>
      <c r="M31" s="113">
        <v>5</v>
      </c>
      <c r="N31" s="113">
        <v>1</v>
      </c>
      <c r="O31" s="113">
        <f t="shared" si="1"/>
        <v>10</v>
      </c>
      <c r="P31" s="113">
        <v>5</v>
      </c>
      <c r="Q31" s="113">
        <v>4</v>
      </c>
      <c r="R31" s="113">
        <v>4</v>
      </c>
      <c r="S31" s="113">
        <v>5</v>
      </c>
      <c r="T31" s="113">
        <v>4</v>
      </c>
      <c r="U31" s="113">
        <v>4</v>
      </c>
      <c r="V31" s="113">
        <v>4</v>
      </c>
      <c r="W31" s="94"/>
      <c r="X31" s="94"/>
      <c r="Y31" s="95">
        <v>45926</v>
      </c>
    </row>
    <row r="32" spans="1:25" s="83" customFormat="1">
      <c r="A32" s="91" t="s">
        <v>108</v>
      </c>
      <c r="B32" s="114">
        <v>77</v>
      </c>
      <c r="C32" s="92" t="s">
        <v>101</v>
      </c>
      <c r="D32" s="92" t="s">
        <v>102</v>
      </c>
      <c r="E32" s="113">
        <v>4</v>
      </c>
      <c r="F32" s="113">
        <v>5</v>
      </c>
      <c r="G32" s="113">
        <v>1</v>
      </c>
      <c r="H32" s="113">
        <v>5</v>
      </c>
      <c r="I32" s="113">
        <v>4</v>
      </c>
      <c r="J32" s="113">
        <v>5</v>
      </c>
      <c r="K32" s="113">
        <v>6</v>
      </c>
      <c r="L32" s="113">
        <v>5</v>
      </c>
      <c r="M32" s="113">
        <v>5</v>
      </c>
      <c r="N32" s="113">
        <v>1</v>
      </c>
      <c r="O32" s="113">
        <f t="shared" si="1"/>
        <v>10</v>
      </c>
      <c r="P32" s="113">
        <v>5</v>
      </c>
      <c r="Q32" s="113">
        <v>4</v>
      </c>
      <c r="R32" s="113">
        <v>4</v>
      </c>
      <c r="S32" s="113">
        <v>5</v>
      </c>
      <c r="T32" s="113">
        <v>4</v>
      </c>
      <c r="U32" s="113">
        <v>4</v>
      </c>
      <c r="V32" s="113">
        <v>4</v>
      </c>
      <c r="W32" s="94"/>
      <c r="X32" s="94"/>
      <c r="Y32" s="95">
        <v>45926</v>
      </c>
    </row>
    <row r="33" spans="1:25" s="83" customFormat="1">
      <c r="A33" s="91" t="s">
        <v>108</v>
      </c>
      <c r="B33" s="114">
        <v>64</v>
      </c>
      <c r="C33" s="92" t="s">
        <v>100</v>
      </c>
      <c r="D33" s="92" t="s">
        <v>103</v>
      </c>
      <c r="E33" s="113">
        <v>4</v>
      </c>
      <c r="F33" s="113">
        <v>4</v>
      </c>
      <c r="G33" s="113"/>
      <c r="H33" s="113">
        <v>4</v>
      </c>
      <c r="I33" s="113">
        <v>3</v>
      </c>
      <c r="J33" s="113">
        <v>4</v>
      </c>
      <c r="K33" s="113">
        <v>4</v>
      </c>
      <c r="L33" s="113">
        <v>4</v>
      </c>
      <c r="M33" s="113">
        <v>4</v>
      </c>
      <c r="N33" s="113">
        <f t="shared" si="0"/>
        <v>8</v>
      </c>
      <c r="O33" s="113">
        <f t="shared" si="1"/>
        <v>8</v>
      </c>
      <c r="P33" s="113">
        <v>4</v>
      </c>
      <c r="Q33" s="113">
        <v>3</v>
      </c>
      <c r="R33" s="113">
        <v>3</v>
      </c>
      <c r="S33" s="113">
        <v>4</v>
      </c>
      <c r="T33" s="113">
        <v>3</v>
      </c>
      <c r="U33" s="113">
        <v>3</v>
      </c>
      <c r="V33" s="113">
        <v>3</v>
      </c>
      <c r="W33" s="94"/>
      <c r="X33" s="94"/>
      <c r="Y33" s="95">
        <v>45926</v>
      </c>
    </row>
    <row r="34" spans="1:25" s="83" customFormat="1">
      <c r="A34" s="91"/>
      <c r="B34" s="114"/>
      <c r="C34" s="92"/>
      <c r="D34" s="92"/>
      <c r="E34" s="113"/>
      <c r="F34" s="113"/>
      <c r="G34" s="113"/>
      <c r="H34" s="113"/>
      <c r="I34" s="113"/>
      <c r="J34" s="113"/>
      <c r="K34" s="113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94"/>
      <c r="X34" s="94"/>
      <c r="Y34" s="95"/>
    </row>
    <row r="35" spans="1:25" s="83" customFormat="1" ht="16.2">
      <c r="C35" s="83" t="s">
        <v>97</v>
      </c>
      <c r="E35" s="116">
        <f>SUM(E11:E34)</f>
        <v>92</v>
      </c>
      <c r="F35" s="116">
        <f>SUM(F11:F34)</f>
        <v>104</v>
      </c>
      <c r="G35" s="116"/>
      <c r="H35" s="116">
        <f t="shared" ref="H35:V35" si="2">SUM(H11:H34)</f>
        <v>104</v>
      </c>
      <c r="I35" s="116">
        <f t="shared" si="2"/>
        <v>81</v>
      </c>
      <c r="J35" s="116">
        <f t="shared" si="2"/>
        <v>104</v>
      </c>
      <c r="K35" s="116">
        <f t="shared" si="2"/>
        <v>116</v>
      </c>
      <c r="L35" s="116">
        <f t="shared" si="2"/>
        <v>106</v>
      </c>
      <c r="M35" s="116">
        <f t="shared" si="2"/>
        <v>106</v>
      </c>
      <c r="N35" s="116">
        <f t="shared" si="2"/>
        <v>100</v>
      </c>
      <c r="O35" s="116">
        <f t="shared" si="2"/>
        <v>208</v>
      </c>
      <c r="P35" s="116">
        <f t="shared" si="2"/>
        <v>104</v>
      </c>
      <c r="Q35" s="116">
        <f t="shared" si="2"/>
        <v>81</v>
      </c>
      <c r="R35" s="116">
        <f t="shared" si="2"/>
        <v>81</v>
      </c>
      <c r="S35" s="116">
        <f t="shared" si="2"/>
        <v>104</v>
      </c>
      <c r="T35" s="116">
        <f t="shared" si="2"/>
        <v>81</v>
      </c>
      <c r="U35" s="116">
        <f t="shared" si="2"/>
        <v>81</v>
      </c>
      <c r="V35" s="116">
        <f t="shared" si="2"/>
        <v>81</v>
      </c>
      <c r="X35" s="117">
        <f>SUM(X11:X34)</f>
        <v>0</v>
      </c>
    </row>
    <row r="36" spans="1:25" s="83" customFormat="1">
      <c r="E36" s="118"/>
      <c r="F36" s="118"/>
      <c r="G36" s="118"/>
      <c r="H36" s="118"/>
      <c r="I36" s="118"/>
      <c r="J36" s="118"/>
      <c r="K36" s="118"/>
      <c r="L36" s="118"/>
      <c r="M36" s="118"/>
      <c r="N36" s="118"/>
      <c r="O36" s="118"/>
      <c r="P36" s="118"/>
      <c r="Q36" s="118"/>
      <c r="R36" s="118"/>
      <c r="S36" s="118"/>
      <c r="T36" s="118">
        <v>28</v>
      </c>
      <c r="U36" s="118"/>
      <c r="V36" s="118"/>
    </row>
    <row r="37" spans="1:25" s="83" customFormat="1" ht="16.2">
      <c r="X37" s="119"/>
    </row>
    <row r="38" spans="1:25" s="83" customFormat="1"/>
    <row r="39" spans="1:25" s="83" customFormat="1"/>
    <row r="40" spans="1:25">
      <c r="A40" s="83"/>
      <c r="B40"/>
      <c r="C40"/>
      <c r="D40" s="187" t="s">
        <v>217</v>
      </c>
      <c r="E40" s="188"/>
      <c r="F40" s="188"/>
      <c r="G40" s="188"/>
      <c r="H40" s="188"/>
      <c r="I40" s="189">
        <v>219.29</v>
      </c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  <row r="41" spans="1:25">
      <c r="A41" s="83"/>
      <c r="B41"/>
      <c r="C41"/>
      <c r="D41" s="181" t="s">
        <v>218</v>
      </c>
      <c r="E41" s="182"/>
      <c r="F41" s="182"/>
      <c r="G41" s="182"/>
      <c r="H41" s="182"/>
      <c r="I41" s="190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</row>
    <row r="42" spans="1:25">
      <c r="A42" s="83"/>
      <c r="B42"/>
      <c r="C42"/>
      <c r="D42" s="181" t="s">
        <v>219</v>
      </c>
      <c r="E42" s="182"/>
      <c r="F42" s="182"/>
      <c r="G42" s="182"/>
      <c r="H42" s="182"/>
      <c r="I42" s="190"/>
      <c r="J42">
        <v>325.56</v>
      </c>
      <c r="K42" s="164">
        <f>+I40-J42</f>
        <v>-106.27000000000001</v>
      </c>
      <c r="L42"/>
      <c r="M42"/>
      <c r="N42"/>
      <c r="O42"/>
      <c r="P42"/>
      <c r="Q42"/>
      <c r="R42"/>
      <c r="S42"/>
      <c r="T42"/>
      <c r="U42"/>
      <c r="V42"/>
      <c r="W42"/>
      <c r="X42"/>
      <c r="Y42"/>
    </row>
    <row r="43" spans="1:25">
      <c r="A43" s="83"/>
      <c r="B43"/>
      <c r="C43"/>
      <c r="D43" s="181" t="s">
        <v>220</v>
      </c>
      <c r="E43" s="182"/>
      <c r="F43" s="182"/>
      <c r="G43" s="182"/>
      <c r="H43" s="182"/>
      <c r="I43" s="190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</row>
    <row r="44" spans="1:25">
      <c r="A44" s="83"/>
      <c r="B44"/>
      <c r="C44"/>
      <c r="D44" s="162"/>
      <c r="E44" s="182" t="s">
        <v>221</v>
      </c>
      <c r="F44" s="182"/>
      <c r="G44" s="182"/>
      <c r="H44" s="182"/>
      <c r="I44" s="190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</row>
    <row r="45" spans="1:25">
      <c r="A45" s="83"/>
      <c r="B45"/>
      <c r="C45"/>
      <c r="D45" s="163"/>
      <c r="E45" s="192" t="s">
        <v>222</v>
      </c>
      <c r="F45" s="192"/>
      <c r="G45" s="192"/>
      <c r="H45" s="192"/>
      <c r="I45" s="191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</row>
    <row r="46" spans="1:25">
      <c r="E46" s="179" t="s">
        <v>223</v>
      </c>
      <c r="F46" s="179"/>
      <c r="G46" s="179"/>
      <c r="H46" s="179"/>
      <c r="I46" s="161">
        <f>84.87*2</f>
        <v>169.74</v>
      </c>
    </row>
    <row r="47" spans="1:25">
      <c r="E47" s="179" t="s">
        <v>224</v>
      </c>
      <c r="F47" s="179"/>
      <c r="G47" s="179"/>
      <c r="H47" s="179"/>
      <c r="I47" s="161">
        <f>44.8*2</f>
        <v>89.6</v>
      </c>
    </row>
    <row r="48" spans="1:25">
      <c r="E48" s="179" t="s">
        <v>234</v>
      </c>
      <c r="F48" s="179"/>
      <c r="G48" s="179"/>
      <c r="H48" s="179"/>
      <c r="I48" s="161">
        <v>3.81</v>
      </c>
      <c r="J48" s="101">
        <f>+I46+I47+I48+I49</f>
        <v>316.59000000000003</v>
      </c>
    </row>
    <row r="49" spans="5:11">
      <c r="E49" s="179" t="s">
        <v>232</v>
      </c>
      <c r="F49" s="179"/>
      <c r="G49" s="179"/>
      <c r="H49" s="179"/>
      <c r="I49" s="161">
        <v>53.44</v>
      </c>
    </row>
    <row r="50" spans="5:11">
      <c r="E50" s="160"/>
      <c r="F50" s="160"/>
      <c r="G50" s="160"/>
      <c r="H50" s="160"/>
      <c r="I50" s="161">
        <f>SUM(I46:I49)</f>
        <v>316.59000000000003</v>
      </c>
      <c r="J50" s="167">
        <f>+I40-I50</f>
        <v>-97.30000000000004</v>
      </c>
    </row>
    <row r="51" spans="5:11">
      <c r="E51" s="179" t="s">
        <v>226</v>
      </c>
      <c r="F51" s="179"/>
      <c r="G51" s="179"/>
      <c r="H51" s="179"/>
      <c r="I51" s="161">
        <v>196.81</v>
      </c>
    </row>
    <row r="52" spans="5:11">
      <c r="E52" s="179" t="s">
        <v>227</v>
      </c>
      <c r="F52" s="179"/>
      <c r="G52" s="179"/>
      <c r="H52" s="179"/>
      <c r="I52" s="161">
        <v>150.25</v>
      </c>
    </row>
    <row r="53" spans="5:11">
      <c r="E53" s="179" t="s">
        <v>240</v>
      </c>
      <c r="F53" s="179"/>
      <c r="G53" s="179"/>
      <c r="H53" s="179"/>
      <c r="I53" s="161">
        <v>90.53</v>
      </c>
    </row>
    <row r="54" spans="5:11">
      <c r="E54" s="179"/>
      <c r="F54" s="179"/>
      <c r="G54" s="179"/>
      <c r="H54" s="179"/>
      <c r="I54" s="161">
        <f>SUM(I51:I53)</f>
        <v>437.59000000000003</v>
      </c>
      <c r="K54" s="167">
        <f>+I40+I54</f>
        <v>656.88</v>
      </c>
    </row>
    <row r="55" spans="5:11">
      <c r="E55" s="179"/>
      <c r="F55" s="179"/>
      <c r="G55" s="179"/>
      <c r="H55" s="179"/>
    </row>
    <row r="56" spans="5:11">
      <c r="E56" s="179" t="s">
        <v>228</v>
      </c>
      <c r="F56" s="179"/>
      <c r="G56" s="179"/>
      <c r="H56" s="179"/>
    </row>
    <row r="57" spans="5:11">
      <c r="E57" s="179" t="s">
        <v>229</v>
      </c>
      <c r="F57" s="179"/>
      <c r="G57" s="179"/>
      <c r="H57" s="179"/>
      <c r="I57" s="161">
        <v>65.78</v>
      </c>
    </row>
    <row r="58" spans="5:11">
      <c r="E58" s="179" t="s">
        <v>230</v>
      </c>
      <c r="F58" s="179"/>
      <c r="G58" s="179"/>
      <c r="H58" s="179"/>
      <c r="I58" s="161">
        <v>42.13</v>
      </c>
    </row>
    <row r="59" spans="5:11">
      <c r="E59" s="179" t="s">
        <v>225</v>
      </c>
      <c r="F59" s="179"/>
      <c r="G59" s="179"/>
      <c r="H59" s="179"/>
      <c r="I59" s="161">
        <v>3.51</v>
      </c>
    </row>
    <row r="60" spans="5:11">
      <c r="E60" s="179" t="s">
        <v>231</v>
      </c>
      <c r="F60" s="179"/>
      <c r="G60" s="179"/>
      <c r="H60" s="179"/>
      <c r="I60" s="161">
        <v>18</v>
      </c>
    </row>
    <row r="61" spans="5:11">
      <c r="E61" s="179"/>
      <c r="F61" s="179"/>
      <c r="G61" s="179"/>
      <c r="H61" s="179"/>
      <c r="I61" s="161">
        <f>SUM(I57:I60)</f>
        <v>129.42000000000002</v>
      </c>
    </row>
    <row r="62" spans="5:11">
      <c r="E62" s="179"/>
      <c r="F62" s="179"/>
      <c r="G62" s="179"/>
      <c r="H62" s="179"/>
      <c r="I62" s="161"/>
    </row>
    <row r="63" spans="5:11">
      <c r="I63" s="161"/>
    </row>
    <row r="64" spans="5:11">
      <c r="E64" s="180" t="s">
        <v>217</v>
      </c>
      <c r="F64" s="180"/>
      <c r="G64" s="180"/>
      <c r="H64" s="180"/>
      <c r="I64" s="180"/>
    </row>
    <row r="65" spans="5:9">
      <c r="E65" s="166" t="s">
        <v>235</v>
      </c>
      <c r="F65" s="166" t="s">
        <v>236</v>
      </c>
      <c r="G65" s="166"/>
      <c r="H65" s="166" t="s">
        <v>237</v>
      </c>
      <c r="I65" s="166" t="s">
        <v>238</v>
      </c>
    </row>
    <row r="66" spans="5:9">
      <c r="E66" s="168">
        <v>70</v>
      </c>
      <c r="F66" s="168">
        <v>104</v>
      </c>
      <c r="G66" s="168"/>
      <c r="H66" s="168"/>
      <c r="I66" s="168">
        <v>57</v>
      </c>
    </row>
    <row r="67" spans="5:9">
      <c r="E67" s="180" t="s">
        <v>239</v>
      </c>
      <c r="F67" s="180"/>
      <c r="G67" s="180"/>
      <c r="H67" s="180"/>
      <c r="I67" s="180"/>
    </row>
    <row r="68" spans="5:9">
      <c r="E68" s="166" t="s">
        <v>235</v>
      </c>
      <c r="F68" s="166" t="s">
        <v>236</v>
      </c>
      <c r="G68" s="166"/>
      <c r="H68" s="166" t="s">
        <v>237</v>
      </c>
      <c r="I68" s="166" t="s">
        <v>238</v>
      </c>
    </row>
    <row r="69" spans="5:9">
      <c r="E69" s="166">
        <v>70</v>
      </c>
      <c r="F69" s="166">
        <v>90</v>
      </c>
      <c r="G69" s="166"/>
      <c r="H69" s="166"/>
      <c r="I69" s="166">
        <v>57</v>
      </c>
    </row>
    <row r="70" spans="5:9">
      <c r="E70" s="180" t="s">
        <v>239</v>
      </c>
      <c r="F70" s="180"/>
      <c r="G70" s="180"/>
      <c r="H70" s="180"/>
      <c r="I70" s="180"/>
    </row>
    <row r="71" spans="5:9">
      <c r="E71" s="166" t="s">
        <v>235</v>
      </c>
      <c r="F71" s="166" t="s">
        <v>236</v>
      </c>
      <c r="G71" s="166"/>
      <c r="H71" s="166" t="s">
        <v>237</v>
      </c>
      <c r="I71" s="166" t="s">
        <v>238</v>
      </c>
    </row>
    <row r="72" spans="5:9">
      <c r="E72" s="166">
        <v>70</v>
      </c>
      <c r="F72" s="166">
        <v>90</v>
      </c>
      <c r="G72" s="166"/>
      <c r="H72" s="166"/>
      <c r="I72" s="166">
        <v>57</v>
      </c>
    </row>
    <row r="73" spans="5:9">
      <c r="E73" s="165"/>
      <c r="F73" s="165"/>
      <c r="G73" s="165"/>
      <c r="H73" s="165"/>
      <c r="I73" s="165"/>
    </row>
    <row r="74" spans="5:9">
      <c r="E74" s="165"/>
      <c r="F74" s="165"/>
      <c r="G74" s="165"/>
      <c r="H74" s="165"/>
      <c r="I74" s="165"/>
    </row>
    <row r="75" spans="5:9">
      <c r="E75" s="165"/>
      <c r="F75" s="165"/>
      <c r="G75" s="165"/>
      <c r="H75" s="165"/>
      <c r="I75" s="165"/>
    </row>
    <row r="76" spans="5:9">
      <c r="E76" s="165"/>
      <c r="F76" s="165"/>
      <c r="G76" s="165"/>
      <c r="H76" s="165"/>
      <c r="I76" s="165"/>
    </row>
    <row r="77" spans="5:9">
      <c r="E77" s="165"/>
      <c r="F77" s="165"/>
      <c r="G77" s="165"/>
      <c r="H77" s="165"/>
      <c r="I77" s="165"/>
    </row>
    <row r="80" spans="5:9">
      <c r="E80" s="180" t="s">
        <v>239</v>
      </c>
      <c r="F80" s="180"/>
      <c r="G80" s="180"/>
      <c r="H80" s="180"/>
      <c r="I80" s="180"/>
    </row>
    <row r="81" spans="5:9">
      <c r="E81" s="166" t="s">
        <v>235</v>
      </c>
      <c r="F81" s="166" t="s">
        <v>236</v>
      </c>
      <c r="G81" s="166"/>
      <c r="H81" s="166" t="s">
        <v>237</v>
      </c>
      <c r="I81" s="166" t="s">
        <v>238</v>
      </c>
    </row>
    <row r="82" spans="5:9">
      <c r="E82" s="166">
        <v>70</v>
      </c>
      <c r="F82" s="166">
        <v>90</v>
      </c>
      <c r="G82" s="166"/>
      <c r="H82" s="166"/>
      <c r="I82" s="166">
        <v>57</v>
      </c>
    </row>
    <row r="83" spans="5:9">
      <c r="E83" s="165"/>
      <c r="F83" s="165"/>
      <c r="G83" s="165"/>
      <c r="H83" s="165"/>
      <c r="I83" s="165"/>
    </row>
    <row r="84" spans="5:9">
      <c r="E84" s="165"/>
      <c r="F84" s="165"/>
      <c r="G84" s="165"/>
      <c r="H84" s="165"/>
      <c r="I84" s="165"/>
    </row>
    <row r="85" spans="5:9">
      <c r="E85" s="165"/>
      <c r="F85" s="165"/>
      <c r="G85" s="165"/>
      <c r="H85" s="165"/>
      <c r="I85" s="165"/>
    </row>
    <row r="86" spans="5:9">
      <c r="E86" s="165"/>
      <c r="F86" s="165"/>
      <c r="G86" s="165"/>
      <c r="H86" s="165"/>
      <c r="I86" s="165"/>
    </row>
    <row r="87" spans="5:9">
      <c r="E87" s="165"/>
      <c r="F87" s="165"/>
      <c r="G87" s="165"/>
      <c r="H87" s="165"/>
      <c r="I87" s="165"/>
    </row>
    <row r="88" spans="5:9">
      <c r="E88" s="165"/>
      <c r="F88" s="165"/>
      <c r="G88" s="165"/>
      <c r="H88" s="165"/>
      <c r="I88" s="165"/>
    </row>
    <row r="89" spans="5:9">
      <c r="E89" s="165"/>
      <c r="F89" s="165"/>
      <c r="G89" s="165"/>
      <c r="H89" s="165"/>
      <c r="I89" s="165"/>
    </row>
    <row r="90" spans="5:9">
      <c r="E90" s="165"/>
      <c r="F90" s="165"/>
      <c r="G90" s="165"/>
      <c r="H90" s="165"/>
      <c r="I90" s="165"/>
    </row>
    <row r="91" spans="5:9">
      <c r="E91" s="165"/>
      <c r="F91" s="165"/>
      <c r="G91" s="165"/>
      <c r="H91" s="165"/>
      <c r="I91" s="165"/>
    </row>
    <row r="92" spans="5:9">
      <c r="E92" s="165"/>
      <c r="F92" s="165"/>
      <c r="G92" s="165"/>
      <c r="H92" s="165"/>
      <c r="I92" s="165"/>
    </row>
    <row r="93" spans="5:9">
      <c r="E93" s="165"/>
      <c r="F93" s="165"/>
      <c r="G93" s="165"/>
      <c r="H93" s="165"/>
      <c r="I93" s="165"/>
    </row>
  </sheetData>
  <autoFilter ref="A10:Y35" xr:uid="{00000000-0009-0000-0000-000000000000}"/>
  <mergeCells count="30">
    <mergeCell ref="E80:I80"/>
    <mergeCell ref="D41:H41"/>
    <mergeCell ref="D42:H42"/>
    <mergeCell ref="D43:H43"/>
    <mergeCell ref="A1:Y1"/>
    <mergeCell ref="A2:X2"/>
    <mergeCell ref="C4:D4"/>
    <mergeCell ref="D40:H40"/>
    <mergeCell ref="I40:I45"/>
    <mergeCell ref="E44:H44"/>
    <mergeCell ref="E45:H45"/>
    <mergeCell ref="E46:H46"/>
    <mergeCell ref="E47:H47"/>
    <mergeCell ref="E48:H48"/>
    <mergeCell ref="E49:H49"/>
    <mergeCell ref="E51:H51"/>
    <mergeCell ref="E52:H52"/>
    <mergeCell ref="E53:H53"/>
    <mergeCell ref="E54:H54"/>
    <mergeCell ref="E67:I67"/>
    <mergeCell ref="E70:I70"/>
    <mergeCell ref="E55:H55"/>
    <mergeCell ref="E56:H56"/>
    <mergeCell ref="E57:H57"/>
    <mergeCell ref="E58:H58"/>
    <mergeCell ref="E59:H59"/>
    <mergeCell ref="E60:H60"/>
    <mergeCell ref="E61:H61"/>
    <mergeCell ref="E62:H62"/>
    <mergeCell ref="E64:I6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F921E-2D0D-41DA-962A-C41A158A0014}">
  <dimension ref="A1:AA66"/>
  <sheetViews>
    <sheetView topLeftCell="B1" zoomScale="115" zoomScaleNormal="115" workbookViewId="0">
      <selection activeCell="F14" sqref="F14"/>
    </sheetView>
  </sheetViews>
  <sheetFormatPr baseColWidth="10" defaultRowHeight="14.4"/>
  <cols>
    <col min="1" max="1" width="6.88671875" customWidth="1"/>
    <col min="2" max="2" width="13.33203125" style="104" customWidth="1"/>
    <col min="3" max="3" width="11.5546875" style="104" customWidth="1"/>
    <col min="4" max="4" width="9.44140625" style="105" customWidth="1"/>
    <col min="5" max="5" width="16.6640625" style="105" customWidth="1"/>
    <col min="6" max="8" width="11.88671875" style="101" customWidth="1"/>
    <col min="9" max="10" width="11.88671875" style="102" customWidth="1"/>
    <col min="11" max="11" width="11.109375" style="86" customWidth="1"/>
    <col min="12" max="12" width="10" style="86" customWidth="1"/>
    <col min="13" max="13" width="31" style="103" customWidth="1"/>
    <col min="15" max="15" width="30.33203125" customWidth="1"/>
    <col min="16" max="16" width="22.44140625" customWidth="1"/>
    <col min="17" max="17" width="16" customWidth="1"/>
    <col min="18" max="18" width="30.109375" customWidth="1"/>
  </cols>
  <sheetData>
    <row r="1" spans="1:21" ht="34.200000000000003" customHeight="1">
      <c r="A1" s="183"/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O1" t="s">
        <v>36</v>
      </c>
      <c r="P1" t="s">
        <v>67</v>
      </c>
      <c r="Q1" t="s">
        <v>68</v>
      </c>
      <c r="R1" t="s">
        <v>75</v>
      </c>
      <c r="S1" s="8" t="s">
        <v>90</v>
      </c>
      <c r="T1" t="s">
        <v>93</v>
      </c>
    </row>
    <row r="2" spans="1:21" ht="12.75" customHeight="1">
      <c r="B2" s="184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70"/>
      <c r="O2" t="s">
        <v>69</v>
      </c>
      <c r="P2" t="s">
        <v>70</v>
      </c>
      <c r="Q2" t="s">
        <v>71</v>
      </c>
      <c r="R2" t="s">
        <v>72</v>
      </c>
      <c r="S2">
        <v>5.16</v>
      </c>
      <c r="T2">
        <v>534.38</v>
      </c>
      <c r="U2">
        <v>3.85</v>
      </c>
    </row>
    <row r="3" spans="1:21" ht="14.25" customHeight="1">
      <c r="B3" s="71"/>
      <c r="C3" s="72" t="s">
        <v>60</v>
      </c>
      <c r="D3" s="72" t="s">
        <v>60</v>
      </c>
      <c r="E3" s="72"/>
      <c r="F3" s="73" t="s">
        <v>61</v>
      </c>
      <c r="G3" s="73"/>
      <c r="H3" s="73"/>
      <c r="I3" s="74" t="s">
        <v>61</v>
      </c>
      <c r="J3" s="74"/>
      <c r="K3" s="75" t="s">
        <v>61</v>
      </c>
      <c r="L3" s="71"/>
      <c r="M3" s="76"/>
      <c r="O3" s="106" t="s">
        <v>74</v>
      </c>
      <c r="P3" t="s">
        <v>73</v>
      </c>
      <c r="Q3" t="s">
        <v>76</v>
      </c>
      <c r="R3" t="s">
        <v>77</v>
      </c>
      <c r="S3">
        <v>60.57</v>
      </c>
      <c r="T3">
        <v>379.7</v>
      </c>
      <c r="U3">
        <v>28.657</v>
      </c>
    </row>
    <row r="4" spans="1:21" ht="14.25" customHeight="1">
      <c r="B4" s="71"/>
      <c r="C4" s="72"/>
      <c r="D4" s="72"/>
      <c r="E4" s="72"/>
      <c r="F4" s="73"/>
      <c r="G4" s="73"/>
      <c r="H4" s="73"/>
      <c r="I4" s="74"/>
      <c r="J4" s="74"/>
      <c r="K4" s="75"/>
      <c r="L4" s="71"/>
      <c r="M4" s="76"/>
      <c r="O4" s="106" t="s">
        <v>74</v>
      </c>
      <c r="P4" t="s">
        <v>73</v>
      </c>
      <c r="Q4" t="s">
        <v>76</v>
      </c>
      <c r="R4" t="s">
        <v>91</v>
      </c>
      <c r="S4">
        <v>10.72</v>
      </c>
      <c r="T4">
        <v>64.61</v>
      </c>
    </row>
    <row r="5" spans="1:21" ht="46.2" customHeight="1">
      <c r="B5" s="77"/>
      <c r="C5" s="78"/>
      <c r="D5" s="78"/>
      <c r="E5" s="78"/>
      <c r="F5" s="195"/>
      <c r="G5" s="79"/>
      <c r="H5" s="79"/>
      <c r="I5" s="195"/>
      <c r="J5" s="79"/>
      <c r="K5" s="195"/>
      <c r="L5" s="80"/>
      <c r="M5" s="81"/>
      <c r="O5" s="107" t="s">
        <v>78</v>
      </c>
      <c r="P5" s="108" t="s">
        <v>79</v>
      </c>
      <c r="Q5" s="108" t="s">
        <v>80</v>
      </c>
      <c r="R5" s="109" t="s">
        <v>81</v>
      </c>
    </row>
    <row r="6" spans="1:21" ht="12.75" customHeight="1">
      <c r="B6" s="77"/>
      <c r="C6" s="78"/>
      <c r="D6" s="78"/>
      <c r="E6" s="78"/>
      <c r="F6" s="195"/>
      <c r="G6" s="79"/>
      <c r="H6" s="79"/>
      <c r="I6" s="195"/>
      <c r="J6" s="79"/>
      <c r="K6" s="195"/>
      <c r="L6" s="80"/>
      <c r="M6" s="81"/>
      <c r="O6" t="s">
        <v>69</v>
      </c>
      <c r="P6" t="s">
        <v>70</v>
      </c>
      <c r="Q6" t="s">
        <v>71</v>
      </c>
      <c r="R6" t="s">
        <v>82</v>
      </c>
      <c r="S6">
        <v>164.51</v>
      </c>
      <c r="U6">
        <v>141.07</v>
      </c>
    </row>
    <row r="7" spans="1:21" ht="12.75" customHeight="1">
      <c r="B7" s="77"/>
      <c r="C7" s="78"/>
      <c r="D7" s="78"/>
      <c r="E7" s="78"/>
      <c r="F7" s="195"/>
      <c r="G7" s="79"/>
      <c r="H7" s="79"/>
      <c r="I7" s="195"/>
      <c r="J7" s="79"/>
      <c r="K7" s="195"/>
      <c r="L7" s="80"/>
      <c r="M7" s="81"/>
      <c r="O7" t="s">
        <v>69</v>
      </c>
      <c r="P7" t="s">
        <v>70</v>
      </c>
      <c r="Q7" t="s">
        <v>71</v>
      </c>
      <c r="R7" t="s">
        <v>91</v>
      </c>
      <c r="S7">
        <v>154.68</v>
      </c>
      <c r="U7" t="s">
        <v>56</v>
      </c>
    </row>
    <row r="8" spans="1:21" ht="12.75" customHeight="1">
      <c r="B8" s="77"/>
      <c r="C8" s="78"/>
      <c r="D8" s="78"/>
      <c r="E8" s="78"/>
      <c r="F8" s="195"/>
      <c r="G8" s="79"/>
      <c r="H8" s="79"/>
      <c r="I8" s="195"/>
      <c r="J8" s="79"/>
      <c r="K8" s="195"/>
      <c r="L8" s="80"/>
      <c r="M8" s="81"/>
      <c r="O8" t="s">
        <v>74</v>
      </c>
      <c r="P8" t="s">
        <v>73</v>
      </c>
      <c r="Q8" t="s">
        <v>76</v>
      </c>
      <c r="R8" t="s">
        <v>83</v>
      </c>
      <c r="U8" t="s">
        <v>94</v>
      </c>
    </row>
    <row r="9" spans="1:21" ht="12.75" customHeight="1">
      <c r="B9" s="77"/>
      <c r="C9" s="78"/>
      <c r="D9" s="78"/>
      <c r="E9" s="78"/>
      <c r="F9" s="195"/>
      <c r="G9" s="79"/>
      <c r="H9" s="79"/>
      <c r="I9" s="195"/>
      <c r="J9" s="79"/>
      <c r="K9" s="195"/>
      <c r="L9" s="80"/>
      <c r="M9" s="81"/>
      <c r="N9">
        <v>1.7969999999999999</v>
      </c>
      <c r="O9" t="s">
        <v>84</v>
      </c>
      <c r="P9" t="s">
        <v>85</v>
      </c>
      <c r="Q9" t="s">
        <v>86</v>
      </c>
      <c r="R9" t="s">
        <v>87</v>
      </c>
    </row>
    <row r="10" spans="1:21" s="83" customFormat="1" ht="13.5" customHeight="1">
      <c r="A10"/>
      <c r="B10" s="77"/>
      <c r="C10" s="78"/>
      <c r="D10" s="78"/>
      <c r="E10" s="78"/>
      <c r="F10" s="193"/>
      <c r="G10" s="82"/>
      <c r="H10" s="82"/>
      <c r="I10" s="195"/>
      <c r="J10" s="79"/>
      <c r="K10" s="197"/>
      <c r="L10" s="80"/>
      <c r="M10" s="81"/>
      <c r="O10" t="s">
        <v>88</v>
      </c>
      <c r="P10" t="s">
        <v>89</v>
      </c>
      <c r="Q10" t="s">
        <v>80</v>
      </c>
      <c r="R10" t="s">
        <v>92</v>
      </c>
    </row>
    <row r="11" spans="1:21" s="83" customFormat="1" ht="13.5" customHeight="1">
      <c r="A11"/>
      <c r="B11" s="77"/>
      <c r="C11" s="78"/>
      <c r="D11" s="78"/>
      <c r="E11" s="78"/>
      <c r="F11" s="194"/>
      <c r="G11" s="84"/>
      <c r="H11" s="84"/>
      <c r="I11" s="196"/>
      <c r="J11" s="85"/>
      <c r="K11" s="198"/>
      <c r="L11" s="80"/>
      <c r="M11" s="81"/>
      <c r="O11"/>
      <c r="P11"/>
      <c r="Q11"/>
      <c r="R11"/>
    </row>
    <row r="12" spans="1:21" s="86" customFormat="1" ht="18.75" customHeight="1">
      <c r="B12" s="87" t="s">
        <v>62</v>
      </c>
      <c r="C12" s="87" t="s">
        <v>63</v>
      </c>
      <c r="D12" s="88" t="s">
        <v>47</v>
      </c>
      <c r="E12" s="120" t="s">
        <v>111</v>
      </c>
      <c r="F12" s="89" t="s">
        <v>64</v>
      </c>
      <c r="G12" s="89" t="s">
        <v>106</v>
      </c>
      <c r="H12" s="89" t="s">
        <v>65</v>
      </c>
      <c r="I12" s="87" t="s">
        <v>64</v>
      </c>
      <c r="J12" s="87" t="s">
        <v>65</v>
      </c>
      <c r="K12" s="87" t="s">
        <v>64</v>
      </c>
      <c r="L12" s="87" t="s">
        <v>65</v>
      </c>
      <c r="M12" s="87" t="s">
        <v>180</v>
      </c>
      <c r="O12"/>
      <c r="P12"/>
      <c r="Q12"/>
      <c r="R12"/>
    </row>
    <row r="13" spans="1:21" s="83" customFormat="1" ht="27.6">
      <c r="A13" s="90">
        <v>1</v>
      </c>
      <c r="B13" s="91" t="s">
        <v>113</v>
      </c>
      <c r="C13" s="91" t="s">
        <v>109</v>
      </c>
      <c r="D13" s="96" t="s">
        <v>110</v>
      </c>
      <c r="E13" s="92" t="s">
        <v>112</v>
      </c>
      <c r="F13" s="93">
        <v>9.6504999999999992</v>
      </c>
      <c r="G13" s="93">
        <v>5</v>
      </c>
      <c r="H13" s="93">
        <v>603.48</v>
      </c>
      <c r="I13" s="93">
        <v>359.22</v>
      </c>
      <c r="J13" s="93">
        <f>+G13*H13</f>
        <v>3017.4</v>
      </c>
      <c r="K13" s="93"/>
      <c r="L13" s="94"/>
      <c r="M13" s="95" t="s">
        <v>181</v>
      </c>
      <c r="O13"/>
      <c r="P13"/>
      <c r="Q13"/>
      <c r="R13"/>
    </row>
    <row r="14" spans="1:21" s="83" customFormat="1" ht="27.6">
      <c r="A14" s="90">
        <v>2</v>
      </c>
      <c r="B14" s="91" t="s">
        <v>113</v>
      </c>
      <c r="C14" s="91" t="s">
        <v>114</v>
      </c>
      <c r="D14" s="96" t="s">
        <v>115</v>
      </c>
      <c r="E14" s="121" t="s">
        <v>116</v>
      </c>
      <c r="F14" s="93">
        <v>11.506</v>
      </c>
      <c r="G14" s="93">
        <f>+F14/1</f>
        <v>11.506</v>
      </c>
      <c r="H14" s="93">
        <v>485</v>
      </c>
      <c r="I14" s="93"/>
      <c r="J14" s="93"/>
      <c r="K14" s="93"/>
      <c r="L14" s="94"/>
      <c r="M14" s="95" t="s">
        <v>182</v>
      </c>
      <c r="O14"/>
      <c r="P14"/>
      <c r="Q14"/>
      <c r="R14"/>
    </row>
    <row r="15" spans="1:21" s="83" customFormat="1" ht="27.6">
      <c r="A15" s="90">
        <v>3</v>
      </c>
      <c r="B15" s="91" t="s">
        <v>113</v>
      </c>
      <c r="C15" s="91" t="s">
        <v>117</v>
      </c>
      <c r="D15" s="96" t="s">
        <v>110</v>
      </c>
      <c r="E15" s="121" t="s">
        <v>118</v>
      </c>
      <c r="F15" s="93">
        <v>15.6004</v>
      </c>
      <c r="G15" s="93"/>
      <c r="H15" s="93"/>
      <c r="I15" s="93"/>
      <c r="J15" s="93"/>
      <c r="K15" s="93"/>
      <c r="L15" s="94"/>
      <c r="M15" s="95" t="s">
        <v>182</v>
      </c>
      <c r="O15"/>
      <c r="P15"/>
      <c r="Q15"/>
      <c r="R15"/>
    </row>
    <row r="16" spans="1:21" s="83" customFormat="1" ht="27.6">
      <c r="A16" s="90">
        <v>4</v>
      </c>
      <c r="B16" s="91" t="s">
        <v>113</v>
      </c>
      <c r="C16" s="91" t="s">
        <v>119</v>
      </c>
      <c r="D16" s="96" t="s">
        <v>115</v>
      </c>
      <c r="E16" s="92" t="s">
        <v>112</v>
      </c>
      <c r="F16" s="93">
        <v>11.797000000000001</v>
      </c>
      <c r="G16" s="93">
        <v>7</v>
      </c>
      <c r="H16" s="93">
        <v>603.48</v>
      </c>
      <c r="I16" s="93">
        <v>359.22</v>
      </c>
      <c r="J16" s="93">
        <f>+G16*H16</f>
        <v>4224.3600000000006</v>
      </c>
      <c r="K16" s="93"/>
      <c r="L16" s="94"/>
      <c r="M16" s="95" t="s">
        <v>181</v>
      </c>
      <c r="O16"/>
      <c r="P16"/>
      <c r="Q16"/>
      <c r="R16"/>
    </row>
    <row r="17" spans="1:27" s="83" customFormat="1">
      <c r="A17" s="90">
        <v>5</v>
      </c>
      <c r="B17" s="91" t="s">
        <v>120</v>
      </c>
      <c r="C17" s="91" t="s">
        <v>121</v>
      </c>
      <c r="D17" s="96" t="s">
        <v>115</v>
      </c>
      <c r="E17" s="92" t="s">
        <v>112</v>
      </c>
      <c r="F17" s="93"/>
      <c r="G17" s="93"/>
      <c r="H17" s="93"/>
      <c r="I17" s="93"/>
      <c r="J17" s="93"/>
      <c r="K17" s="93"/>
      <c r="L17" s="94"/>
      <c r="M17" s="95" t="s">
        <v>181</v>
      </c>
      <c r="O17"/>
      <c r="P17"/>
      <c r="Q17"/>
      <c r="R17"/>
      <c r="AA17" s="83">
        <v>24</v>
      </c>
    </row>
    <row r="18" spans="1:27" s="83" customFormat="1">
      <c r="A18" s="90">
        <v>6</v>
      </c>
      <c r="B18" s="91" t="s">
        <v>120</v>
      </c>
      <c r="C18" s="91" t="s">
        <v>123</v>
      </c>
      <c r="D18" s="96" t="s">
        <v>110</v>
      </c>
      <c r="E18" s="92" t="s">
        <v>126</v>
      </c>
      <c r="F18" s="93"/>
      <c r="G18" s="93"/>
      <c r="H18" s="93"/>
      <c r="I18" s="93"/>
      <c r="J18" s="93"/>
      <c r="K18" s="93"/>
      <c r="L18" s="94"/>
      <c r="M18" s="95" t="s">
        <v>182</v>
      </c>
      <c r="O18"/>
      <c r="P18"/>
      <c r="Q18"/>
      <c r="R18"/>
    </row>
    <row r="19" spans="1:27" s="83" customFormat="1" ht="27.6">
      <c r="A19" s="90">
        <v>7</v>
      </c>
      <c r="B19" s="91" t="s">
        <v>120</v>
      </c>
      <c r="C19" s="91" t="s">
        <v>124</v>
      </c>
      <c r="D19" s="96" t="s">
        <v>115</v>
      </c>
      <c r="E19" s="92" t="s">
        <v>127</v>
      </c>
      <c r="F19" s="93"/>
      <c r="G19" s="93"/>
      <c r="H19" s="93"/>
      <c r="I19" s="93"/>
      <c r="J19" s="93"/>
      <c r="K19" s="93"/>
      <c r="L19" s="94"/>
      <c r="M19" s="95" t="s">
        <v>182</v>
      </c>
      <c r="O19"/>
      <c r="P19"/>
      <c r="Q19"/>
      <c r="R19"/>
    </row>
    <row r="20" spans="1:27" s="83" customFormat="1">
      <c r="A20" s="90">
        <v>8</v>
      </c>
      <c r="B20" s="91" t="s">
        <v>120</v>
      </c>
      <c r="C20" s="91" t="s">
        <v>128</v>
      </c>
      <c r="D20" s="96" t="s">
        <v>115</v>
      </c>
      <c r="E20" s="92" t="s">
        <v>112</v>
      </c>
      <c r="F20" s="93"/>
      <c r="G20" s="93"/>
      <c r="H20" s="93"/>
      <c r="I20" s="93"/>
      <c r="J20" s="93"/>
      <c r="K20" s="93"/>
      <c r="L20" s="94"/>
      <c r="M20" s="95" t="s">
        <v>181</v>
      </c>
      <c r="O20"/>
      <c r="P20"/>
      <c r="Q20"/>
      <c r="R20"/>
    </row>
    <row r="21" spans="1:27" s="83" customFormat="1">
      <c r="A21" s="90">
        <v>9</v>
      </c>
      <c r="B21" s="91" t="s">
        <v>120</v>
      </c>
      <c r="C21" s="91" t="s">
        <v>141</v>
      </c>
      <c r="D21" s="96" t="s">
        <v>110</v>
      </c>
      <c r="E21" s="92" t="s">
        <v>126</v>
      </c>
      <c r="F21" s="93"/>
      <c r="G21" s="93"/>
      <c r="H21" s="93"/>
      <c r="I21" s="93"/>
      <c r="J21" s="93"/>
      <c r="K21" s="93"/>
      <c r="L21" s="94"/>
      <c r="M21" s="95" t="s">
        <v>182</v>
      </c>
      <c r="O21"/>
      <c r="P21"/>
      <c r="Q21"/>
      <c r="R21"/>
    </row>
    <row r="22" spans="1:27" s="83" customFormat="1" ht="27.6">
      <c r="A22" s="90">
        <v>10</v>
      </c>
      <c r="B22" s="91" t="s">
        <v>120</v>
      </c>
      <c r="C22" s="96" t="s">
        <v>129</v>
      </c>
      <c r="D22" s="96" t="s">
        <v>115</v>
      </c>
      <c r="E22" s="92" t="s">
        <v>127</v>
      </c>
      <c r="F22" s="93"/>
      <c r="G22" s="93"/>
      <c r="H22" s="93"/>
      <c r="I22" s="93"/>
      <c r="J22" s="93"/>
      <c r="K22" s="93"/>
      <c r="L22" s="94"/>
      <c r="M22" s="95" t="s">
        <v>182</v>
      </c>
      <c r="O22"/>
      <c r="P22"/>
      <c r="Q22"/>
      <c r="R22"/>
    </row>
    <row r="23" spans="1:27" s="83" customFormat="1">
      <c r="A23" s="90">
        <v>11</v>
      </c>
      <c r="B23" s="91" t="s">
        <v>120</v>
      </c>
      <c r="C23" s="96" t="s">
        <v>125</v>
      </c>
      <c r="D23" s="96" t="s">
        <v>110</v>
      </c>
      <c r="E23" s="92" t="s">
        <v>112</v>
      </c>
      <c r="F23" s="93"/>
      <c r="G23" s="93"/>
      <c r="H23" s="93"/>
      <c r="I23" s="93"/>
      <c r="J23" s="93"/>
      <c r="K23" s="93"/>
      <c r="L23" s="94"/>
      <c r="M23" s="95" t="s">
        <v>181</v>
      </c>
      <c r="O23"/>
      <c r="P23"/>
      <c r="Q23"/>
      <c r="R23"/>
      <c r="AA23" s="83">
        <v>21</v>
      </c>
    </row>
    <row r="24" spans="1:27" s="83" customFormat="1" ht="41.4">
      <c r="A24" s="90">
        <v>12</v>
      </c>
      <c r="B24" s="91" t="s">
        <v>120</v>
      </c>
      <c r="C24" s="96" t="s">
        <v>131</v>
      </c>
      <c r="D24" s="96" t="s">
        <v>115</v>
      </c>
      <c r="E24" s="92" t="s">
        <v>116</v>
      </c>
      <c r="F24" s="93"/>
      <c r="G24" s="93"/>
      <c r="H24" s="93"/>
      <c r="I24" s="93"/>
      <c r="J24" s="93"/>
      <c r="K24" s="93"/>
      <c r="L24" s="94"/>
      <c r="M24" s="95" t="s">
        <v>182</v>
      </c>
      <c r="O24"/>
      <c r="P24"/>
      <c r="Q24"/>
      <c r="R24"/>
    </row>
    <row r="25" spans="1:27" s="83" customFormat="1" ht="41.4">
      <c r="A25" s="90">
        <v>13</v>
      </c>
      <c r="B25" s="91" t="s">
        <v>120</v>
      </c>
      <c r="C25" s="96" t="s">
        <v>132</v>
      </c>
      <c r="D25" s="96" t="s">
        <v>110</v>
      </c>
      <c r="E25" s="92" t="s">
        <v>118</v>
      </c>
      <c r="F25" s="93"/>
      <c r="G25" s="93"/>
      <c r="H25" s="93"/>
      <c r="I25" s="93"/>
      <c r="J25" s="93"/>
      <c r="K25" s="93"/>
      <c r="L25" s="94"/>
      <c r="M25" s="95" t="s">
        <v>182</v>
      </c>
      <c r="O25"/>
      <c r="P25"/>
      <c r="Q25"/>
      <c r="R25"/>
    </row>
    <row r="26" spans="1:27" s="83" customFormat="1">
      <c r="A26" s="90">
        <v>14</v>
      </c>
      <c r="B26" s="91" t="s">
        <v>120</v>
      </c>
      <c r="C26" s="96" t="s">
        <v>130</v>
      </c>
      <c r="D26" s="96" t="s">
        <v>110</v>
      </c>
      <c r="E26" s="92" t="s">
        <v>112</v>
      </c>
      <c r="F26" s="93"/>
      <c r="G26" s="93"/>
      <c r="H26" s="93"/>
      <c r="I26" s="93"/>
      <c r="J26" s="93"/>
      <c r="K26" s="93"/>
      <c r="L26" s="94"/>
      <c r="M26" s="95" t="s">
        <v>181</v>
      </c>
      <c r="O26"/>
      <c r="P26"/>
      <c r="Q26"/>
      <c r="R26"/>
    </row>
    <row r="27" spans="1:27" s="83" customFormat="1" ht="41.4">
      <c r="A27" s="90">
        <v>15</v>
      </c>
      <c r="B27" s="91" t="s">
        <v>120</v>
      </c>
      <c r="C27" s="96" t="s">
        <v>133</v>
      </c>
      <c r="D27" s="96" t="s">
        <v>115</v>
      </c>
      <c r="E27" s="92" t="s">
        <v>116</v>
      </c>
      <c r="F27" s="93"/>
      <c r="G27" s="93"/>
      <c r="H27" s="93"/>
      <c r="I27" s="93"/>
      <c r="J27" s="93"/>
      <c r="K27" s="93"/>
      <c r="L27" s="94"/>
      <c r="M27" s="95" t="s">
        <v>182</v>
      </c>
      <c r="O27"/>
      <c r="P27"/>
      <c r="Q27"/>
      <c r="R27"/>
    </row>
    <row r="28" spans="1:27" s="83" customFormat="1" ht="41.4">
      <c r="A28" s="90">
        <v>16</v>
      </c>
      <c r="B28" s="91" t="s">
        <v>120</v>
      </c>
      <c r="C28" s="97" t="s">
        <v>134</v>
      </c>
      <c r="D28" s="96" t="s">
        <v>110</v>
      </c>
      <c r="E28" s="92" t="s">
        <v>142</v>
      </c>
      <c r="F28" s="93"/>
      <c r="G28" s="93"/>
      <c r="H28" s="93"/>
      <c r="I28" s="93"/>
      <c r="J28" s="93"/>
      <c r="K28" s="93"/>
      <c r="L28" s="94"/>
      <c r="M28" s="95" t="s">
        <v>182</v>
      </c>
      <c r="O28"/>
      <c r="P28"/>
      <c r="Q28"/>
      <c r="R28"/>
    </row>
    <row r="29" spans="1:27" s="83" customFormat="1" ht="27.6">
      <c r="A29" s="90">
        <v>17</v>
      </c>
      <c r="B29" s="91" t="s">
        <v>120</v>
      </c>
      <c r="C29" s="96" t="s">
        <v>135</v>
      </c>
      <c r="D29" s="96" t="s">
        <v>115</v>
      </c>
      <c r="E29" s="92" t="s">
        <v>143</v>
      </c>
      <c r="F29" s="93"/>
      <c r="G29" s="93"/>
      <c r="H29" s="93"/>
      <c r="I29" s="93"/>
      <c r="J29" s="93"/>
      <c r="K29" s="93"/>
      <c r="L29" s="94"/>
      <c r="M29" s="95" t="s">
        <v>181</v>
      </c>
      <c r="O29"/>
      <c r="P29"/>
      <c r="Q29"/>
      <c r="R29"/>
      <c r="AA29" s="83">
        <v>24</v>
      </c>
    </row>
    <row r="30" spans="1:27" s="83" customFormat="1">
      <c r="A30" s="90">
        <v>18</v>
      </c>
      <c r="B30" s="91" t="s">
        <v>120</v>
      </c>
      <c r="C30" s="96" t="s">
        <v>136</v>
      </c>
      <c r="D30" s="96" t="s">
        <v>110</v>
      </c>
      <c r="E30" s="92" t="s">
        <v>126</v>
      </c>
      <c r="F30" s="93"/>
      <c r="G30" s="93"/>
      <c r="H30" s="93"/>
      <c r="I30" s="93"/>
      <c r="J30" s="93"/>
      <c r="K30" s="93"/>
      <c r="L30" s="94"/>
      <c r="M30" s="95" t="s">
        <v>182</v>
      </c>
      <c r="O30"/>
      <c r="P30"/>
      <c r="Q30"/>
      <c r="R30"/>
    </row>
    <row r="31" spans="1:27" s="83" customFormat="1" ht="27.6">
      <c r="A31" s="90">
        <v>19</v>
      </c>
      <c r="B31" s="91" t="s">
        <v>120</v>
      </c>
      <c r="C31" s="96" t="s">
        <v>137</v>
      </c>
      <c r="D31" s="96" t="s">
        <v>115</v>
      </c>
      <c r="E31" s="92" t="s">
        <v>127</v>
      </c>
      <c r="F31" s="93"/>
      <c r="G31" s="93"/>
      <c r="H31" s="93"/>
      <c r="I31" s="93"/>
      <c r="J31" s="93"/>
      <c r="K31" s="93"/>
      <c r="L31" s="94"/>
      <c r="M31" s="95" t="s">
        <v>182</v>
      </c>
      <c r="O31"/>
      <c r="P31"/>
      <c r="Q31"/>
      <c r="R31"/>
    </row>
    <row r="32" spans="1:27" s="83" customFormat="1">
      <c r="A32" s="90">
        <v>20</v>
      </c>
      <c r="B32" s="91" t="s">
        <v>120</v>
      </c>
      <c r="C32" s="96" t="s">
        <v>138</v>
      </c>
      <c r="D32" s="96" t="s">
        <v>110</v>
      </c>
      <c r="E32" s="92"/>
      <c r="F32" s="93"/>
      <c r="G32" s="93"/>
      <c r="H32" s="93"/>
      <c r="I32" s="93"/>
      <c r="J32" s="93"/>
      <c r="K32" s="93"/>
      <c r="L32" s="94"/>
      <c r="M32" s="95"/>
      <c r="O32"/>
      <c r="P32"/>
      <c r="Q32"/>
      <c r="R32"/>
    </row>
    <row r="33" spans="1:18" s="83" customFormat="1" ht="27.6">
      <c r="A33" s="90">
        <v>21</v>
      </c>
      <c r="B33" s="91" t="s">
        <v>120</v>
      </c>
      <c r="C33" s="96" t="s">
        <v>139</v>
      </c>
      <c r="D33" s="96" t="s">
        <v>115</v>
      </c>
      <c r="E33" s="92" t="s">
        <v>143</v>
      </c>
      <c r="F33" s="93"/>
      <c r="G33" s="93"/>
      <c r="H33" s="93"/>
      <c r="I33" s="93"/>
      <c r="J33" s="93"/>
      <c r="K33" s="93"/>
      <c r="L33" s="94"/>
      <c r="M33" s="95" t="s">
        <v>181</v>
      </c>
      <c r="O33"/>
      <c r="P33"/>
      <c r="Q33"/>
      <c r="R33"/>
    </row>
    <row r="34" spans="1:18" s="83" customFormat="1">
      <c r="A34" s="90">
        <v>22</v>
      </c>
      <c r="B34" s="91" t="s">
        <v>120</v>
      </c>
      <c r="C34" s="96" t="s">
        <v>140</v>
      </c>
      <c r="D34" s="96" t="s">
        <v>110</v>
      </c>
      <c r="E34" s="92" t="s">
        <v>126</v>
      </c>
      <c r="F34" s="93"/>
      <c r="G34" s="93"/>
      <c r="H34" s="93"/>
      <c r="I34" s="93"/>
      <c r="J34" s="93"/>
      <c r="K34" s="93"/>
      <c r="L34" s="94"/>
      <c r="M34" s="95" t="s">
        <v>182</v>
      </c>
      <c r="O34"/>
      <c r="P34"/>
      <c r="Q34"/>
      <c r="R34"/>
    </row>
    <row r="35" spans="1:18" s="83" customFormat="1" ht="27.6">
      <c r="A35" s="90">
        <v>23</v>
      </c>
      <c r="B35" s="91" t="s">
        <v>120</v>
      </c>
      <c r="C35" s="96" t="s">
        <v>122</v>
      </c>
      <c r="D35" s="96" t="s">
        <v>115</v>
      </c>
      <c r="E35" s="92" t="s">
        <v>127</v>
      </c>
      <c r="F35" s="93"/>
      <c r="G35" s="93"/>
      <c r="H35" s="93"/>
      <c r="I35" s="93"/>
      <c r="J35" s="93"/>
      <c r="K35" s="93"/>
      <c r="L35" s="94"/>
      <c r="M35" s="95" t="s">
        <v>182</v>
      </c>
      <c r="O35"/>
      <c r="P35"/>
      <c r="Q35"/>
      <c r="R35"/>
    </row>
    <row r="36" spans="1:18" s="83" customFormat="1">
      <c r="A36" s="90">
        <v>24</v>
      </c>
      <c r="B36" s="91"/>
      <c r="C36" s="96"/>
      <c r="D36" s="92"/>
      <c r="E36" s="92"/>
      <c r="F36" s="93"/>
      <c r="G36" s="93"/>
      <c r="H36" s="93"/>
      <c r="I36" s="93"/>
      <c r="J36" s="93"/>
      <c r="K36" s="93"/>
      <c r="L36" s="94"/>
      <c r="M36" s="95"/>
    </row>
    <row r="37" spans="1:18" s="83" customFormat="1">
      <c r="A37" s="90">
        <v>25</v>
      </c>
      <c r="B37" s="91"/>
      <c r="C37" s="96"/>
      <c r="D37" s="92"/>
      <c r="E37" s="92"/>
      <c r="F37" s="93"/>
      <c r="G37" s="93"/>
      <c r="H37" s="93"/>
      <c r="I37" s="93"/>
      <c r="J37" s="93"/>
      <c r="K37" s="93"/>
      <c r="L37" s="94"/>
      <c r="M37" s="95"/>
    </row>
    <row r="38" spans="1:18" s="83" customFormat="1">
      <c r="A38" s="90">
        <v>26</v>
      </c>
      <c r="B38" s="91"/>
      <c r="C38" s="96"/>
      <c r="D38" s="92"/>
      <c r="E38" s="92"/>
      <c r="F38" s="93"/>
      <c r="G38" s="93"/>
      <c r="H38" s="93"/>
      <c r="I38" s="93"/>
      <c r="J38" s="93"/>
      <c r="K38" s="93"/>
      <c r="L38" s="94"/>
      <c r="M38" s="95"/>
    </row>
    <row r="39" spans="1:18" s="83" customFormat="1">
      <c r="A39" s="90">
        <v>27</v>
      </c>
      <c r="B39" s="91"/>
      <c r="C39" s="96"/>
      <c r="D39" s="92"/>
      <c r="E39" s="92"/>
      <c r="F39" s="93"/>
      <c r="G39" s="93"/>
      <c r="H39" s="93"/>
      <c r="I39" s="93"/>
      <c r="J39" s="93"/>
      <c r="K39" s="93"/>
      <c r="L39" s="94"/>
      <c r="M39" s="95"/>
    </row>
    <row r="40" spans="1:18" s="83" customFormat="1">
      <c r="A40" s="90">
        <v>28</v>
      </c>
      <c r="B40" s="91"/>
      <c r="C40" s="96"/>
      <c r="D40" s="92"/>
      <c r="E40" s="92"/>
      <c r="F40" s="93"/>
      <c r="G40" s="93"/>
      <c r="H40" s="93"/>
      <c r="I40" s="93"/>
      <c r="J40" s="93"/>
      <c r="K40" s="93"/>
      <c r="L40" s="94"/>
      <c r="M40" s="95"/>
    </row>
    <row r="41" spans="1:18" s="83" customFormat="1">
      <c r="A41" s="90">
        <v>29</v>
      </c>
      <c r="B41" s="91"/>
      <c r="C41" s="96"/>
      <c r="D41" s="92"/>
      <c r="E41" s="92"/>
      <c r="F41" s="93"/>
      <c r="G41" s="93"/>
      <c r="H41" s="93"/>
      <c r="I41" s="93"/>
      <c r="J41" s="93"/>
      <c r="K41" s="93"/>
      <c r="L41" s="94"/>
      <c r="M41" s="95"/>
    </row>
    <row r="42" spans="1:18" s="83" customFormat="1">
      <c r="A42" s="90">
        <v>30</v>
      </c>
      <c r="B42" s="91"/>
      <c r="C42" s="96"/>
      <c r="D42" s="92"/>
      <c r="E42" s="92"/>
      <c r="F42" s="93"/>
      <c r="G42" s="93"/>
      <c r="H42" s="93"/>
      <c r="I42" s="93"/>
      <c r="J42" s="93"/>
      <c r="K42" s="93"/>
      <c r="L42" s="94"/>
      <c r="M42" s="95"/>
    </row>
    <row r="43" spans="1:18" s="83" customFormat="1">
      <c r="A43" s="90">
        <v>31</v>
      </c>
      <c r="B43" s="91"/>
      <c r="C43" s="96"/>
      <c r="D43" s="92"/>
      <c r="E43" s="92"/>
      <c r="F43" s="93"/>
      <c r="G43" s="93"/>
      <c r="H43" s="93"/>
      <c r="I43" s="93"/>
      <c r="J43" s="93"/>
      <c r="K43" s="93"/>
      <c r="L43" s="94"/>
      <c r="M43" s="95"/>
    </row>
    <row r="44" spans="1:18" s="83" customFormat="1">
      <c r="A44" s="90">
        <v>32</v>
      </c>
      <c r="B44" s="91"/>
      <c r="C44" s="96"/>
      <c r="D44" s="92"/>
      <c r="E44" s="92"/>
      <c r="F44" s="93"/>
      <c r="G44" s="93"/>
      <c r="H44" s="93"/>
      <c r="I44" s="93"/>
      <c r="J44" s="93"/>
      <c r="K44" s="93"/>
      <c r="L44" s="94"/>
      <c r="M44" s="95"/>
    </row>
    <row r="45" spans="1:18" s="83" customFormat="1">
      <c r="A45" s="90">
        <v>33</v>
      </c>
      <c r="B45" s="91"/>
      <c r="C45" s="96"/>
      <c r="D45" s="92"/>
      <c r="E45" s="92"/>
      <c r="F45" s="93"/>
      <c r="G45" s="93"/>
      <c r="H45" s="93"/>
      <c r="I45" s="93"/>
      <c r="J45" s="93"/>
      <c r="K45" s="93"/>
      <c r="L45" s="94"/>
      <c r="M45" s="95"/>
    </row>
    <row r="46" spans="1:18" s="83" customFormat="1">
      <c r="A46" s="90">
        <v>34</v>
      </c>
      <c r="B46" s="91"/>
      <c r="C46" s="96"/>
      <c r="D46" s="92"/>
      <c r="E46" s="92"/>
      <c r="F46" s="93"/>
      <c r="G46" s="93"/>
      <c r="H46" s="93"/>
      <c r="I46" s="93"/>
      <c r="J46" s="93"/>
      <c r="K46" s="93"/>
      <c r="L46" s="94"/>
      <c r="M46" s="95"/>
    </row>
    <row r="47" spans="1:18" s="83" customFormat="1">
      <c r="A47" s="90">
        <v>35</v>
      </c>
      <c r="B47" s="91"/>
      <c r="C47" s="96"/>
      <c r="D47" s="92"/>
      <c r="E47" s="92"/>
      <c r="F47" s="93"/>
      <c r="G47" s="93"/>
      <c r="H47" s="93"/>
      <c r="I47" s="93"/>
      <c r="J47" s="93"/>
      <c r="K47" s="93"/>
      <c r="L47" s="94"/>
      <c r="M47" s="95"/>
    </row>
    <row r="48" spans="1:18" s="83" customFormat="1">
      <c r="A48" s="90">
        <v>36</v>
      </c>
      <c r="B48" s="91"/>
      <c r="C48" s="96"/>
      <c r="D48" s="92"/>
      <c r="E48" s="92"/>
      <c r="F48" s="93"/>
      <c r="G48" s="93"/>
      <c r="H48" s="93"/>
      <c r="I48" s="93"/>
      <c r="J48" s="93"/>
      <c r="K48" s="93"/>
      <c r="L48" s="94"/>
      <c r="M48" s="95"/>
    </row>
    <row r="49" spans="1:13" s="83" customFormat="1">
      <c r="A49" s="90">
        <v>37</v>
      </c>
      <c r="B49" s="91"/>
      <c r="C49" s="96"/>
      <c r="D49" s="92"/>
      <c r="E49" s="92"/>
      <c r="F49" s="93"/>
      <c r="G49" s="93"/>
      <c r="H49" s="93"/>
      <c r="I49" s="93"/>
      <c r="J49" s="93"/>
      <c r="K49" s="93"/>
      <c r="L49" s="94"/>
      <c r="M49" s="95"/>
    </row>
    <row r="50" spans="1:13" s="83" customFormat="1">
      <c r="A50" s="90">
        <v>38</v>
      </c>
      <c r="B50" s="91"/>
      <c r="C50" s="96"/>
      <c r="D50" s="92"/>
      <c r="E50" s="92"/>
      <c r="F50" s="93"/>
      <c r="G50" s="93"/>
      <c r="H50" s="93"/>
      <c r="I50" s="93"/>
      <c r="J50" s="93"/>
      <c r="K50" s="93"/>
      <c r="L50" s="94"/>
      <c r="M50" s="95"/>
    </row>
    <row r="51" spans="1:13" s="83" customFormat="1">
      <c r="A51" s="90">
        <v>39</v>
      </c>
      <c r="B51" s="91"/>
      <c r="C51" s="96"/>
      <c r="D51" s="92"/>
      <c r="E51" s="92"/>
      <c r="F51" s="93"/>
      <c r="G51" s="93"/>
      <c r="H51" s="93"/>
      <c r="I51" s="93"/>
      <c r="J51" s="93"/>
      <c r="K51" s="93"/>
      <c r="L51" s="94"/>
      <c r="M51" s="95"/>
    </row>
    <row r="52" spans="1:13" s="83" customFormat="1">
      <c r="A52" s="90">
        <v>40</v>
      </c>
      <c r="B52" s="98"/>
      <c r="C52" s="96"/>
      <c r="D52" s="92"/>
      <c r="E52" s="92"/>
      <c r="F52" s="99"/>
      <c r="G52" s="99"/>
      <c r="H52" s="99"/>
      <c r="I52" s="94"/>
      <c r="J52" s="94"/>
      <c r="K52" s="94"/>
      <c r="L52" s="94"/>
      <c r="M52" s="95"/>
    </row>
    <row r="53" spans="1:13" s="83" customFormat="1">
      <c r="A53" s="90">
        <v>41</v>
      </c>
      <c r="B53" s="98"/>
      <c r="C53" s="96"/>
      <c r="D53" s="92"/>
      <c r="E53" s="92"/>
      <c r="F53" s="99"/>
      <c r="G53" s="99"/>
      <c r="H53" s="99"/>
      <c r="I53" s="94"/>
      <c r="J53" s="94"/>
      <c r="K53" s="94"/>
      <c r="L53" s="94"/>
      <c r="M53" s="95"/>
    </row>
    <row r="54" spans="1:13" s="83" customFormat="1">
      <c r="F54" s="100"/>
      <c r="G54" s="100"/>
      <c r="H54" s="100"/>
    </row>
    <row r="55" spans="1:13" s="83" customFormat="1">
      <c r="F55" s="100"/>
      <c r="G55" s="100"/>
      <c r="H55" s="100"/>
    </row>
    <row r="56" spans="1:13" s="83" customFormat="1">
      <c r="M56" s="83" t="s">
        <v>56</v>
      </c>
    </row>
    <row r="57" spans="1:13" s="83" customFormat="1"/>
    <row r="58" spans="1:13" s="83" customFormat="1">
      <c r="B58"/>
      <c r="C58"/>
      <c r="D58"/>
      <c r="E58"/>
    </row>
    <row r="59" spans="1:13">
      <c r="A59" s="83"/>
      <c r="B59"/>
      <c r="C59"/>
      <c r="D59"/>
      <c r="E59"/>
      <c r="F59"/>
      <c r="G59"/>
      <c r="H59"/>
      <c r="I59"/>
      <c r="J59"/>
      <c r="K59"/>
      <c r="L59"/>
      <c r="M59"/>
    </row>
    <row r="60" spans="1:13">
      <c r="A60" s="83"/>
      <c r="B60"/>
      <c r="C60"/>
      <c r="D60"/>
      <c r="E60"/>
      <c r="F60"/>
      <c r="G60"/>
      <c r="H60"/>
      <c r="I60"/>
      <c r="J60"/>
      <c r="K60"/>
      <c r="L60"/>
      <c r="M60"/>
    </row>
    <row r="61" spans="1:13">
      <c r="A61" s="83"/>
      <c r="B61"/>
      <c r="C61"/>
      <c r="D61"/>
      <c r="E61"/>
      <c r="F61"/>
      <c r="G61"/>
      <c r="H61"/>
      <c r="I61"/>
      <c r="J61"/>
      <c r="K61"/>
      <c r="L61"/>
      <c r="M61"/>
    </row>
    <row r="62" spans="1:13">
      <c r="A62" s="83"/>
      <c r="B62"/>
      <c r="C62"/>
      <c r="D62"/>
      <c r="E62"/>
      <c r="F62"/>
      <c r="G62"/>
      <c r="H62"/>
      <c r="I62"/>
      <c r="J62"/>
      <c r="K62"/>
      <c r="L62"/>
      <c r="M62"/>
    </row>
    <row r="63" spans="1:13">
      <c r="A63" s="83"/>
      <c r="B63"/>
      <c r="C63"/>
      <c r="D63"/>
      <c r="E63"/>
      <c r="F63"/>
      <c r="G63"/>
      <c r="H63"/>
      <c r="I63"/>
      <c r="J63"/>
      <c r="K63"/>
      <c r="L63"/>
      <c r="M63"/>
    </row>
    <row r="64" spans="1:13">
      <c r="A64" s="83"/>
      <c r="B64"/>
      <c r="C64"/>
      <c r="D64"/>
      <c r="E64"/>
      <c r="F64"/>
      <c r="G64"/>
      <c r="H64"/>
      <c r="I64"/>
      <c r="J64"/>
      <c r="K64"/>
      <c r="L64"/>
      <c r="M64"/>
    </row>
    <row r="65" spans="2:5">
      <c r="B65"/>
      <c r="C65"/>
      <c r="D65"/>
      <c r="E65"/>
    </row>
    <row r="66" spans="2:5">
      <c r="B66"/>
      <c r="C66"/>
      <c r="D66"/>
      <c r="E66"/>
    </row>
  </sheetData>
  <autoFilter ref="B12:M53" xr:uid="{00000000-0009-0000-0000-000013000000}"/>
  <mergeCells count="8">
    <mergeCell ref="F10:F11"/>
    <mergeCell ref="I10:I11"/>
    <mergeCell ref="K10:K11"/>
    <mergeCell ref="A1:M1"/>
    <mergeCell ref="B2:L2"/>
    <mergeCell ref="F5:F9"/>
    <mergeCell ref="I5:I9"/>
    <mergeCell ref="K5:K9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601B4-4962-49F4-8AAB-680012053023}">
  <sheetPr>
    <pageSetUpPr fitToPage="1"/>
  </sheetPr>
  <dimension ref="A1:K37"/>
  <sheetViews>
    <sheetView zoomScale="115" zoomScaleNormal="115" workbookViewId="0">
      <selection activeCell="E29" sqref="E29"/>
    </sheetView>
  </sheetViews>
  <sheetFormatPr baseColWidth="10" defaultRowHeight="14.4"/>
  <cols>
    <col min="1" max="1" width="9.33203125" style="104" customWidth="1"/>
    <col min="2" max="2" width="7.88671875" style="104" bestFit="1" customWidth="1"/>
    <col min="3" max="4" width="9.44140625" style="105" customWidth="1"/>
    <col min="5" max="5" width="13.109375" style="101" bestFit="1" customWidth="1"/>
    <col min="6" max="6" width="13.109375" style="101" customWidth="1"/>
    <col min="7" max="7" width="11.109375" style="86" customWidth="1"/>
    <col min="8" max="8" width="19.6640625" style="86" customWidth="1"/>
    <col min="9" max="9" width="24.44140625" style="103" bestFit="1" customWidth="1"/>
    <col min="10" max="10" width="26" style="123" bestFit="1" customWidth="1"/>
    <col min="11" max="11" width="11.5546875" style="123"/>
  </cols>
  <sheetData>
    <row r="1" spans="1:11" ht="34.200000000000003" customHeight="1">
      <c r="A1" s="183" t="s">
        <v>98</v>
      </c>
      <c r="B1" s="183"/>
      <c r="C1" s="183"/>
      <c r="D1" s="183"/>
      <c r="E1" s="183"/>
      <c r="F1" s="183"/>
      <c r="G1" s="183"/>
      <c r="H1" s="183"/>
      <c r="I1" s="183"/>
    </row>
    <row r="2" spans="1:11" ht="12.75" customHeight="1">
      <c r="A2" s="184" t="s">
        <v>150</v>
      </c>
      <c r="B2" s="185"/>
      <c r="C2" s="185"/>
      <c r="D2" s="185"/>
      <c r="E2" s="185"/>
      <c r="F2" s="185"/>
      <c r="G2" s="185"/>
      <c r="H2" s="185"/>
      <c r="I2" s="70"/>
      <c r="J2" s="124"/>
    </row>
    <row r="3" spans="1:11" ht="14.25" customHeight="1">
      <c r="A3" s="71"/>
      <c r="B3" s="72" t="s">
        <v>60</v>
      </c>
      <c r="C3" s="72" t="s">
        <v>60</v>
      </c>
      <c r="D3" s="72"/>
      <c r="E3" s="73" t="s">
        <v>61</v>
      </c>
      <c r="F3" s="73"/>
      <c r="G3" s="75" t="s">
        <v>106</v>
      </c>
      <c r="H3" s="71" t="s">
        <v>64</v>
      </c>
      <c r="I3" s="76"/>
      <c r="J3" s="124"/>
    </row>
    <row r="4" spans="1:11" ht="12.75" customHeight="1">
      <c r="A4" s="77"/>
      <c r="B4" s="78" t="s">
        <v>40</v>
      </c>
      <c r="C4" s="78" t="s">
        <v>151</v>
      </c>
      <c r="D4" s="78"/>
      <c r="E4" s="110" t="s">
        <v>152</v>
      </c>
      <c r="F4" s="110"/>
      <c r="G4" s="125">
        <v>101</v>
      </c>
      <c r="H4" s="126">
        <v>160</v>
      </c>
      <c r="I4" s="81"/>
      <c r="J4" s="127"/>
    </row>
    <row r="5" spans="1:11" ht="12.75" customHeight="1">
      <c r="A5" s="77"/>
      <c r="B5" s="78" t="s">
        <v>41</v>
      </c>
      <c r="C5" s="78" t="s">
        <v>153</v>
      </c>
      <c r="D5" s="78"/>
      <c r="E5" s="110" t="s">
        <v>152</v>
      </c>
      <c r="F5" s="110"/>
      <c r="G5" s="125">
        <v>121</v>
      </c>
      <c r="H5" s="126">
        <v>191.8</v>
      </c>
      <c r="I5" s="81"/>
      <c r="J5" s="127"/>
    </row>
    <row r="6" spans="1:11" s="83" customFormat="1" ht="13.5" customHeight="1">
      <c r="A6" s="77"/>
      <c r="B6" s="78"/>
      <c r="C6" s="78"/>
      <c r="D6" s="78"/>
      <c r="E6" s="110"/>
      <c r="F6" s="110"/>
      <c r="G6" s="111"/>
      <c r="H6" s="126"/>
      <c r="I6" s="81"/>
      <c r="J6" s="128"/>
      <c r="K6" s="129"/>
    </row>
    <row r="7" spans="1:11" s="86" customFormat="1" ht="18.75" customHeight="1">
      <c r="A7" s="87" t="s">
        <v>62</v>
      </c>
      <c r="B7" s="87" t="s">
        <v>63</v>
      </c>
      <c r="C7" s="88" t="s">
        <v>61</v>
      </c>
      <c r="D7" s="120" t="s">
        <v>47</v>
      </c>
      <c r="E7" s="87" t="s">
        <v>95</v>
      </c>
      <c r="F7" s="87" t="s">
        <v>154</v>
      </c>
      <c r="G7" s="87" t="s">
        <v>155</v>
      </c>
      <c r="H7" s="87" t="s">
        <v>96</v>
      </c>
      <c r="I7" s="87" t="s">
        <v>66</v>
      </c>
      <c r="J7" s="130"/>
      <c r="K7" s="130"/>
    </row>
    <row r="8" spans="1:11" s="83" customFormat="1">
      <c r="A8" s="91" t="s">
        <v>108</v>
      </c>
      <c r="B8" s="112">
        <v>55</v>
      </c>
      <c r="C8" s="92" t="s">
        <v>101</v>
      </c>
      <c r="D8" s="92" t="s">
        <v>41</v>
      </c>
      <c r="E8" s="113">
        <v>121</v>
      </c>
      <c r="F8" s="113">
        <v>290.72000000000003</v>
      </c>
      <c r="G8" s="94">
        <f>F8*E8</f>
        <v>35177.120000000003</v>
      </c>
      <c r="H8" s="94">
        <f>G8*1.16</f>
        <v>40805.459199999998</v>
      </c>
      <c r="I8" s="95">
        <v>45912</v>
      </c>
      <c r="J8" s="131"/>
      <c r="K8" s="129"/>
    </row>
    <row r="9" spans="1:11" s="83" customFormat="1">
      <c r="A9" s="91" t="s">
        <v>108</v>
      </c>
      <c r="B9" s="112">
        <v>85</v>
      </c>
      <c r="C9" s="92" t="s">
        <v>101</v>
      </c>
      <c r="D9" s="92" t="s">
        <v>41</v>
      </c>
      <c r="E9" s="113">
        <v>121</v>
      </c>
      <c r="F9" s="113">
        <v>290.72000000000003</v>
      </c>
      <c r="G9" s="94">
        <f t="shared" ref="G9:G26" si="0">F9*E9</f>
        <v>35177.120000000003</v>
      </c>
      <c r="H9" s="94">
        <f t="shared" ref="H9:H26" si="1">G9*1.16</f>
        <v>40805.459199999998</v>
      </c>
      <c r="I9" s="95">
        <v>45912</v>
      </c>
      <c r="J9" s="131"/>
      <c r="K9" s="129"/>
    </row>
    <row r="10" spans="1:11" s="83" customFormat="1">
      <c r="A10" s="91" t="s">
        <v>108</v>
      </c>
      <c r="B10" s="112">
        <v>56</v>
      </c>
      <c r="C10" s="92" t="s">
        <v>100</v>
      </c>
      <c r="D10" s="92" t="s">
        <v>40</v>
      </c>
      <c r="E10" s="113">
        <v>101</v>
      </c>
      <c r="F10" s="113">
        <v>290.72000000000003</v>
      </c>
      <c r="G10" s="94">
        <f t="shared" si="0"/>
        <v>29362.720000000001</v>
      </c>
      <c r="H10" s="94">
        <f t="shared" si="1"/>
        <v>34060.7552</v>
      </c>
      <c r="I10" s="95">
        <v>45912</v>
      </c>
      <c r="J10" s="131"/>
      <c r="K10" s="129"/>
    </row>
    <row r="11" spans="1:11" s="83" customFormat="1">
      <c r="A11" s="91" t="s">
        <v>108</v>
      </c>
      <c r="B11" s="112">
        <v>84</v>
      </c>
      <c r="C11" s="92" t="s">
        <v>100</v>
      </c>
      <c r="D11" s="92" t="s">
        <v>40</v>
      </c>
      <c r="E11" s="113">
        <v>101</v>
      </c>
      <c r="F11" s="113">
        <v>290.72000000000003</v>
      </c>
      <c r="G11" s="94">
        <f t="shared" si="0"/>
        <v>29362.720000000001</v>
      </c>
      <c r="H11" s="94">
        <f t="shared" si="1"/>
        <v>34060.7552</v>
      </c>
      <c r="I11" s="95">
        <v>45912</v>
      </c>
      <c r="J11" s="131"/>
      <c r="K11" s="129"/>
    </row>
    <row r="12" spans="1:11" s="83" customFormat="1">
      <c r="A12" s="91" t="s">
        <v>108</v>
      </c>
      <c r="B12" s="112">
        <v>57</v>
      </c>
      <c r="C12" s="92" t="s">
        <v>101</v>
      </c>
      <c r="D12" s="92" t="s">
        <v>41</v>
      </c>
      <c r="E12" s="113">
        <v>121</v>
      </c>
      <c r="F12" s="113">
        <v>290.72000000000003</v>
      </c>
      <c r="G12" s="94">
        <f t="shared" si="0"/>
        <v>35177.120000000003</v>
      </c>
      <c r="H12" s="94">
        <f t="shared" si="1"/>
        <v>40805.459199999998</v>
      </c>
      <c r="I12" s="95">
        <v>45912</v>
      </c>
      <c r="J12" s="131"/>
      <c r="K12" s="129"/>
    </row>
    <row r="13" spans="1:11" s="83" customFormat="1">
      <c r="A13" s="91" t="s">
        <v>108</v>
      </c>
      <c r="B13" s="112">
        <v>83</v>
      </c>
      <c r="C13" s="92" t="s">
        <v>101</v>
      </c>
      <c r="D13" s="92" t="s">
        <v>41</v>
      </c>
      <c r="E13" s="113">
        <v>121</v>
      </c>
      <c r="F13" s="113">
        <v>290.72000000000003</v>
      </c>
      <c r="G13" s="94">
        <f t="shared" si="0"/>
        <v>35177.120000000003</v>
      </c>
      <c r="H13" s="94">
        <f t="shared" si="1"/>
        <v>40805.459199999998</v>
      </c>
      <c r="I13" s="95">
        <v>45912</v>
      </c>
      <c r="J13" s="131"/>
      <c r="K13" s="129"/>
    </row>
    <row r="14" spans="1:11" s="83" customFormat="1">
      <c r="A14" s="91" t="s">
        <v>108</v>
      </c>
      <c r="B14" s="112">
        <v>58</v>
      </c>
      <c r="C14" s="92" t="s">
        <v>100</v>
      </c>
      <c r="D14" s="92" t="s">
        <v>40</v>
      </c>
      <c r="E14" s="113">
        <v>101</v>
      </c>
      <c r="F14" s="113">
        <v>290.72000000000003</v>
      </c>
      <c r="G14" s="94">
        <f t="shared" si="0"/>
        <v>29362.720000000001</v>
      </c>
      <c r="H14" s="94">
        <f t="shared" si="1"/>
        <v>34060.7552</v>
      </c>
      <c r="I14" s="95">
        <v>45926</v>
      </c>
      <c r="J14" s="132"/>
      <c r="K14" s="129"/>
    </row>
    <row r="15" spans="1:11" s="83" customFormat="1">
      <c r="A15" s="91" t="s">
        <v>108</v>
      </c>
      <c r="B15" s="112">
        <v>82</v>
      </c>
      <c r="C15" s="92" t="s">
        <v>100</v>
      </c>
      <c r="D15" s="92" t="s">
        <v>40</v>
      </c>
      <c r="E15" s="113">
        <v>101</v>
      </c>
      <c r="F15" s="113">
        <v>290.72000000000003</v>
      </c>
      <c r="G15" s="94">
        <f t="shared" si="0"/>
        <v>29362.720000000001</v>
      </c>
      <c r="H15" s="94">
        <f t="shared" si="1"/>
        <v>34060.7552</v>
      </c>
      <c r="I15" s="95">
        <v>45926</v>
      </c>
      <c r="J15" s="132"/>
      <c r="K15" s="129"/>
    </row>
    <row r="16" spans="1:11" s="83" customFormat="1">
      <c r="A16" s="91" t="s">
        <v>108</v>
      </c>
      <c r="B16" s="112">
        <v>59</v>
      </c>
      <c r="C16" s="92" t="s">
        <v>101</v>
      </c>
      <c r="D16" s="92" t="s">
        <v>41</v>
      </c>
      <c r="E16" s="113">
        <v>121</v>
      </c>
      <c r="F16" s="113">
        <v>290.72000000000003</v>
      </c>
      <c r="G16" s="94">
        <f t="shared" si="0"/>
        <v>35177.120000000003</v>
      </c>
      <c r="H16" s="94">
        <f t="shared" si="1"/>
        <v>40805.459199999998</v>
      </c>
      <c r="I16" s="95">
        <v>45926</v>
      </c>
      <c r="J16" s="132"/>
      <c r="K16" s="129"/>
    </row>
    <row r="17" spans="1:11" s="83" customFormat="1">
      <c r="A17" s="91" t="s">
        <v>108</v>
      </c>
      <c r="B17" s="114">
        <v>81</v>
      </c>
      <c r="C17" s="92" t="s">
        <v>101</v>
      </c>
      <c r="D17" s="92" t="s">
        <v>41</v>
      </c>
      <c r="E17" s="113">
        <v>121</v>
      </c>
      <c r="F17" s="113">
        <v>290.72000000000003</v>
      </c>
      <c r="G17" s="94">
        <f t="shared" si="0"/>
        <v>35177.120000000003</v>
      </c>
      <c r="H17" s="94">
        <f t="shared" si="1"/>
        <v>40805.459199999998</v>
      </c>
      <c r="I17" s="95">
        <v>45926</v>
      </c>
      <c r="J17" s="132"/>
      <c r="K17" s="129"/>
    </row>
    <row r="18" spans="1:11" s="83" customFormat="1">
      <c r="A18" s="91" t="s">
        <v>108</v>
      </c>
      <c r="B18" s="114">
        <v>60</v>
      </c>
      <c r="C18" s="92" t="s">
        <v>100</v>
      </c>
      <c r="D18" s="92" t="s">
        <v>40</v>
      </c>
      <c r="E18" s="113">
        <v>101</v>
      </c>
      <c r="F18" s="113">
        <v>290.72000000000003</v>
      </c>
      <c r="G18" s="94">
        <f t="shared" si="0"/>
        <v>29362.720000000001</v>
      </c>
      <c r="H18" s="94">
        <f t="shared" si="1"/>
        <v>34060.7552</v>
      </c>
      <c r="I18" s="95">
        <v>45926</v>
      </c>
      <c r="J18" s="132"/>
      <c r="K18" s="129"/>
    </row>
    <row r="19" spans="1:11" s="83" customFormat="1">
      <c r="A19" s="91" t="s">
        <v>108</v>
      </c>
      <c r="B19" s="114">
        <v>80</v>
      </c>
      <c r="C19" s="92" t="s">
        <v>100</v>
      </c>
      <c r="D19" s="92" t="s">
        <v>40</v>
      </c>
      <c r="E19" s="113">
        <v>101</v>
      </c>
      <c r="F19" s="113">
        <v>290.72000000000003</v>
      </c>
      <c r="G19" s="94">
        <f t="shared" si="0"/>
        <v>29362.720000000001</v>
      </c>
      <c r="H19" s="94">
        <f t="shared" si="1"/>
        <v>34060.7552</v>
      </c>
      <c r="I19" s="95">
        <v>45926</v>
      </c>
      <c r="J19" s="132"/>
      <c r="K19" s="129"/>
    </row>
    <row r="20" spans="1:11" s="83" customFormat="1">
      <c r="A20" s="91" t="s">
        <v>108</v>
      </c>
      <c r="B20" s="114">
        <v>61</v>
      </c>
      <c r="C20" s="92" t="s">
        <v>101</v>
      </c>
      <c r="D20" s="92" t="s">
        <v>41</v>
      </c>
      <c r="E20" s="113">
        <v>121</v>
      </c>
      <c r="F20" s="113">
        <v>290.72000000000003</v>
      </c>
      <c r="G20" s="94">
        <f t="shared" si="0"/>
        <v>35177.120000000003</v>
      </c>
      <c r="H20" s="94">
        <f t="shared" si="1"/>
        <v>40805.459199999998</v>
      </c>
      <c r="I20" s="95">
        <v>45940</v>
      </c>
      <c r="J20" s="133"/>
      <c r="K20" s="129"/>
    </row>
    <row r="21" spans="1:11" s="83" customFormat="1">
      <c r="A21" s="91" t="s">
        <v>108</v>
      </c>
      <c r="B21" s="114">
        <v>79</v>
      </c>
      <c r="C21" s="92" t="s">
        <v>101</v>
      </c>
      <c r="D21" s="92" t="s">
        <v>41</v>
      </c>
      <c r="E21" s="113">
        <v>121</v>
      </c>
      <c r="F21" s="113">
        <v>290.72000000000003</v>
      </c>
      <c r="G21" s="94">
        <f t="shared" si="0"/>
        <v>35177.120000000003</v>
      </c>
      <c r="H21" s="94">
        <f t="shared" si="1"/>
        <v>40805.459199999998</v>
      </c>
      <c r="I21" s="95">
        <v>45940</v>
      </c>
      <c r="J21" s="133"/>
      <c r="K21" s="129"/>
    </row>
    <row r="22" spans="1:11" s="83" customFormat="1">
      <c r="A22" s="91" t="s">
        <v>108</v>
      </c>
      <c r="B22" s="114">
        <v>62</v>
      </c>
      <c r="C22" s="92" t="s">
        <v>100</v>
      </c>
      <c r="D22" s="92" t="s">
        <v>40</v>
      </c>
      <c r="E22" s="113">
        <v>101</v>
      </c>
      <c r="F22" s="113">
        <v>290.72000000000003</v>
      </c>
      <c r="G22" s="94">
        <f t="shared" si="0"/>
        <v>29362.720000000001</v>
      </c>
      <c r="H22" s="94">
        <f t="shared" si="1"/>
        <v>34060.7552</v>
      </c>
      <c r="I22" s="95">
        <v>45940</v>
      </c>
      <c r="J22" s="133"/>
      <c r="K22" s="129"/>
    </row>
    <row r="23" spans="1:11" s="83" customFormat="1">
      <c r="A23" s="91" t="s">
        <v>108</v>
      </c>
      <c r="B23" s="115">
        <v>78</v>
      </c>
      <c r="C23" s="92" t="s">
        <v>100</v>
      </c>
      <c r="D23" s="92" t="s">
        <v>40</v>
      </c>
      <c r="E23" s="113">
        <v>101</v>
      </c>
      <c r="F23" s="113">
        <v>290.72000000000003</v>
      </c>
      <c r="G23" s="94">
        <f t="shared" si="0"/>
        <v>29362.720000000001</v>
      </c>
      <c r="H23" s="94">
        <f t="shared" si="1"/>
        <v>34060.7552</v>
      </c>
      <c r="I23" s="95">
        <v>45940</v>
      </c>
      <c r="J23" s="133"/>
      <c r="K23" s="129"/>
    </row>
    <row r="24" spans="1:11" s="83" customFormat="1">
      <c r="A24" s="91" t="s">
        <v>108</v>
      </c>
      <c r="B24" s="114">
        <v>63</v>
      </c>
      <c r="C24" s="92" t="s">
        <v>101</v>
      </c>
      <c r="D24" s="92" t="s">
        <v>41</v>
      </c>
      <c r="E24" s="113">
        <v>121</v>
      </c>
      <c r="F24" s="113">
        <v>290.72000000000003</v>
      </c>
      <c r="G24" s="94">
        <f t="shared" si="0"/>
        <v>35177.120000000003</v>
      </c>
      <c r="H24" s="94">
        <f t="shared" si="1"/>
        <v>40805.459199999998</v>
      </c>
      <c r="I24" s="95">
        <v>45940</v>
      </c>
      <c r="J24" s="133"/>
      <c r="K24" s="129"/>
    </row>
    <row r="25" spans="1:11" s="83" customFormat="1">
      <c r="A25" s="91" t="s">
        <v>108</v>
      </c>
      <c r="B25" s="114">
        <v>77</v>
      </c>
      <c r="C25" s="92" t="s">
        <v>101</v>
      </c>
      <c r="D25" s="92" t="s">
        <v>41</v>
      </c>
      <c r="E25" s="113">
        <v>121</v>
      </c>
      <c r="F25" s="113">
        <v>290.72000000000003</v>
      </c>
      <c r="G25" s="94">
        <f t="shared" si="0"/>
        <v>35177.120000000003</v>
      </c>
      <c r="H25" s="94">
        <f t="shared" si="1"/>
        <v>40805.459199999998</v>
      </c>
      <c r="I25" s="95">
        <v>45940</v>
      </c>
      <c r="J25" s="133"/>
      <c r="K25" s="129"/>
    </row>
    <row r="26" spans="1:11" s="83" customFormat="1">
      <c r="A26" s="91" t="s">
        <v>108</v>
      </c>
      <c r="B26" s="114">
        <v>64</v>
      </c>
      <c r="C26" s="92" t="s">
        <v>100</v>
      </c>
      <c r="D26" s="92" t="s">
        <v>40</v>
      </c>
      <c r="E26" s="113">
        <v>101</v>
      </c>
      <c r="F26" s="113">
        <v>290.72000000000003</v>
      </c>
      <c r="G26" s="94">
        <f t="shared" si="0"/>
        <v>29362.720000000001</v>
      </c>
      <c r="H26" s="94">
        <f t="shared" si="1"/>
        <v>34060.7552</v>
      </c>
      <c r="I26" s="95">
        <v>45940</v>
      </c>
      <c r="J26" s="133"/>
      <c r="K26" s="129"/>
    </row>
    <row r="27" spans="1:11" s="83" customFormat="1" ht="16.2">
      <c r="C27" s="83" t="s">
        <v>97</v>
      </c>
      <c r="E27" s="116">
        <f>SUM(E8:E26)</f>
        <v>2119</v>
      </c>
      <c r="F27" s="116"/>
      <c r="H27" s="117">
        <f>SUM(H8:H26)</f>
        <v>714601.38880000007</v>
      </c>
      <c r="J27" s="129"/>
      <c r="K27" s="129"/>
    </row>
    <row r="28" spans="1:11" s="83" customFormat="1">
      <c r="E28" s="118"/>
      <c r="F28" s="118"/>
      <c r="J28" s="129"/>
      <c r="K28" s="129"/>
    </row>
    <row r="29" spans="1:11" s="83" customFormat="1" ht="16.2">
      <c r="H29" s="119"/>
      <c r="J29" s="129"/>
      <c r="K29" s="129"/>
    </row>
    <row r="30" spans="1:11" s="83" customFormat="1">
      <c r="J30" s="129"/>
      <c r="K30" s="129"/>
    </row>
    <row r="31" spans="1:11" s="83" customFormat="1">
      <c r="J31" s="129"/>
      <c r="K31" s="129"/>
    </row>
    <row r="32" spans="1:11">
      <c r="A32" s="83"/>
      <c r="B32"/>
      <c r="C32">
        <f>+[2]MAPEI!$I$61</f>
        <v>0</v>
      </c>
      <c r="D32"/>
      <c r="E32"/>
      <c r="F32"/>
      <c r="G32"/>
      <c r="H32"/>
      <c r="I32"/>
    </row>
    <row r="33" spans="1:9">
      <c r="A33" s="83"/>
      <c r="B33"/>
      <c r="C33"/>
      <c r="D33"/>
      <c r="E33"/>
      <c r="F33"/>
      <c r="G33"/>
      <c r="H33"/>
      <c r="I33"/>
    </row>
    <row r="34" spans="1:9">
      <c r="A34" s="83"/>
      <c r="B34"/>
      <c r="C34"/>
      <c r="D34"/>
      <c r="E34"/>
      <c r="F34"/>
      <c r="G34"/>
      <c r="H34"/>
      <c r="I34"/>
    </row>
    <row r="35" spans="1:9">
      <c r="A35" s="83"/>
      <c r="B35"/>
      <c r="C35"/>
      <c r="D35"/>
      <c r="E35"/>
      <c r="F35"/>
      <c r="G35"/>
      <c r="H35"/>
      <c r="I35"/>
    </row>
    <row r="36" spans="1:9">
      <c r="A36" s="83"/>
      <c r="B36"/>
      <c r="C36"/>
      <c r="D36"/>
      <c r="E36"/>
      <c r="F36"/>
      <c r="G36"/>
      <c r="H36"/>
      <c r="I36"/>
    </row>
    <row r="37" spans="1:9">
      <c r="A37" s="83"/>
      <c r="B37"/>
      <c r="C37"/>
      <c r="D37"/>
      <c r="E37"/>
      <c r="F37"/>
      <c r="G37"/>
      <c r="H37"/>
      <c r="I37"/>
    </row>
  </sheetData>
  <autoFilter ref="A7:I26" xr:uid="{00000000-0009-0000-0000-000000000000}"/>
  <mergeCells count="2">
    <mergeCell ref="A1:I1"/>
    <mergeCell ref="A2:H2"/>
  </mergeCells>
  <pageMargins left="0.7" right="0.7" top="0.75" bottom="0.75" header="0.3" footer="0.3"/>
  <pageSetup paperSize="9" scale="1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2D8A1-2CC0-4B58-8ACE-ADAA48EFB16D}">
  <sheetPr>
    <pageSetUpPr fitToPage="1"/>
  </sheetPr>
  <dimension ref="A1:K22"/>
  <sheetViews>
    <sheetView zoomScale="115" zoomScaleNormal="115" workbookViewId="0">
      <selection activeCell="A8" sqref="A8:I11"/>
    </sheetView>
  </sheetViews>
  <sheetFormatPr baseColWidth="10" defaultRowHeight="14.4"/>
  <cols>
    <col min="1" max="1" width="9.33203125" style="104" customWidth="1"/>
    <col min="2" max="2" width="7.88671875" style="104" bestFit="1" customWidth="1"/>
    <col min="3" max="4" width="9.44140625" style="105" customWidth="1"/>
    <col min="5" max="5" width="13.109375" style="101" bestFit="1" customWidth="1"/>
    <col min="6" max="6" width="13.109375" style="101" customWidth="1"/>
    <col min="7" max="7" width="11.109375" style="86" customWidth="1"/>
    <col min="8" max="8" width="19.6640625" style="86" customWidth="1"/>
    <col min="9" max="9" width="24.44140625" style="103" bestFit="1" customWidth="1"/>
    <col min="10" max="10" width="26" style="123" bestFit="1" customWidth="1"/>
    <col min="11" max="11" width="11.5546875" style="123"/>
  </cols>
  <sheetData>
    <row r="1" spans="1:11" ht="34.200000000000003" customHeight="1">
      <c r="A1" s="183" t="s">
        <v>98</v>
      </c>
      <c r="B1" s="183"/>
      <c r="C1" s="183"/>
      <c r="D1" s="183"/>
      <c r="E1" s="183"/>
      <c r="F1" s="183"/>
      <c r="G1" s="183"/>
      <c r="H1" s="183"/>
      <c r="I1" s="183"/>
    </row>
    <row r="2" spans="1:11" ht="12.75" customHeight="1">
      <c r="A2" s="184" t="s">
        <v>156</v>
      </c>
      <c r="B2" s="185"/>
      <c r="C2" s="185"/>
      <c r="D2" s="185"/>
      <c r="E2" s="185"/>
      <c r="F2" s="185"/>
      <c r="G2" s="185"/>
      <c r="H2" s="185"/>
      <c r="I2" s="70"/>
      <c r="J2" s="124"/>
    </row>
    <row r="3" spans="1:11" ht="14.25" customHeight="1">
      <c r="A3" s="71"/>
      <c r="B3" s="72" t="s">
        <v>60</v>
      </c>
      <c r="C3" s="72" t="s">
        <v>60</v>
      </c>
      <c r="D3" s="72"/>
      <c r="E3" s="73" t="s">
        <v>61</v>
      </c>
      <c r="F3" s="73"/>
      <c r="G3" s="75" t="s">
        <v>106</v>
      </c>
      <c r="H3" s="71" t="s">
        <v>64</v>
      </c>
      <c r="I3" s="76"/>
      <c r="J3" s="124"/>
    </row>
    <row r="4" spans="1:11" ht="12.75" customHeight="1">
      <c r="A4" s="77"/>
      <c r="B4" s="78" t="s">
        <v>40</v>
      </c>
      <c r="C4" s="78" t="s">
        <v>151</v>
      </c>
      <c r="D4" s="78"/>
      <c r="E4" s="110" t="s">
        <v>152</v>
      </c>
      <c r="F4" s="110"/>
      <c r="G4" s="125">
        <v>101</v>
      </c>
      <c r="H4" s="126">
        <v>160</v>
      </c>
      <c r="I4" s="81"/>
      <c r="J4" s="127"/>
    </row>
    <row r="5" spans="1:11" ht="12.75" customHeight="1">
      <c r="A5" s="77"/>
      <c r="B5" s="78" t="s">
        <v>41</v>
      </c>
      <c r="C5" s="78" t="s">
        <v>153</v>
      </c>
      <c r="D5" s="78"/>
      <c r="E5" s="110" t="s">
        <v>152</v>
      </c>
      <c r="F5" s="110"/>
      <c r="G5" s="125">
        <v>121</v>
      </c>
      <c r="H5" s="126">
        <v>191.8</v>
      </c>
      <c r="I5" s="81"/>
      <c r="J5" s="127"/>
    </row>
    <row r="6" spans="1:11" s="83" customFormat="1" ht="13.5" customHeight="1">
      <c r="A6" s="77"/>
      <c r="B6" s="78"/>
      <c r="C6" s="78"/>
      <c r="D6" s="78"/>
      <c r="E6" s="110"/>
      <c r="F6" s="110"/>
      <c r="G6" s="111"/>
      <c r="H6" s="126"/>
      <c r="I6" s="81"/>
      <c r="J6" s="128"/>
      <c r="K6" s="129"/>
    </row>
    <row r="7" spans="1:11" s="86" customFormat="1" ht="18.75" customHeight="1">
      <c r="A7" s="87" t="s">
        <v>62</v>
      </c>
      <c r="B7" s="87" t="s">
        <v>63</v>
      </c>
      <c r="C7" s="134" t="s">
        <v>61</v>
      </c>
      <c r="D7" s="135" t="s">
        <v>47</v>
      </c>
      <c r="E7" s="87" t="s">
        <v>95</v>
      </c>
      <c r="F7" s="87" t="s">
        <v>154</v>
      </c>
      <c r="G7" s="87" t="s">
        <v>155</v>
      </c>
      <c r="H7" s="87" t="s">
        <v>96</v>
      </c>
      <c r="I7" s="87" t="s">
        <v>66</v>
      </c>
      <c r="J7" s="130"/>
      <c r="K7" s="130"/>
    </row>
    <row r="8" spans="1:11" s="83" customFormat="1">
      <c r="A8" s="91" t="s">
        <v>107</v>
      </c>
      <c r="B8" s="112">
        <v>121</v>
      </c>
      <c r="C8" s="92" t="s">
        <v>101</v>
      </c>
      <c r="D8" s="92" t="s">
        <v>41</v>
      </c>
      <c r="E8" s="113">
        <v>121</v>
      </c>
      <c r="F8" s="113">
        <v>290.72000000000003</v>
      </c>
      <c r="G8" s="94">
        <f>F8*E8</f>
        <v>35177.120000000003</v>
      </c>
      <c r="H8" s="94">
        <f>G8*1.16</f>
        <v>40805.459199999998</v>
      </c>
      <c r="I8" s="95">
        <v>45898</v>
      </c>
      <c r="J8" s="136"/>
      <c r="K8" s="129"/>
    </row>
    <row r="9" spans="1:11" s="83" customFormat="1">
      <c r="A9" s="91" t="s">
        <v>107</v>
      </c>
      <c r="B9" s="112">
        <v>120</v>
      </c>
      <c r="C9" s="92" t="s">
        <v>100</v>
      </c>
      <c r="D9" s="92" t="s">
        <v>40</v>
      </c>
      <c r="E9" s="113">
        <v>101</v>
      </c>
      <c r="F9" s="113">
        <v>290.72000000000003</v>
      </c>
      <c r="G9" s="94">
        <f>F9*E9</f>
        <v>29362.720000000001</v>
      </c>
      <c r="H9" s="94">
        <f>G9*1.16</f>
        <v>34060.7552</v>
      </c>
      <c r="I9" s="95">
        <v>45898</v>
      </c>
      <c r="J9" s="136"/>
      <c r="K9" s="129"/>
    </row>
    <row r="10" spans="1:11" s="83" customFormat="1">
      <c r="A10" s="91" t="s">
        <v>107</v>
      </c>
      <c r="B10" s="112">
        <v>119</v>
      </c>
      <c r="C10" s="92" t="s">
        <v>101</v>
      </c>
      <c r="D10" s="92" t="s">
        <v>41</v>
      </c>
      <c r="E10" s="113">
        <v>121</v>
      </c>
      <c r="F10" s="113">
        <v>290.72000000000003</v>
      </c>
      <c r="G10" s="94">
        <f>F10*E10</f>
        <v>35177.120000000003</v>
      </c>
      <c r="H10" s="94">
        <f>G10*1.16</f>
        <v>40805.459199999998</v>
      </c>
      <c r="I10" s="95">
        <v>45898</v>
      </c>
      <c r="J10" s="136"/>
      <c r="K10" s="129"/>
    </row>
    <row r="11" spans="1:11" s="83" customFormat="1">
      <c r="A11" s="91" t="s">
        <v>107</v>
      </c>
      <c r="B11" s="112">
        <v>118</v>
      </c>
      <c r="C11" s="92" t="s">
        <v>100</v>
      </c>
      <c r="D11" s="92" t="s">
        <v>40</v>
      </c>
      <c r="E11" s="113">
        <v>101</v>
      </c>
      <c r="F11" s="113">
        <v>290.72000000000003</v>
      </c>
      <c r="G11" s="94">
        <f>F11*E11</f>
        <v>29362.720000000001</v>
      </c>
      <c r="H11" s="94">
        <f>G11*1.16</f>
        <v>34060.7552</v>
      </c>
      <c r="I11" s="95">
        <v>45898</v>
      </c>
      <c r="J11" s="136"/>
      <c r="K11" s="129"/>
    </row>
    <row r="12" spans="1:11" s="83" customFormat="1" ht="16.2">
      <c r="C12" s="83" t="s">
        <v>97</v>
      </c>
      <c r="E12" s="116">
        <f>SUM(E8:E11)</f>
        <v>444</v>
      </c>
      <c r="F12" s="116"/>
      <c r="H12" s="117">
        <f>SUM(H8:H11)</f>
        <v>149732.42879999999</v>
      </c>
      <c r="J12" s="129"/>
      <c r="K12" s="129"/>
    </row>
    <row r="13" spans="1:11" s="83" customFormat="1">
      <c r="E13" s="118"/>
      <c r="F13" s="118"/>
      <c r="J13" s="129"/>
      <c r="K13" s="129"/>
    </row>
    <row r="14" spans="1:11" s="83" customFormat="1" ht="16.2">
      <c r="H14" s="119"/>
      <c r="J14" s="129"/>
      <c r="K14" s="129"/>
    </row>
    <row r="15" spans="1:11" s="83" customFormat="1">
      <c r="J15" s="129"/>
      <c r="K15" s="129"/>
    </row>
    <row r="16" spans="1:11" s="83" customFormat="1">
      <c r="J16" s="129"/>
      <c r="K16" s="129"/>
    </row>
    <row r="17" spans="1:9">
      <c r="A17" s="83"/>
      <c r="B17"/>
      <c r="C17"/>
      <c r="D17"/>
      <c r="E17"/>
      <c r="F17"/>
      <c r="G17"/>
      <c r="H17"/>
      <c r="I17"/>
    </row>
    <row r="18" spans="1:9">
      <c r="A18" s="83"/>
      <c r="B18"/>
      <c r="C18"/>
      <c r="D18"/>
      <c r="E18"/>
      <c r="F18"/>
      <c r="G18"/>
      <c r="H18"/>
      <c r="I18"/>
    </row>
    <row r="19" spans="1:9">
      <c r="A19" s="83"/>
      <c r="B19"/>
      <c r="C19"/>
      <c r="D19"/>
      <c r="E19"/>
      <c r="F19"/>
      <c r="G19"/>
      <c r="H19"/>
      <c r="I19"/>
    </row>
    <row r="20" spans="1:9">
      <c r="A20" s="83"/>
      <c r="B20"/>
      <c r="C20"/>
      <c r="D20"/>
      <c r="E20"/>
      <c r="F20"/>
      <c r="G20"/>
      <c r="H20"/>
      <c r="I20"/>
    </row>
    <row r="21" spans="1:9">
      <c r="A21" s="83"/>
      <c r="B21"/>
      <c r="C21"/>
      <c r="D21"/>
      <c r="E21"/>
      <c r="F21"/>
      <c r="G21"/>
      <c r="H21"/>
      <c r="I21"/>
    </row>
    <row r="22" spans="1:9">
      <c r="A22" s="83"/>
      <c r="B22"/>
      <c r="C22"/>
      <c r="D22"/>
      <c r="E22"/>
      <c r="F22"/>
      <c r="G22"/>
      <c r="H22"/>
      <c r="I22"/>
    </row>
  </sheetData>
  <autoFilter ref="A7:I11" xr:uid="{00000000-0009-0000-0000-000000000000}"/>
  <mergeCells count="2">
    <mergeCell ref="A1:I1"/>
    <mergeCell ref="A2:H2"/>
  </mergeCells>
  <pageMargins left="0.7" right="0.7" top="0.75" bottom="0.75" header="0.3" footer="0.3"/>
  <pageSetup paperSize="9" scale="6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3027C-53AD-4A67-A6F1-A3928224BFA6}">
  <dimension ref="A1:H45"/>
  <sheetViews>
    <sheetView zoomScale="130" zoomScaleNormal="130" workbookViewId="0">
      <selection activeCell="H11" sqref="H11"/>
    </sheetView>
  </sheetViews>
  <sheetFormatPr baseColWidth="10" defaultRowHeight="14.4"/>
  <cols>
    <col min="1" max="1" width="9.33203125" style="104" customWidth="1"/>
    <col min="2" max="2" width="7.88671875" style="104" bestFit="1" customWidth="1"/>
    <col min="3" max="4" width="9.44140625" style="105" customWidth="1"/>
    <col min="5" max="5" width="12.6640625" style="101" bestFit="1" customWidth="1"/>
    <col min="6" max="6" width="11.109375" style="86" customWidth="1"/>
    <col min="7" max="7" width="19.6640625" style="86" customWidth="1"/>
    <col min="8" max="8" width="24.44140625" style="103" bestFit="1" customWidth="1"/>
  </cols>
  <sheetData>
    <row r="1" spans="1:8" ht="34.200000000000003" customHeight="1">
      <c r="A1" s="183" t="s">
        <v>98</v>
      </c>
      <c r="B1" s="183"/>
      <c r="C1" s="183"/>
      <c r="D1" s="183"/>
      <c r="E1" s="183"/>
      <c r="F1" s="183"/>
      <c r="G1" s="183"/>
      <c r="H1" s="183"/>
    </row>
    <row r="2" spans="1:8" ht="12.75" customHeight="1">
      <c r="A2" s="184" t="s">
        <v>258</v>
      </c>
      <c r="B2" s="185"/>
      <c r="C2" s="185"/>
      <c r="D2" s="185"/>
      <c r="E2" s="185"/>
      <c r="F2" s="185"/>
      <c r="G2" s="185"/>
      <c r="H2" s="70"/>
    </row>
    <row r="3" spans="1:8" ht="14.25" customHeight="1">
      <c r="A3" s="71"/>
      <c r="B3" s="72" t="s">
        <v>60</v>
      </c>
      <c r="C3" s="72" t="s">
        <v>60</v>
      </c>
      <c r="D3" s="72"/>
      <c r="E3" s="73" t="s">
        <v>61</v>
      </c>
      <c r="F3" s="75" t="s">
        <v>106</v>
      </c>
      <c r="G3" s="71"/>
      <c r="H3" s="76"/>
    </row>
    <row r="4" spans="1:8" ht="12.75" customHeight="1">
      <c r="A4" s="77"/>
      <c r="B4" s="78"/>
      <c r="C4" s="78"/>
      <c r="D4" s="78"/>
      <c r="E4" s="110"/>
      <c r="F4" s="111"/>
      <c r="G4" s="80"/>
      <c r="H4" s="81"/>
    </row>
    <row r="5" spans="1:8" ht="12.75" customHeight="1">
      <c r="A5" s="77"/>
      <c r="B5" s="78"/>
      <c r="C5" s="78"/>
      <c r="D5" s="78"/>
      <c r="E5" s="110"/>
      <c r="F5" s="111"/>
      <c r="G5" s="80"/>
      <c r="H5" s="81"/>
    </row>
    <row r="6" spans="1:8" ht="12.75" customHeight="1">
      <c r="A6" s="77"/>
      <c r="B6" s="78"/>
      <c r="C6" s="78"/>
      <c r="D6" s="78"/>
      <c r="E6" s="110"/>
      <c r="F6" s="111"/>
      <c r="G6" s="80"/>
      <c r="H6" s="81"/>
    </row>
    <row r="7" spans="1:8" ht="12.75" customHeight="1">
      <c r="A7" s="77"/>
      <c r="B7" s="78"/>
      <c r="C7" s="78"/>
      <c r="D7" s="78"/>
      <c r="E7" s="110"/>
      <c r="F7" s="111"/>
      <c r="G7" s="80"/>
      <c r="H7" s="81"/>
    </row>
    <row r="8" spans="1:8" s="83" customFormat="1" ht="13.5" customHeight="1">
      <c r="A8" s="77"/>
      <c r="B8" s="78"/>
      <c r="C8" s="78"/>
      <c r="D8" s="78"/>
      <c r="E8" s="110"/>
      <c r="F8" s="111"/>
      <c r="G8" s="80"/>
      <c r="H8" s="81"/>
    </row>
    <row r="9" spans="1:8" s="83" customFormat="1" ht="13.5" customHeight="1">
      <c r="A9" s="77"/>
      <c r="B9" s="78"/>
      <c r="C9" s="78"/>
      <c r="D9" s="78"/>
      <c r="E9" s="110"/>
      <c r="F9" s="111"/>
      <c r="G9" s="80"/>
      <c r="H9" s="81"/>
    </row>
    <row r="10" spans="1:8" s="86" customFormat="1" ht="18.75" customHeight="1">
      <c r="A10" s="87" t="s">
        <v>62</v>
      </c>
      <c r="B10" s="87" t="s">
        <v>63</v>
      </c>
      <c r="C10" s="88" t="s">
        <v>61</v>
      </c>
      <c r="D10" s="120" t="s">
        <v>47</v>
      </c>
      <c r="E10" s="87" t="s">
        <v>95</v>
      </c>
      <c r="F10" s="87"/>
      <c r="G10" s="87" t="s">
        <v>96</v>
      </c>
      <c r="H10" s="87" t="s">
        <v>66</v>
      </c>
    </row>
    <row r="11" spans="1:8" s="83" customFormat="1">
      <c r="A11" s="91" t="s">
        <v>253</v>
      </c>
      <c r="B11" s="112">
        <v>65</v>
      </c>
      <c r="C11" s="92" t="s">
        <v>101</v>
      </c>
      <c r="D11" s="92" t="s">
        <v>41</v>
      </c>
      <c r="E11" s="113"/>
      <c r="F11" s="94"/>
      <c r="G11" s="94"/>
      <c r="H11" s="95">
        <v>46188</v>
      </c>
    </row>
    <row r="12" spans="1:8" s="83" customFormat="1">
      <c r="A12" s="91" t="s">
        <v>253</v>
      </c>
      <c r="B12" s="112">
        <v>66</v>
      </c>
      <c r="C12" s="92" t="s">
        <v>100</v>
      </c>
      <c r="D12" s="92" t="s">
        <v>40</v>
      </c>
      <c r="E12" s="113"/>
      <c r="F12" s="94"/>
      <c r="G12" s="94"/>
      <c r="H12" s="95">
        <v>46188</v>
      </c>
    </row>
    <row r="13" spans="1:8" s="83" customFormat="1">
      <c r="A13" s="91" t="s">
        <v>253</v>
      </c>
      <c r="B13" s="112">
        <v>67</v>
      </c>
      <c r="C13" s="92" t="s">
        <v>101</v>
      </c>
      <c r="D13" s="92" t="s">
        <v>41</v>
      </c>
      <c r="E13" s="113"/>
      <c r="F13" s="94"/>
      <c r="G13" s="94"/>
      <c r="H13" s="95">
        <v>46188</v>
      </c>
    </row>
    <row r="14" spans="1:8" s="83" customFormat="1">
      <c r="A14" s="91" t="s">
        <v>253</v>
      </c>
      <c r="B14" s="112">
        <v>73</v>
      </c>
      <c r="C14" s="92" t="s">
        <v>101</v>
      </c>
      <c r="D14" s="92" t="s">
        <v>41</v>
      </c>
      <c r="E14" s="113"/>
      <c r="F14" s="94"/>
      <c r="G14" s="94"/>
      <c r="H14" s="95">
        <v>46188</v>
      </c>
    </row>
    <row r="15" spans="1:8" s="83" customFormat="1">
      <c r="A15" s="91" t="s">
        <v>253</v>
      </c>
      <c r="B15" s="112">
        <v>74</v>
      </c>
      <c r="C15" s="92" t="s">
        <v>100</v>
      </c>
      <c r="D15" s="92" t="s">
        <v>40</v>
      </c>
      <c r="E15" s="113"/>
      <c r="F15" s="94"/>
      <c r="G15" s="94"/>
      <c r="H15" s="95">
        <v>46209</v>
      </c>
    </row>
    <row r="16" spans="1:8" s="83" customFormat="1">
      <c r="A16" s="91" t="s">
        <v>253</v>
      </c>
      <c r="B16" s="112">
        <v>75</v>
      </c>
      <c r="C16" s="92" t="s">
        <v>101</v>
      </c>
      <c r="D16" s="92" t="s">
        <v>41</v>
      </c>
      <c r="E16" s="113"/>
      <c r="F16" s="94"/>
      <c r="G16" s="94"/>
      <c r="H16" s="95">
        <v>46209</v>
      </c>
    </row>
    <row r="17" spans="1:8" s="83" customFormat="1">
      <c r="A17" s="91" t="s">
        <v>253</v>
      </c>
      <c r="B17" s="112">
        <v>76</v>
      </c>
      <c r="C17" s="92" t="s">
        <v>100</v>
      </c>
      <c r="D17" s="92" t="s">
        <v>40</v>
      </c>
      <c r="E17" s="113"/>
      <c r="F17" s="94"/>
      <c r="G17" s="94"/>
      <c r="H17" s="95">
        <v>46209</v>
      </c>
    </row>
    <row r="18" spans="1:8" s="83" customFormat="1">
      <c r="A18" s="91" t="s">
        <v>253</v>
      </c>
      <c r="B18" s="112">
        <v>97</v>
      </c>
      <c r="C18" s="92" t="s">
        <v>101</v>
      </c>
      <c r="D18" s="92" t="s">
        <v>41</v>
      </c>
      <c r="E18" s="113"/>
      <c r="F18" s="94"/>
      <c r="G18" s="94"/>
      <c r="H18" s="95">
        <v>46209</v>
      </c>
    </row>
    <row r="19" spans="1:8" s="83" customFormat="1">
      <c r="A19" s="91" t="s">
        <v>253</v>
      </c>
      <c r="B19" s="112">
        <v>96</v>
      </c>
      <c r="C19" s="92" t="s">
        <v>100</v>
      </c>
      <c r="D19" s="92" t="s">
        <v>40</v>
      </c>
      <c r="E19" s="113"/>
      <c r="F19" s="94"/>
      <c r="G19" s="94"/>
      <c r="H19" s="95">
        <v>46230</v>
      </c>
    </row>
    <row r="20" spans="1:8" s="83" customFormat="1">
      <c r="A20" s="91" t="s">
        <v>253</v>
      </c>
      <c r="B20" s="112">
        <v>95</v>
      </c>
      <c r="C20" s="92" t="s">
        <v>101</v>
      </c>
      <c r="D20" s="92" t="s">
        <v>41</v>
      </c>
      <c r="E20" s="113"/>
      <c r="F20" s="94"/>
      <c r="G20" s="94"/>
      <c r="H20" s="95">
        <v>46230</v>
      </c>
    </row>
    <row r="21" spans="1:8" s="83" customFormat="1">
      <c r="A21" s="91" t="s">
        <v>253</v>
      </c>
      <c r="B21" s="112">
        <v>94</v>
      </c>
      <c r="C21" s="92" t="s">
        <v>100</v>
      </c>
      <c r="D21" s="92" t="s">
        <v>40</v>
      </c>
      <c r="E21" s="113"/>
      <c r="F21" s="94"/>
      <c r="G21" s="94"/>
      <c r="H21" s="95">
        <v>46230</v>
      </c>
    </row>
    <row r="22" spans="1:8" s="83" customFormat="1">
      <c r="A22" s="91" t="s">
        <v>253</v>
      </c>
      <c r="B22" s="112">
        <v>93</v>
      </c>
      <c r="C22" s="92" t="s">
        <v>101</v>
      </c>
      <c r="D22" s="92" t="s">
        <v>41</v>
      </c>
      <c r="E22" s="113"/>
      <c r="F22" s="94"/>
      <c r="G22" s="94"/>
      <c r="H22" s="95">
        <v>46230</v>
      </c>
    </row>
    <row r="23" spans="1:8" s="83" customFormat="1">
      <c r="A23" s="91" t="s">
        <v>253</v>
      </c>
      <c r="B23" s="112">
        <v>92</v>
      </c>
      <c r="C23" s="92" t="s">
        <v>100</v>
      </c>
      <c r="D23" s="92" t="s">
        <v>40</v>
      </c>
      <c r="E23" s="113"/>
      <c r="F23" s="94"/>
      <c r="G23" s="94"/>
      <c r="H23" s="95">
        <v>46244</v>
      </c>
    </row>
    <row r="24" spans="1:8" s="83" customFormat="1">
      <c r="A24" s="91" t="s">
        <v>253</v>
      </c>
      <c r="B24" s="114">
        <v>91</v>
      </c>
      <c r="C24" s="92" t="s">
        <v>101</v>
      </c>
      <c r="D24" s="92" t="s">
        <v>41</v>
      </c>
      <c r="E24" s="113"/>
      <c r="F24" s="94"/>
      <c r="G24" s="94"/>
      <c r="H24" s="95">
        <v>46244</v>
      </c>
    </row>
    <row r="25" spans="1:8" s="83" customFormat="1">
      <c r="A25" s="91" t="s">
        <v>253</v>
      </c>
      <c r="B25" s="114">
        <v>90</v>
      </c>
      <c r="C25" s="92" t="s">
        <v>100</v>
      </c>
      <c r="D25" s="92" t="s">
        <v>40</v>
      </c>
      <c r="E25" s="113"/>
      <c r="F25" s="94"/>
      <c r="G25" s="94"/>
      <c r="H25" s="95">
        <v>46244</v>
      </c>
    </row>
    <row r="26" spans="1:8" s="83" customFormat="1">
      <c r="A26" s="91" t="s">
        <v>253</v>
      </c>
      <c r="B26" s="114">
        <v>89</v>
      </c>
      <c r="C26" s="92" t="s">
        <v>101</v>
      </c>
      <c r="D26" s="92" t="s">
        <v>41</v>
      </c>
      <c r="E26" s="113"/>
      <c r="F26" s="94"/>
      <c r="G26" s="94"/>
      <c r="H26" s="95">
        <v>46244</v>
      </c>
    </row>
    <row r="27" spans="1:8" s="83" customFormat="1">
      <c r="A27" s="91" t="s">
        <v>253</v>
      </c>
      <c r="B27" s="114">
        <v>88</v>
      </c>
      <c r="C27" s="92" t="s">
        <v>100</v>
      </c>
      <c r="D27" s="92" t="s">
        <v>40</v>
      </c>
      <c r="E27" s="113"/>
      <c r="F27" s="94"/>
      <c r="G27" s="94"/>
      <c r="H27" s="95">
        <v>46244</v>
      </c>
    </row>
    <row r="28" spans="1:8" s="83" customFormat="1">
      <c r="A28" s="91"/>
      <c r="B28" s="114"/>
      <c r="C28" s="92"/>
      <c r="D28" s="92"/>
      <c r="E28" s="113"/>
      <c r="F28" s="94"/>
      <c r="G28" s="94"/>
      <c r="H28" s="95"/>
    </row>
    <row r="29" spans="1:8" s="83" customFormat="1">
      <c r="A29" s="91"/>
      <c r="B29" s="114"/>
      <c r="C29" s="92"/>
      <c r="D29" s="92"/>
      <c r="E29" s="113"/>
      <c r="F29" s="94"/>
      <c r="G29" s="94"/>
      <c r="H29" s="95"/>
    </row>
    <row r="30" spans="1:8" s="83" customFormat="1">
      <c r="A30" s="91"/>
      <c r="B30" s="115"/>
      <c r="C30" s="92"/>
      <c r="D30" s="92"/>
      <c r="E30" s="113"/>
      <c r="F30" s="94"/>
      <c r="G30" s="94"/>
      <c r="H30" s="95"/>
    </row>
    <row r="31" spans="1:8" s="83" customFormat="1">
      <c r="A31" s="91"/>
      <c r="B31" s="114"/>
      <c r="C31" s="92"/>
      <c r="D31" s="92"/>
      <c r="E31" s="113"/>
      <c r="F31" s="94"/>
      <c r="G31" s="94"/>
      <c r="H31" s="95"/>
    </row>
    <row r="32" spans="1:8" s="83" customFormat="1">
      <c r="A32" s="91"/>
      <c r="B32" s="114"/>
      <c r="C32" s="92"/>
      <c r="D32" s="92"/>
      <c r="E32" s="113"/>
      <c r="F32" s="94"/>
      <c r="G32" s="94"/>
      <c r="H32" s="95"/>
    </row>
    <row r="33" spans="1:8" s="83" customFormat="1">
      <c r="A33" s="91"/>
      <c r="B33" s="114"/>
      <c r="C33" s="92"/>
      <c r="D33" s="92"/>
      <c r="E33" s="113"/>
      <c r="F33" s="94"/>
      <c r="G33" s="94"/>
      <c r="H33" s="95"/>
    </row>
    <row r="34" spans="1:8" s="83" customFormat="1">
      <c r="A34" s="91"/>
      <c r="B34" s="114"/>
      <c r="C34" s="92"/>
      <c r="D34" s="92"/>
      <c r="E34" s="113"/>
      <c r="F34" s="94"/>
      <c r="G34" s="94"/>
      <c r="H34" s="95"/>
    </row>
    <row r="35" spans="1:8" s="83" customFormat="1" ht="16.2">
      <c r="C35" s="83" t="s">
        <v>97</v>
      </c>
      <c r="E35" s="116">
        <f>SUM(E11:E34)</f>
        <v>0</v>
      </c>
      <c r="G35" s="117">
        <f>SUM(G11:G34)</f>
        <v>0</v>
      </c>
    </row>
    <row r="36" spans="1:8" s="83" customFormat="1">
      <c r="E36" s="118"/>
    </row>
    <row r="37" spans="1:8" s="83" customFormat="1" ht="16.2">
      <c r="G37" s="119"/>
    </row>
    <row r="38" spans="1:8" s="83" customFormat="1"/>
    <row r="39" spans="1:8" s="83" customFormat="1"/>
    <row r="40" spans="1:8">
      <c r="A40" s="83"/>
      <c r="B40"/>
      <c r="C40"/>
      <c r="D40"/>
      <c r="E40"/>
      <c r="F40"/>
      <c r="G40"/>
      <c r="H40"/>
    </row>
    <row r="41" spans="1:8">
      <c r="A41" s="83"/>
      <c r="B41"/>
      <c r="C41"/>
      <c r="D41"/>
      <c r="E41"/>
      <c r="F41"/>
      <c r="G41"/>
      <c r="H41"/>
    </row>
    <row r="42" spans="1:8">
      <c r="A42" s="83"/>
      <c r="B42"/>
      <c r="C42"/>
      <c r="D42"/>
      <c r="E42"/>
      <c r="F42"/>
      <c r="G42"/>
      <c r="H42"/>
    </row>
    <row r="43" spans="1:8">
      <c r="A43" s="83"/>
      <c r="B43"/>
      <c r="C43"/>
      <c r="D43"/>
      <c r="E43"/>
      <c r="F43"/>
      <c r="G43"/>
      <c r="H43"/>
    </row>
    <row r="44" spans="1:8">
      <c r="A44" s="83"/>
      <c r="B44"/>
      <c r="C44"/>
      <c r="D44"/>
      <c r="E44"/>
      <c r="F44"/>
      <c r="G44"/>
      <c r="H44"/>
    </row>
    <row r="45" spans="1:8">
      <c r="A45" s="83"/>
      <c r="B45"/>
      <c r="C45"/>
      <c r="D45"/>
      <c r="E45"/>
      <c r="F45"/>
      <c r="G45"/>
      <c r="H45"/>
    </row>
  </sheetData>
  <autoFilter ref="A10:H34" xr:uid="{00000000-0009-0000-0000-000000000000}"/>
  <mergeCells count="2">
    <mergeCell ref="A1:H1"/>
    <mergeCell ref="A2:G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E34D0-1B18-499C-9130-85AE0EF09FFE}">
  <dimension ref="A1:H45"/>
  <sheetViews>
    <sheetView topLeftCell="A9" zoomScale="130" zoomScaleNormal="130" workbookViewId="0">
      <selection activeCell="E19" sqref="E19"/>
    </sheetView>
  </sheetViews>
  <sheetFormatPr baseColWidth="10" defaultRowHeight="14.4"/>
  <cols>
    <col min="1" max="1" width="9.33203125" style="104" customWidth="1"/>
    <col min="2" max="2" width="7.88671875" style="104" bestFit="1" customWidth="1"/>
    <col min="3" max="4" width="9.44140625" style="105" customWidth="1"/>
    <col min="5" max="5" width="12.6640625" style="101" bestFit="1" customWidth="1"/>
    <col min="6" max="6" width="11.109375" style="86" customWidth="1"/>
    <col min="7" max="7" width="19.6640625" style="86" customWidth="1"/>
    <col min="8" max="8" width="24.44140625" style="103" bestFit="1" customWidth="1"/>
  </cols>
  <sheetData>
    <row r="1" spans="1:8" ht="34.200000000000003" customHeight="1">
      <c r="A1" s="183" t="s">
        <v>98</v>
      </c>
      <c r="B1" s="183"/>
      <c r="C1" s="183"/>
      <c r="D1" s="183"/>
      <c r="E1" s="183"/>
      <c r="F1" s="183"/>
      <c r="G1" s="183"/>
      <c r="H1" s="183"/>
    </row>
    <row r="2" spans="1:8" ht="12.75" customHeight="1">
      <c r="A2" s="184" t="s">
        <v>99</v>
      </c>
      <c r="B2" s="185"/>
      <c r="C2" s="185"/>
      <c r="D2" s="185"/>
      <c r="E2" s="185"/>
      <c r="F2" s="185"/>
      <c r="G2" s="185"/>
      <c r="H2" s="70"/>
    </row>
    <row r="3" spans="1:8" ht="14.25" customHeight="1">
      <c r="A3" s="71"/>
      <c r="B3" s="72" t="s">
        <v>60</v>
      </c>
      <c r="C3" s="72" t="s">
        <v>60</v>
      </c>
      <c r="D3" s="72"/>
      <c r="E3" s="73" t="s">
        <v>61</v>
      </c>
      <c r="F3" s="75" t="s">
        <v>106</v>
      </c>
      <c r="G3" s="71"/>
      <c r="H3" s="76"/>
    </row>
    <row r="4" spans="1:8" ht="12.75" customHeight="1">
      <c r="A4" s="77"/>
      <c r="B4" s="78"/>
      <c r="C4" s="78"/>
      <c r="D4" s="78"/>
      <c r="E4" s="110"/>
      <c r="F4" s="111"/>
      <c r="G4" s="80"/>
      <c r="H4" s="81"/>
    </row>
    <row r="5" spans="1:8" ht="12.75" customHeight="1">
      <c r="A5" s="77"/>
      <c r="B5" s="78"/>
      <c r="C5" s="78"/>
      <c r="D5" s="78"/>
      <c r="E5" s="110"/>
      <c r="F5" s="111"/>
      <c r="G5" s="80"/>
      <c r="H5" s="81"/>
    </row>
    <row r="6" spans="1:8" ht="12.75" customHeight="1">
      <c r="A6" s="77"/>
      <c r="B6" s="78"/>
      <c r="C6" s="78"/>
      <c r="D6" s="78"/>
      <c r="E6" s="110"/>
      <c r="F6" s="111"/>
      <c r="G6" s="80"/>
      <c r="H6" s="81"/>
    </row>
    <row r="7" spans="1:8" ht="12.75" customHeight="1">
      <c r="A7" s="77"/>
      <c r="B7" s="78"/>
      <c r="C7" s="78"/>
      <c r="D7" s="78"/>
      <c r="E7" s="110"/>
      <c r="F7" s="111"/>
      <c r="G7" s="80"/>
      <c r="H7" s="81"/>
    </row>
    <row r="8" spans="1:8" s="83" customFormat="1" ht="13.5" customHeight="1">
      <c r="A8" s="77"/>
      <c r="B8" s="78"/>
      <c r="C8" s="78"/>
      <c r="D8" s="78"/>
      <c r="E8" s="110"/>
      <c r="F8" s="111"/>
      <c r="G8" s="80"/>
      <c r="H8" s="81"/>
    </row>
    <row r="9" spans="1:8" s="83" customFormat="1" ht="13.5" customHeight="1">
      <c r="A9" s="77"/>
      <c r="B9" s="78"/>
      <c r="C9" s="78"/>
      <c r="D9" s="78"/>
      <c r="E9" s="110"/>
      <c r="F9" s="111"/>
      <c r="G9" s="80"/>
      <c r="H9" s="81"/>
    </row>
    <row r="10" spans="1:8" s="86" customFormat="1" ht="18.75" customHeight="1">
      <c r="A10" s="87" t="s">
        <v>62</v>
      </c>
      <c r="B10" s="87" t="s">
        <v>63</v>
      </c>
      <c r="C10" s="88" t="s">
        <v>61</v>
      </c>
      <c r="D10" s="120" t="s">
        <v>47</v>
      </c>
      <c r="E10" s="87" t="s">
        <v>95</v>
      </c>
      <c r="F10" s="87"/>
      <c r="G10" s="87" t="s">
        <v>96</v>
      </c>
      <c r="H10" s="87" t="s">
        <v>66</v>
      </c>
    </row>
    <row r="11" spans="1:8" s="83" customFormat="1">
      <c r="A11" s="91" t="s">
        <v>107</v>
      </c>
      <c r="B11" s="112">
        <v>121</v>
      </c>
      <c r="C11" s="92" t="s">
        <v>101</v>
      </c>
      <c r="D11" s="92" t="s">
        <v>102</v>
      </c>
      <c r="E11" s="113"/>
      <c r="F11" s="94"/>
      <c r="G11" s="94"/>
      <c r="H11" s="95">
        <v>45884</v>
      </c>
    </row>
    <row r="12" spans="1:8" s="83" customFormat="1">
      <c r="A12" s="91" t="s">
        <v>107</v>
      </c>
      <c r="B12" s="112">
        <v>120</v>
      </c>
      <c r="C12" s="92" t="s">
        <v>100</v>
      </c>
      <c r="D12" s="92" t="s">
        <v>103</v>
      </c>
      <c r="E12" s="113"/>
      <c r="F12" s="94"/>
      <c r="G12" s="94"/>
      <c r="H12" s="95">
        <v>45884</v>
      </c>
    </row>
    <row r="13" spans="1:8" s="83" customFormat="1">
      <c r="A13" s="91" t="s">
        <v>107</v>
      </c>
      <c r="B13" s="112">
        <v>119</v>
      </c>
      <c r="C13" s="92" t="s">
        <v>101</v>
      </c>
      <c r="D13" s="92" t="s">
        <v>102</v>
      </c>
      <c r="E13" s="113"/>
      <c r="F13" s="94"/>
      <c r="G13" s="94"/>
      <c r="H13" s="95">
        <v>45884</v>
      </c>
    </row>
    <row r="14" spans="1:8" s="83" customFormat="1">
      <c r="A14" s="91" t="s">
        <v>107</v>
      </c>
      <c r="B14" s="112">
        <v>118</v>
      </c>
      <c r="C14" s="92" t="s">
        <v>100</v>
      </c>
      <c r="D14" s="92" t="s">
        <v>103</v>
      </c>
      <c r="E14" s="113"/>
      <c r="F14" s="94"/>
      <c r="G14" s="94"/>
      <c r="H14" s="95">
        <v>45884</v>
      </c>
    </row>
    <row r="15" spans="1:8" s="83" customFormat="1">
      <c r="A15" s="91" t="s">
        <v>108</v>
      </c>
      <c r="B15" s="112">
        <v>55</v>
      </c>
      <c r="C15" s="92" t="s">
        <v>101</v>
      </c>
      <c r="D15" s="92" t="s">
        <v>104</v>
      </c>
      <c r="E15" s="113"/>
      <c r="F15" s="94"/>
      <c r="G15" s="94"/>
      <c r="H15" s="95">
        <v>45898</v>
      </c>
    </row>
    <row r="16" spans="1:8" s="83" customFormat="1">
      <c r="A16" s="91" t="s">
        <v>108</v>
      </c>
      <c r="B16" s="112">
        <v>85</v>
      </c>
      <c r="C16" s="92" t="s">
        <v>101</v>
      </c>
      <c r="D16" s="92" t="s">
        <v>102</v>
      </c>
      <c r="E16" s="113"/>
      <c r="F16" s="94"/>
      <c r="G16" s="94"/>
      <c r="H16" s="95">
        <v>45898</v>
      </c>
    </row>
    <row r="17" spans="1:8" s="83" customFormat="1">
      <c r="A17" s="91" t="s">
        <v>108</v>
      </c>
      <c r="B17" s="112">
        <v>56</v>
      </c>
      <c r="C17" s="92" t="s">
        <v>100</v>
      </c>
      <c r="D17" s="92" t="s">
        <v>103</v>
      </c>
      <c r="E17" s="113"/>
      <c r="F17" s="94"/>
      <c r="G17" s="94"/>
      <c r="H17" s="95">
        <v>45898</v>
      </c>
    </row>
    <row r="18" spans="1:8" s="83" customFormat="1">
      <c r="A18" s="91" t="s">
        <v>108</v>
      </c>
      <c r="B18" s="112">
        <v>84</v>
      </c>
      <c r="C18" s="92" t="s">
        <v>100</v>
      </c>
      <c r="D18" s="92" t="s">
        <v>103</v>
      </c>
      <c r="E18" s="113"/>
      <c r="F18" s="94"/>
      <c r="G18" s="94"/>
      <c r="H18" s="95">
        <v>45898</v>
      </c>
    </row>
    <row r="19" spans="1:8" s="83" customFormat="1">
      <c r="A19" s="91" t="s">
        <v>108</v>
      </c>
      <c r="B19" s="112">
        <v>57</v>
      </c>
      <c r="C19" s="92" t="s">
        <v>101</v>
      </c>
      <c r="D19" s="92" t="s">
        <v>102</v>
      </c>
      <c r="E19" s="113"/>
      <c r="F19" s="94"/>
      <c r="G19" s="94"/>
      <c r="H19" s="95">
        <v>45898</v>
      </c>
    </row>
    <row r="20" spans="1:8" s="83" customFormat="1">
      <c r="A20" s="91" t="s">
        <v>108</v>
      </c>
      <c r="B20" s="112">
        <v>83</v>
      </c>
      <c r="C20" s="92" t="s">
        <v>101</v>
      </c>
      <c r="D20" s="92" t="s">
        <v>102</v>
      </c>
      <c r="E20" s="113"/>
      <c r="F20" s="94"/>
      <c r="G20" s="94"/>
      <c r="H20" s="95">
        <v>45898</v>
      </c>
    </row>
    <row r="21" spans="1:8" s="83" customFormat="1">
      <c r="A21" s="91" t="s">
        <v>108</v>
      </c>
      <c r="B21" s="112">
        <v>58</v>
      </c>
      <c r="C21" s="92" t="s">
        <v>100</v>
      </c>
      <c r="D21" s="92" t="s">
        <v>103</v>
      </c>
      <c r="E21" s="113"/>
      <c r="F21" s="94"/>
      <c r="G21" s="94"/>
      <c r="H21" s="95">
        <v>45912</v>
      </c>
    </row>
    <row r="22" spans="1:8" s="83" customFormat="1">
      <c r="A22" s="91" t="s">
        <v>108</v>
      </c>
      <c r="B22" s="112">
        <v>82</v>
      </c>
      <c r="C22" s="92" t="s">
        <v>100</v>
      </c>
      <c r="D22" s="92" t="s">
        <v>103</v>
      </c>
      <c r="E22" s="113"/>
      <c r="F22" s="94"/>
      <c r="G22" s="94"/>
      <c r="H22" s="95">
        <v>45912</v>
      </c>
    </row>
    <row r="23" spans="1:8" s="83" customFormat="1">
      <c r="A23" s="91" t="s">
        <v>108</v>
      </c>
      <c r="B23" s="112">
        <v>59</v>
      </c>
      <c r="C23" s="92" t="s">
        <v>101</v>
      </c>
      <c r="D23" s="92" t="s">
        <v>105</v>
      </c>
      <c r="E23" s="113"/>
      <c r="F23" s="94"/>
      <c r="G23" s="94"/>
      <c r="H23" s="95">
        <v>45912</v>
      </c>
    </row>
    <row r="24" spans="1:8" s="83" customFormat="1">
      <c r="A24" s="91" t="s">
        <v>108</v>
      </c>
      <c r="B24" s="114">
        <v>81</v>
      </c>
      <c r="C24" s="92" t="s">
        <v>101</v>
      </c>
      <c r="D24" s="92" t="s">
        <v>105</v>
      </c>
      <c r="E24" s="113"/>
      <c r="F24" s="94"/>
      <c r="G24" s="94"/>
      <c r="H24" s="95">
        <v>45912</v>
      </c>
    </row>
    <row r="25" spans="1:8" s="83" customFormat="1">
      <c r="A25" s="91" t="s">
        <v>108</v>
      </c>
      <c r="B25" s="114">
        <v>60</v>
      </c>
      <c r="C25" s="92" t="s">
        <v>100</v>
      </c>
      <c r="D25" s="92" t="s">
        <v>103</v>
      </c>
      <c r="E25" s="113"/>
      <c r="F25" s="94"/>
      <c r="G25" s="94"/>
      <c r="H25" s="95">
        <v>45912</v>
      </c>
    </row>
    <row r="26" spans="1:8" s="83" customFormat="1">
      <c r="A26" s="91" t="s">
        <v>108</v>
      </c>
      <c r="B26" s="114">
        <v>80</v>
      </c>
      <c r="C26" s="92" t="s">
        <v>100</v>
      </c>
      <c r="D26" s="92" t="s">
        <v>103</v>
      </c>
      <c r="E26" s="113"/>
      <c r="F26" s="94"/>
      <c r="G26" s="94"/>
      <c r="H26" s="95">
        <v>45912</v>
      </c>
    </row>
    <row r="27" spans="1:8" s="83" customFormat="1">
      <c r="A27" s="91" t="s">
        <v>108</v>
      </c>
      <c r="B27" s="114">
        <v>61</v>
      </c>
      <c r="C27" s="92" t="s">
        <v>101</v>
      </c>
      <c r="D27" s="92" t="s">
        <v>102</v>
      </c>
      <c r="E27" s="113"/>
      <c r="F27" s="94"/>
      <c r="G27" s="94"/>
      <c r="H27" s="95">
        <v>45926</v>
      </c>
    </row>
    <row r="28" spans="1:8" s="83" customFormat="1">
      <c r="A28" s="91" t="s">
        <v>108</v>
      </c>
      <c r="B28" s="114">
        <v>79</v>
      </c>
      <c r="C28" s="92" t="s">
        <v>101</v>
      </c>
      <c r="D28" s="92" t="s">
        <v>102</v>
      </c>
      <c r="E28" s="113"/>
      <c r="F28" s="94"/>
      <c r="G28" s="94"/>
      <c r="H28" s="95">
        <v>45926</v>
      </c>
    </row>
    <row r="29" spans="1:8" s="83" customFormat="1">
      <c r="A29" s="91" t="s">
        <v>108</v>
      </c>
      <c r="B29" s="114">
        <v>62</v>
      </c>
      <c r="C29" s="92" t="s">
        <v>100</v>
      </c>
      <c r="D29" s="92" t="s">
        <v>103</v>
      </c>
      <c r="E29" s="113"/>
      <c r="F29" s="94"/>
      <c r="G29" s="94"/>
      <c r="H29" s="95">
        <v>45926</v>
      </c>
    </row>
    <row r="30" spans="1:8" s="83" customFormat="1">
      <c r="A30" s="91" t="s">
        <v>108</v>
      </c>
      <c r="B30" s="115">
        <v>78</v>
      </c>
      <c r="C30" s="92" t="s">
        <v>100</v>
      </c>
      <c r="D30" s="92" t="s">
        <v>103</v>
      </c>
      <c r="E30" s="113"/>
      <c r="F30" s="94"/>
      <c r="G30" s="94"/>
      <c r="H30" s="95">
        <v>45926</v>
      </c>
    </row>
    <row r="31" spans="1:8" s="83" customFormat="1">
      <c r="A31" s="91" t="s">
        <v>108</v>
      </c>
      <c r="B31" s="114">
        <v>63</v>
      </c>
      <c r="C31" s="92" t="s">
        <v>101</v>
      </c>
      <c r="D31" s="92" t="s">
        <v>102</v>
      </c>
      <c r="E31" s="113"/>
      <c r="F31" s="94"/>
      <c r="G31" s="94"/>
      <c r="H31" s="95">
        <v>45926</v>
      </c>
    </row>
    <row r="32" spans="1:8" s="83" customFormat="1">
      <c r="A32" s="91" t="s">
        <v>108</v>
      </c>
      <c r="B32" s="114">
        <v>77</v>
      </c>
      <c r="C32" s="92" t="s">
        <v>101</v>
      </c>
      <c r="D32" s="92" t="s">
        <v>102</v>
      </c>
      <c r="E32" s="113"/>
      <c r="F32" s="94"/>
      <c r="G32" s="94"/>
      <c r="H32" s="95">
        <v>45926</v>
      </c>
    </row>
    <row r="33" spans="1:8" s="83" customFormat="1">
      <c r="A33" s="91" t="s">
        <v>108</v>
      </c>
      <c r="B33" s="114">
        <v>64</v>
      </c>
      <c r="C33" s="92" t="s">
        <v>100</v>
      </c>
      <c r="D33" s="92" t="s">
        <v>103</v>
      </c>
      <c r="E33" s="113"/>
      <c r="F33" s="94"/>
      <c r="G33" s="94"/>
      <c r="H33" s="95">
        <v>45926</v>
      </c>
    </row>
    <row r="34" spans="1:8" s="83" customFormat="1">
      <c r="A34" s="91"/>
      <c r="B34" s="114"/>
      <c r="C34" s="92"/>
      <c r="D34" s="92"/>
      <c r="E34" s="113"/>
      <c r="F34" s="94"/>
      <c r="G34" s="94"/>
      <c r="H34" s="95"/>
    </row>
    <row r="35" spans="1:8" s="83" customFormat="1" ht="16.2">
      <c r="C35" s="83" t="s">
        <v>97</v>
      </c>
      <c r="E35" s="116">
        <f>SUM(E11:E34)</f>
        <v>0</v>
      </c>
      <c r="G35" s="117">
        <f>SUM(G11:G34)</f>
        <v>0</v>
      </c>
    </row>
    <row r="36" spans="1:8" s="83" customFormat="1">
      <c r="E36" s="118"/>
    </row>
    <row r="37" spans="1:8" s="83" customFormat="1" ht="16.2">
      <c r="G37" s="119"/>
    </row>
    <row r="38" spans="1:8" s="83" customFormat="1"/>
    <row r="39" spans="1:8" s="83" customFormat="1"/>
    <row r="40" spans="1:8">
      <c r="A40" s="83"/>
      <c r="B40"/>
      <c r="C40"/>
      <c r="D40"/>
      <c r="E40"/>
      <c r="F40"/>
      <c r="G40"/>
      <c r="H40"/>
    </row>
    <row r="41" spans="1:8">
      <c r="A41" s="83"/>
      <c r="B41"/>
      <c r="C41"/>
      <c r="D41"/>
      <c r="E41"/>
      <c r="F41"/>
      <c r="G41"/>
      <c r="H41"/>
    </row>
    <row r="42" spans="1:8">
      <c r="A42" s="83"/>
      <c r="B42"/>
      <c r="C42"/>
      <c r="D42"/>
      <c r="E42"/>
      <c r="F42"/>
      <c r="G42"/>
      <c r="H42"/>
    </row>
    <row r="43" spans="1:8">
      <c r="A43" s="83"/>
      <c r="B43"/>
      <c r="C43"/>
      <c r="D43"/>
      <c r="E43"/>
      <c r="F43"/>
      <c r="G43"/>
      <c r="H43"/>
    </row>
    <row r="44" spans="1:8">
      <c r="A44" s="83"/>
      <c r="B44"/>
      <c r="C44"/>
      <c r="D44"/>
      <c r="E44"/>
      <c r="F44"/>
      <c r="G44"/>
      <c r="H44"/>
    </row>
    <row r="45" spans="1:8">
      <c r="A45" s="83"/>
      <c r="B45"/>
      <c r="C45"/>
      <c r="D45"/>
      <c r="E45"/>
      <c r="F45"/>
      <c r="G45"/>
      <c r="H45"/>
    </row>
  </sheetData>
  <autoFilter ref="A10:H34" xr:uid="{00000000-0009-0000-0000-000000000000}"/>
  <mergeCells count="2">
    <mergeCell ref="A1:H1"/>
    <mergeCell ref="A2:G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A296D-8E99-4C99-88F4-7546F30CC461}">
  <dimension ref="A1:Z89"/>
  <sheetViews>
    <sheetView topLeftCell="A62" zoomScale="115" zoomScaleNormal="115" workbookViewId="0">
      <selection activeCell="N16" sqref="N16"/>
    </sheetView>
  </sheetViews>
  <sheetFormatPr baseColWidth="10" defaultRowHeight="14.4"/>
  <cols>
    <col min="1" max="1" width="6.88671875" customWidth="1"/>
    <col min="2" max="2" width="13.33203125" style="104" customWidth="1"/>
    <col min="3" max="3" width="11.5546875" style="104" customWidth="1"/>
    <col min="4" max="4" width="9.44140625" style="105" customWidth="1"/>
    <col min="5" max="5" width="11.88671875" style="101" customWidth="1"/>
    <col min="6" max="8" width="11.88671875" style="102" customWidth="1"/>
    <col min="9" max="9" width="11.109375" style="86" customWidth="1"/>
    <col min="10" max="11" width="10" style="86" customWidth="1"/>
    <col min="12" max="12" width="31" style="103" customWidth="1"/>
    <col min="14" max="14" width="30.33203125" customWidth="1"/>
    <col min="15" max="15" width="22.44140625" customWidth="1"/>
    <col min="16" max="16" width="16" customWidth="1"/>
    <col min="17" max="17" width="30.109375" customWidth="1"/>
  </cols>
  <sheetData>
    <row r="1" spans="1:20" ht="34.200000000000003" customHeight="1">
      <c r="A1" s="183" t="s">
        <v>157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N1" t="s">
        <v>36</v>
      </c>
      <c r="O1" t="s">
        <v>67</v>
      </c>
      <c r="P1" t="s">
        <v>68</v>
      </c>
      <c r="Q1" t="s">
        <v>75</v>
      </c>
      <c r="R1" s="8" t="s">
        <v>90</v>
      </c>
      <c r="S1" t="s">
        <v>93</v>
      </c>
    </row>
    <row r="2" spans="1:20" ht="12.75" customHeight="1">
      <c r="B2" s="184"/>
      <c r="C2" s="185"/>
      <c r="D2" s="185"/>
      <c r="E2" s="185"/>
      <c r="F2" s="185"/>
      <c r="G2" s="185"/>
      <c r="H2" s="185"/>
      <c r="I2" s="185"/>
      <c r="J2" s="185"/>
      <c r="K2" s="122"/>
      <c r="L2" s="70"/>
      <c r="N2" t="s">
        <v>69</v>
      </c>
      <c r="O2" t="s">
        <v>70</v>
      </c>
      <c r="P2" t="s">
        <v>71</v>
      </c>
      <c r="Q2" t="s">
        <v>72</v>
      </c>
      <c r="R2">
        <v>5.16</v>
      </c>
      <c r="S2">
        <v>534.38</v>
      </c>
      <c r="T2">
        <v>3.85</v>
      </c>
    </row>
    <row r="3" spans="1:20" ht="14.25" customHeight="1">
      <c r="B3" s="71"/>
      <c r="C3" s="72" t="s">
        <v>60</v>
      </c>
      <c r="D3" s="72" t="s">
        <v>60</v>
      </c>
      <c r="E3" s="73" t="s">
        <v>61</v>
      </c>
      <c r="F3" s="74" t="s">
        <v>61</v>
      </c>
      <c r="G3" s="74"/>
      <c r="H3" s="74"/>
      <c r="I3" s="75" t="s">
        <v>61</v>
      </c>
      <c r="J3" s="71"/>
      <c r="K3" s="71"/>
      <c r="L3" s="76"/>
      <c r="N3" s="106" t="s">
        <v>144</v>
      </c>
      <c r="O3" t="s">
        <v>73</v>
      </c>
      <c r="P3" t="s">
        <v>76</v>
      </c>
      <c r="Q3" t="s">
        <v>77</v>
      </c>
      <c r="R3">
        <v>60.57</v>
      </c>
      <c r="S3">
        <v>379.7</v>
      </c>
      <c r="T3">
        <v>28.657</v>
      </c>
    </row>
    <row r="4" spans="1:20" ht="14.25" customHeight="1">
      <c r="B4" s="71"/>
      <c r="C4" s="72"/>
      <c r="D4" s="72"/>
      <c r="E4" s="73"/>
      <c r="F4" s="74"/>
      <c r="G4" s="74"/>
      <c r="H4" s="74"/>
      <c r="I4" s="75"/>
      <c r="J4" s="71"/>
      <c r="K4" s="71"/>
      <c r="L4" s="76"/>
      <c r="N4" s="106" t="s">
        <v>144</v>
      </c>
      <c r="O4" t="s">
        <v>73</v>
      </c>
      <c r="P4" t="s">
        <v>76</v>
      </c>
      <c r="Q4" t="s">
        <v>91</v>
      </c>
      <c r="R4">
        <v>10.72</v>
      </c>
      <c r="S4">
        <v>64.61</v>
      </c>
    </row>
    <row r="5" spans="1:20" ht="46.2" customHeight="1">
      <c r="B5" s="77"/>
      <c r="C5" s="78"/>
      <c r="D5" s="78"/>
      <c r="E5" s="195"/>
      <c r="F5" s="195"/>
      <c r="G5" s="79"/>
      <c r="H5" s="79"/>
      <c r="I5" s="195"/>
      <c r="J5" s="80"/>
      <c r="K5" s="80"/>
      <c r="L5" s="81"/>
      <c r="N5" s="107" t="s">
        <v>78</v>
      </c>
      <c r="O5" s="108" t="s">
        <v>79</v>
      </c>
      <c r="P5" s="108" t="s">
        <v>80</v>
      </c>
      <c r="Q5" s="109" t="s">
        <v>81</v>
      </c>
    </row>
    <row r="6" spans="1:20" ht="12.75" customHeight="1">
      <c r="B6" s="77"/>
      <c r="C6" s="78"/>
      <c r="D6" s="78"/>
      <c r="E6" s="195"/>
      <c r="F6" s="195"/>
      <c r="G6" s="79"/>
      <c r="H6" s="79"/>
      <c r="I6" s="195"/>
      <c r="J6" s="80"/>
      <c r="K6" s="80"/>
      <c r="L6" s="81"/>
      <c r="N6" t="s">
        <v>69</v>
      </c>
      <c r="O6" t="s">
        <v>70</v>
      </c>
      <c r="P6" t="s">
        <v>71</v>
      </c>
      <c r="Q6" t="s">
        <v>82</v>
      </c>
      <c r="R6">
        <v>164.51</v>
      </c>
      <c r="T6">
        <v>141.07</v>
      </c>
    </row>
    <row r="7" spans="1:20" ht="12.75" customHeight="1">
      <c r="B7" s="77"/>
      <c r="C7" s="78"/>
      <c r="D7" s="78"/>
      <c r="E7" s="195"/>
      <c r="F7" s="195"/>
      <c r="G7" s="79"/>
      <c r="H7" s="79"/>
      <c r="I7" s="195"/>
      <c r="J7" s="80"/>
      <c r="K7" s="80"/>
      <c r="L7" s="81"/>
      <c r="N7" t="s">
        <v>69</v>
      </c>
      <c r="O7" t="s">
        <v>70</v>
      </c>
      <c r="P7" t="s">
        <v>71</v>
      </c>
      <c r="Q7" t="s">
        <v>91</v>
      </c>
      <c r="R7">
        <v>154.68</v>
      </c>
      <c r="T7" t="s">
        <v>56</v>
      </c>
    </row>
    <row r="8" spans="1:20" ht="12.75" customHeight="1">
      <c r="B8" s="77"/>
      <c r="C8" s="78"/>
      <c r="D8" s="78"/>
      <c r="E8" s="195"/>
      <c r="F8" s="195"/>
      <c r="G8" s="79"/>
      <c r="H8" s="79"/>
      <c r="I8" s="195"/>
      <c r="J8" s="80"/>
      <c r="K8" s="80"/>
      <c r="L8" s="81"/>
      <c r="N8" t="s">
        <v>144</v>
      </c>
      <c r="O8" t="s">
        <v>73</v>
      </c>
      <c r="P8" t="s">
        <v>76</v>
      </c>
      <c r="Q8" t="s">
        <v>83</v>
      </c>
      <c r="T8" t="s">
        <v>94</v>
      </c>
    </row>
    <row r="9" spans="1:20" ht="12.75" customHeight="1">
      <c r="B9" s="77"/>
      <c r="C9" s="78"/>
      <c r="D9" s="78"/>
      <c r="E9" s="195"/>
      <c r="F9" s="195"/>
      <c r="G9" s="79"/>
      <c r="H9" s="79"/>
      <c r="I9" s="195"/>
      <c r="J9" s="80"/>
      <c r="K9" s="80"/>
      <c r="L9" s="81"/>
      <c r="N9" t="s">
        <v>84</v>
      </c>
      <c r="O9" t="s">
        <v>85</v>
      </c>
      <c r="P9" t="s">
        <v>86</v>
      </c>
      <c r="Q9" t="s">
        <v>87</v>
      </c>
    </row>
    <row r="10" spans="1:20" s="83" customFormat="1" ht="13.5" customHeight="1">
      <c r="A10"/>
      <c r="B10" s="77"/>
      <c r="C10" s="78"/>
      <c r="D10" s="78"/>
      <c r="E10" s="193"/>
      <c r="F10" s="195"/>
      <c r="G10" s="79"/>
      <c r="H10" s="79"/>
      <c r="I10" s="197"/>
      <c r="J10" s="80"/>
      <c r="K10" s="80"/>
      <c r="L10" s="81"/>
      <c r="N10" t="s">
        <v>88</v>
      </c>
      <c r="O10" t="s">
        <v>89</v>
      </c>
      <c r="P10" t="s">
        <v>80</v>
      </c>
      <c r="Q10" t="s">
        <v>92</v>
      </c>
    </row>
    <row r="11" spans="1:20" s="83" customFormat="1" ht="13.5" customHeight="1">
      <c r="A11"/>
      <c r="B11" s="77"/>
      <c r="C11" s="78"/>
      <c r="D11" s="78"/>
      <c r="E11" s="194"/>
      <c r="F11" s="196"/>
      <c r="G11" s="85"/>
      <c r="H11" s="85"/>
      <c r="I11" s="198"/>
      <c r="J11" s="80"/>
      <c r="K11" s="80"/>
      <c r="L11" s="81"/>
      <c r="N11"/>
      <c r="O11"/>
      <c r="P11"/>
      <c r="Q11"/>
    </row>
    <row r="12" spans="1:20" s="86" customFormat="1" ht="18.75" customHeight="1">
      <c r="B12" s="87" t="s">
        <v>62</v>
      </c>
      <c r="C12" s="87" t="s">
        <v>63</v>
      </c>
      <c r="D12" s="88" t="s">
        <v>61</v>
      </c>
      <c r="E12" s="89" t="s">
        <v>47</v>
      </c>
      <c r="F12" s="87" t="s">
        <v>64</v>
      </c>
      <c r="G12" s="87" t="s">
        <v>145</v>
      </c>
      <c r="H12" s="87" t="s">
        <v>149</v>
      </c>
      <c r="I12" s="87" t="s">
        <v>146</v>
      </c>
      <c r="J12" s="87" t="s">
        <v>147</v>
      </c>
      <c r="K12" s="87" t="s">
        <v>148</v>
      </c>
      <c r="L12" s="87" t="s">
        <v>66</v>
      </c>
      <c r="N12"/>
      <c r="O12"/>
      <c r="P12"/>
      <c r="Q12"/>
    </row>
    <row r="13" spans="1:20" s="83" customFormat="1">
      <c r="A13" s="90">
        <v>1</v>
      </c>
      <c r="B13" s="91" t="s">
        <v>107</v>
      </c>
      <c r="C13" s="91">
        <v>121</v>
      </c>
      <c r="D13" s="92" t="s">
        <v>101</v>
      </c>
      <c r="E13" s="93" t="s">
        <v>102</v>
      </c>
      <c r="F13" s="93">
        <v>60.57</v>
      </c>
      <c r="G13" s="93">
        <v>1.62</v>
      </c>
      <c r="H13" s="93">
        <f t="shared" ref="H13:H35" si="0">+F13/G13</f>
        <v>37.388888888888886</v>
      </c>
      <c r="I13" s="93">
        <v>165</v>
      </c>
      <c r="J13" s="94">
        <f t="shared" ref="J13:J35" si="1">+I13*G13</f>
        <v>267.3</v>
      </c>
      <c r="K13" s="94">
        <f t="shared" ref="K13:K35" si="2">+H13*J13</f>
        <v>9994.0499999999993</v>
      </c>
      <c r="L13" s="95"/>
      <c r="N13"/>
      <c r="O13"/>
      <c r="P13"/>
      <c r="Q13"/>
    </row>
    <row r="14" spans="1:20" s="83" customFormat="1">
      <c r="A14" s="90">
        <v>2</v>
      </c>
      <c r="B14" s="91" t="s">
        <v>107</v>
      </c>
      <c r="C14" s="91">
        <v>120</v>
      </c>
      <c r="D14" s="92" t="s">
        <v>100</v>
      </c>
      <c r="E14" s="93" t="s">
        <v>103</v>
      </c>
      <c r="F14" s="93">
        <v>28.657</v>
      </c>
      <c r="G14" s="93">
        <v>1.62</v>
      </c>
      <c r="H14" s="93">
        <f t="shared" si="0"/>
        <v>17.689506172839504</v>
      </c>
      <c r="I14" s="93">
        <v>165</v>
      </c>
      <c r="J14" s="94">
        <f t="shared" si="1"/>
        <v>267.3</v>
      </c>
      <c r="K14" s="94">
        <f t="shared" si="2"/>
        <v>4728.4049999999997</v>
      </c>
      <c r="L14" s="95"/>
      <c r="N14"/>
      <c r="O14"/>
      <c r="P14"/>
      <c r="Q14"/>
    </row>
    <row r="15" spans="1:20" s="83" customFormat="1">
      <c r="A15" s="90">
        <v>3</v>
      </c>
      <c r="B15" s="91" t="s">
        <v>107</v>
      </c>
      <c r="C15" s="91">
        <v>119</v>
      </c>
      <c r="D15" s="92" t="s">
        <v>101</v>
      </c>
      <c r="E15" s="93" t="s">
        <v>102</v>
      </c>
      <c r="F15" s="93">
        <v>60.57</v>
      </c>
      <c r="G15" s="93">
        <v>1.62</v>
      </c>
      <c r="H15" s="93">
        <f t="shared" si="0"/>
        <v>37.388888888888886</v>
      </c>
      <c r="I15" s="93">
        <v>165</v>
      </c>
      <c r="J15" s="94">
        <f t="shared" si="1"/>
        <v>267.3</v>
      </c>
      <c r="K15" s="94">
        <f t="shared" si="2"/>
        <v>9994.0499999999993</v>
      </c>
      <c r="L15" s="95"/>
      <c r="N15"/>
      <c r="O15"/>
      <c r="P15"/>
      <c r="Q15"/>
    </row>
    <row r="16" spans="1:20" s="83" customFormat="1">
      <c r="A16" s="90">
        <v>4</v>
      </c>
      <c r="B16" s="91" t="s">
        <v>107</v>
      </c>
      <c r="C16" s="91">
        <v>118</v>
      </c>
      <c r="D16" s="92" t="s">
        <v>100</v>
      </c>
      <c r="E16" s="93" t="s">
        <v>103</v>
      </c>
      <c r="F16" s="93">
        <v>28.657</v>
      </c>
      <c r="G16" s="93">
        <v>1.62</v>
      </c>
      <c r="H16" s="93">
        <f t="shared" si="0"/>
        <v>17.689506172839504</v>
      </c>
      <c r="I16" s="93">
        <v>165</v>
      </c>
      <c r="J16" s="94">
        <f t="shared" si="1"/>
        <v>267.3</v>
      </c>
      <c r="K16" s="94">
        <f t="shared" si="2"/>
        <v>4728.4049999999997</v>
      </c>
      <c r="L16" s="95"/>
      <c r="N16"/>
      <c r="O16"/>
      <c r="P16"/>
      <c r="Q16"/>
    </row>
    <row r="17" spans="1:26" s="83" customFormat="1">
      <c r="A17" s="90">
        <v>5</v>
      </c>
      <c r="B17" s="91" t="s">
        <v>108</v>
      </c>
      <c r="C17" s="91">
        <v>55</v>
      </c>
      <c r="D17" s="92" t="s">
        <v>101</v>
      </c>
      <c r="E17" s="93" t="s">
        <v>103</v>
      </c>
      <c r="F17" s="93">
        <v>28.657</v>
      </c>
      <c r="G17" s="93">
        <v>1.62</v>
      </c>
      <c r="H17" s="93">
        <f t="shared" si="0"/>
        <v>17.689506172839504</v>
      </c>
      <c r="I17" s="93">
        <v>165</v>
      </c>
      <c r="J17" s="94">
        <f t="shared" si="1"/>
        <v>267.3</v>
      </c>
      <c r="K17" s="94">
        <f t="shared" si="2"/>
        <v>4728.4049999999997</v>
      </c>
      <c r="L17" s="95"/>
      <c r="N17"/>
      <c r="O17"/>
      <c r="P17"/>
      <c r="Q17"/>
      <c r="Z17" s="83">
        <v>24</v>
      </c>
    </row>
    <row r="18" spans="1:26" s="83" customFormat="1">
      <c r="A18" s="90">
        <v>6</v>
      </c>
      <c r="B18" s="91" t="s">
        <v>108</v>
      </c>
      <c r="C18" s="91">
        <v>85</v>
      </c>
      <c r="D18" s="92" t="s">
        <v>101</v>
      </c>
      <c r="E18" s="93" t="s">
        <v>102</v>
      </c>
      <c r="F18" s="93">
        <v>60.57</v>
      </c>
      <c r="G18" s="93">
        <v>1.62</v>
      </c>
      <c r="H18" s="93">
        <f t="shared" si="0"/>
        <v>37.388888888888886</v>
      </c>
      <c r="I18" s="93">
        <v>165</v>
      </c>
      <c r="J18" s="94">
        <f t="shared" si="1"/>
        <v>267.3</v>
      </c>
      <c r="K18" s="94">
        <f t="shared" si="2"/>
        <v>9994.0499999999993</v>
      </c>
      <c r="L18" s="95"/>
      <c r="N18"/>
      <c r="O18"/>
      <c r="P18"/>
      <c r="Q18"/>
    </row>
    <row r="19" spans="1:26" s="83" customFormat="1">
      <c r="A19" s="90">
        <v>7</v>
      </c>
      <c r="B19" s="91" t="s">
        <v>108</v>
      </c>
      <c r="C19" s="91">
        <v>56</v>
      </c>
      <c r="D19" s="92" t="s">
        <v>100</v>
      </c>
      <c r="E19" s="93" t="s">
        <v>103</v>
      </c>
      <c r="F19" s="93">
        <v>28.657</v>
      </c>
      <c r="G19" s="93">
        <v>1.62</v>
      </c>
      <c r="H19" s="93">
        <f t="shared" si="0"/>
        <v>17.689506172839504</v>
      </c>
      <c r="I19" s="93">
        <v>165</v>
      </c>
      <c r="J19" s="94">
        <f t="shared" si="1"/>
        <v>267.3</v>
      </c>
      <c r="K19" s="94">
        <f t="shared" si="2"/>
        <v>4728.4049999999997</v>
      </c>
      <c r="L19" s="95"/>
      <c r="N19"/>
      <c r="O19"/>
      <c r="P19"/>
      <c r="Q19"/>
    </row>
    <row r="20" spans="1:26" s="83" customFormat="1">
      <c r="A20" s="90">
        <v>8</v>
      </c>
      <c r="B20" s="91" t="s">
        <v>108</v>
      </c>
      <c r="C20" s="91">
        <v>84</v>
      </c>
      <c r="D20" s="92" t="s">
        <v>100</v>
      </c>
      <c r="E20" s="93" t="s">
        <v>103</v>
      </c>
      <c r="F20" s="93">
        <v>28.657</v>
      </c>
      <c r="G20" s="93">
        <v>1.62</v>
      </c>
      <c r="H20" s="93">
        <f t="shared" si="0"/>
        <v>17.689506172839504</v>
      </c>
      <c r="I20" s="93">
        <v>165</v>
      </c>
      <c r="J20" s="94">
        <f t="shared" si="1"/>
        <v>267.3</v>
      </c>
      <c r="K20" s="94">
        <f t="shared" si="2"/>
        <v>4728.4049999999997</v>
      </c>
      <c r="L20" s="95"/>
      <c r="N20"/>
      <c r="O20"/>
      <c r="P20"/>
      <c r="Q20"/>
    </row>
    <row r="21" spans="1:26" s="83" customFormat="1">
      <c r="A21" s="90">
        <v>9</v>
      </c>
      <c r="B21" s="91" t="s">
        <v>108</v>
      </c>
      <c r="C21" s="91">
        <v>57</v>
      </c>
      <c r="D21" s="92" t="s">
        <v>101</v>
      </c>
      <c r="E21" s="93" t="s">
        <v>102</v>
      </c>
      <c r="F21" s="93">
        <v>60.57</v>
      </c>
      <c r="G21" s="93">
        <v>1.62</v>
      </c>
      <c r="H21" s="93">
        <f t="shared" si="0"/>
        <v>37.388888888888886</v>
      </c>
      <c r="I21" s="93">
        <v>165</v>
      </c>
      <c r="J21" s="94">
        <f t="shared" si="1"/>
        <v>267.3</v>
      </c>
      <c r="K21" s="94">
        <f t="shared" si="2"/>
        <v>9994.0499999999993</v>
      </c>
      <c r="L21" s="95"/>
      <c r="N21"/>
      <c r="O21"/>
      <c r="P21"/>
      <c r="Q21"/>
    </row>
    <row r="22" spans="1:26" s="83" customFormat="1">
      <c r="A22" s="90">
        <v>10</v>
      </c>
      <c r="B22" s="91" t="s">
        <v>108</v>
      </c>
      <c r="C22" s="96">
        <v>83</v>
      </c>
      <c r="D22" s="92" t="s">
        <v>101</v>
      </c>
      <c r="E22" s="93" t="s">
        <v>102</v>
      </c>
      <c r="F22" s="93">
        <v>60.57</v>
      </c>
      <c r="G22" s="93">
        <v>1.62</v>
      </c>
      <c r="H22" s="93">
        <f t="shared" si="0"/>
        <v>37.388888888888886</v>
      </c>
      <c r="I22" s="93">
        <v>165</v>
      </c>
      <c r="J22" s="94">
        <f t="shared" si="1"/>
        <v>267.3</v>
      </c>
      <c r="K22" s="94">
        <f t="shared" si="2"/>
        <v>9994.0499999999993</v>
      </c>
      <c r="L22" s="95"/>
      <c r="N22"/>
      <c r="O22"/>
      <c r="P22"/>
      <c r="Q22"/>
    </row>
    <row r="23" spans="1:26" s="83" customFormat="1">
      <c r="A23" s="90">
        <v>11</v>
      </c>
      <c r="B23" s="91" t="s">
        <v>108</v>
      </c>
      <c r="C23" s="96">
        <v>58</v>
      </c>
      <c r="D23" s="92" t="s">
        <v>100</v>
      </c>
      <c r="E23" s="93" t="s">
        <v>103</v>
      </c>
      <c r="F23" s="93">
        <v>28.657</v>
      </c>
      <c r="G23" s="93">
        <v>1.62</v>
      </c>
      <c r="H23" s="93">
        <f t="shared" si="0"/>
        <v>17.689506172839504</v>
      </c>
      <c r="I23" s="93">
        <v>165</v>
      </c>
      <c r="J23" s="94">
        <f t="shared" si="1"/>
        <v>267.3</v>
      </c>
      <c r="K23" s="94">
        <f t="shared" si="2"/>
        <v>4728.4049999999997</v>
      </c>
      <c r="L23" s="95"/>
      <c r="N23"/>
      <c r="O23"/>
      <c r="P23"/>
      <c r="Q23"/>
      <c r="Z23" s="83">
        <v>21</v>
      </c>
    </row>
    <row r="24" spans="1:26" s="83" customFormat="1">
      <c r="A24" s="90">
        <v>12</v>
      </c>
      <c r="B24" s="91" t="s">
        <v>108</v>
      </c>
      <c r="C24" s="96">
        <v>82</v>
      </c>
      <c r="D24" s="92" t="s">
        <v>100</v>
      </c>
      <c r="E24" s="93" t="s">
        <v>103</v>
      </c>
      <c r="F24" s="93">
        <v>28.657</v>
      </c>
      <c r="G24" s="93">
        <v>1.62</v>
      </c>
      <c r="H24" s="93">
        <f t="shared" si="0"/>
        <v>17.689506172839504</v>
      </c>
      <c r="I24" s="93">
        <v>165</v>
      </c>
      <c r="J24" s="94">
        <f t="shared" si="1"/>
        <v>267.3</v>
      </c>
      <c r="K24" s="94">
        <f t="shared" si="2"/>
        <v>4728.4049999999997</v>
      </c>
      <c r="L24" s="95"/>
      <c r="N24"/>
      <c r="O24"/>
      <c r="P24"/>
      <c r="Q24"/>
    </row>
    <row r="25" spans="1:26" s="83" customFormat="1">
      <c r="A25" s="90">
        <v>13</v>
      </c>
      <c r="B25" s="91" t="s">
        <v>108</v>
      </c>
      <c r="C25" s="96">
        <v>59</v>
      </c>
      <c r="D25" s="92" t="s">
        <v>101</v>
      </c>
      <c r="E25" s="93" t="s">
        <v>102</v>
      </c>
      <c r="F25" s="93">
        <v>60.57</v>
      </c>
      <c r="G25" s="93">
        <v>1.62</v>
      </c>
      <c r="H25" s="93">
        <f t="shared" si="0"/>
        <v>37.388888888888886</v>
      </c>
      <c r="I25" s="93">
        <v>165</v>
      </c>
      <c r="J25" s="94">
        <f t="shared" si="1"/>
        <v>267.3</v>
      </c>
      <c r="K25" s="94">
        <f t="shared" si="2"/>
        <v>9994.0499999999993</v>
      </c>
      <c r="L25" s="95"/>
      <c r="N25"/>
      <c r="O25"/>
      <c r="P25"/>
      <c r="Q25"/>
    </row>
    <row r="26" spans="1:26" s="83" customFormat="1">
      <c r="A26" s="90">
        <v>14</v>
      </c>
      <c r="B26" s="91" t="s">
        <v>108</v>
      </c>
      <c r="C26" s="96">
        <v>81</v>
      </c>
      <c r="D26" s="92" t="s">
        <v>101</v>
      </c>
      <c r="E26" s="93" t="s">
        <v>102</v>
      </c>
      <c r="F26" s="93">
        <v>60.57</v>
      </c>
      <c r="G26" s="93">
        <v>1.62</v>
      </c>
      <c r="H26" s="93">
        <f t="shared" si="0"/>
        <v>37.388888888888886</v>
      </c>
      <c r="I26" s="93">
        <v>165</v>
      </c>
      <c r="J26" s="94">
        <f t="shared" si="1"/>
        <v>267.3</v>
      </c>
      <c r="K26" s="94">
        <f t="shared" si="2"/>
        <v>9994.0499999999993</v>
      </c>
      <c r="L26" s="95"/>
      <c r="N26"/>
      <c r="O26"/>
      <c r="P26"/>
      <c r="Q26"/>
    </row>
    <row r="27" spans="1:26" s="83" customFormat="1">
      <c r="A27" s="90">
        <v>15</v>
      </c>
      <c r="B27" s="91" t="s">
        <v>108</v>
      </c>
      <c r="C27" s="96">
        <v>60</v>
      </c>
      <c r="D27" s="92" t="s">
        <v>100</v>
      </c>
      <c r="E27" s="93" t="s">
        <v>103</v>
      </c>
      <c r="F27" s="93">
        <v>28.657</v>
      </c>
      <c r="G27" s="93">
        <v>1.62</v>
      </c>
      <c r="H27" s="93">
        <f t="shared" si="0"/>
        <v>17.689506172839504</v>
      </c>
      <c r="I27" s="93">
        <v>165</v>
      </c>
      <c r="J27" s="94">
        <f t="shared" si="1"/>
        <v>267.3</v>
      </c>
      <c r="K27" s="94">
        <f t="shared" si="2"/>
        <v>4728.4049999999997</v>
      </c>
      <c r="L27" s="95"/>
      <c r="N27"/>
      <c r="O27"/>
      <c r="P27"/>
      <c r="Q27"/>
    </row>
    <row r="28" spans="1:26" s="83" customFormat="1">
      <c r="A28" s="90">
        <v>16</v>
      </c>
      <c r="B28" s="91" t="s">
        <v>108</v>
      </c>
      <c r="C28" s="97">
        <v>80</v>
      </c>
      <c r="D28" s="92" t="s">
        <v>100</v>
      </c>
      <c r="E28" s="93" t="s">
        <v>103</v>
      </c>
      <c r="F28" s="93">
        <v>28.657</v>
      </c>
      <c r="G28" s="93">
        <v>1.62</v>
      </c>
      <c r="H28" s="93">
        <f t="shared" si="0"/>
        <v>17.689506172839504</v>
      </c>
      <c r="I28" s="93">
        <v>165</v>
      </c>
      <c r="J28" s="94">
        <f t="shared" si="1"/>
        <v>267.3</v>
      </c>
      <c r="K28" s="94">
        <f t="shared" si="2"/>
        <v>4728.4049999999997</v>
      </c>
      <c r="L28" s="95"/>
      <c r="N28"/>
      <c r="O28"/>
      <c r="P28"/>
      <c r="Q28"/>
    </row>
    <row r="29" spans="1:26" s="83" customFormat="1">
      <c r="A29" s="90">
        <v>17</v>
      </c>
      <c r="B29" s="91" t="s">
        <v>108</v>
      </c>
      <c r="C29" s="96">
        <v>61</v>
      </c>
      <c r="D29" s="92" t="s">
        <v>101</v>
      </c>
      <c r="E29" s="93" t="s">
        <v>102</v>
      </c>
      <c r="F29" s="93">
        <v>60.57</v>
      </c>
      <c r="G29" s="93">
        <v>1.62</v>
      </c>
      <c r="H29" s="93">
        <f t="shared" si="0"/>
        <v>37.388888888888886</v>
      </c>
      <c r="I29" s="93">
        <v>165</v>
      </c>
      <c r="J29" s="94">
        <f t="shared" si="1"/>
        <v>267.3</v>
      </c>
      <c r="K29" s="94">
        <f t="shared" si="2"/>
        <v>9994.0499999999993</v>
      </c>
      <c r="L29" s="95"/>
      <c r="N29"/>
      <c r="O29"/>
      <c r="P29"/>
      <c r="Q29"/>
      <c r="Z29" s="83">
        <v>24</v>
      </c>
    </row>
    <row r="30" spans="1:26" s="83" customFormat="1">
      <c r="A30" s="90">
        <v>18</v>
      </c>
      <c r="B30" s="91" t="s">
        <v>108</v>
      </c>
      <c r="C30" s="96">
        <v>79</v>
      </c>
      <c r="D30" s="92" t="s">
        <v>101</v>
      </c>
      <c r="E30" s="93" t="s">
        <v>102</v>
      </c>
      <c r="F30" s="93">
        <v>60.57</v>
      </c>
      <c r="G30" s="93">
        <v>1.62</v>
      </c>
      <c r="H30" s="93">
        <f t="shared" si="0"/>
        <v>37.388888888888886</v>
      </c>
      <c r="I30" s="93">
        <v>165</v>
      </c>
      <c r="J30" s="94">
        <f t="shared" si="1"/>
        <v>267.3</v>
      </c>
      <c r="K30" s="94">
        <f t="shared" si="2"/>
        <v>9994.0499999999993</v>
      </c>
      <c r="L30" s="95"/>
      <c r="N30"/>
      <c r="O30"/>
      <c r="P30"/>
      <c r="Q30"/>
    </row>
    <row r="31" spans="1:26" s="83" customFormat="1">
      <c r="A31" s="90">
        <v>19</v>
      </c>
      <c r="B31" s="91" t="s">
        <v>108</v>
      </c>
      <c r="C31" s="96">
        <v>62</v>
      </c>
      <c r="D31" s="92" t="s">
        <v>100</v>
      </c>
      <c r="E31" s="93" t="s">
        <v>103</v>
      </c>
      <c r="F31" s="93">
        <v>28.657</v>
      </c>
      <c r="G31" s="93">
        <v>1.62</v>
      </c>
      <c r="H31" s="93">
        <f t="shared" si="0"/>
        <v>17.689506172839504</v>
      </c>
      <c r="I31" s="93">
        <v>165</v>
      </c>
      <c r="J31" s="94">
        <f t="shared" si="1"/>
        <v>267.3</v>
      </c>
      <c r="K31" s="94">
        <f t="shared" si="2"/>
        <v>4728.4049999999997</v>
      </c>
      <c r="L31" s="95"/>
      <c r="N31"/>
      <c r="O31"/>
      <c r="P31"/>
      <c r="Q31"/>
    </row>
    <row r="32" spans="1:26" s="83" customFormat="1">
      <c r="A32" s="90">
        <v>20</v>
      </c>
      <c r="B32" s="91" t="s">
        <v>108</v>
      </c>
      <c r="C32" s="96">
        <v>78</v>
      </c>
      <c r="D32" s="92" t="s">
        <v>100</v>
      </c>
      <c r="E32" s="93" t="s">
        <v>103</v>
      </c>
      <c r="F32" s="93">
        <v>28.657</v>
      </c>
      <c r="G32" s="93">
        <v>1.62</v>
      </c>
      <c r="H32" s="93">
        <f t="shared" si="0"/>
        <v>17.689506172839504</v>
      </c>
      <c r="I32" s="93">
        <v>165</v>
      </c>
      <c r="J32" s="94">
        <f t="shared" si="1"/>
        <v>267.3</v>
      </c>
      <c r="K32" s="94">
        <f t="shared" si="2"/>
        <v>4728.4049999999997</v>
      </c>
      <c r="L32" s="95"/>
      <c r="N32"/>
      <c r="O32"/>
      <c r="P32"/>
      <c r="Q32"/>
    </row>
    <row r="33" spans="1:17" s="83" customFormat="1">
      <c r="A33" s="90">
        <v>21</v>
      </c>
      <c r="B33" s="91" t="s">
        <v>108</v>
      </c>
      <c r="C33" s="96">
        <v>63</v>
      </c>
      <c r="D33" s="92" t="s">
        <v>101</v>
      </c>
      <c r="E33" s="93" t="s">
        <v>102</v>
      </c>
      <c r="F33" s="93">
        <v>60.57</v>
      </c>
      <c r="G33" s="93">
        <v>1.62</v>
      </c>
      <c r="H33" s="93">
        <f t="shared" si="0"/>
        <v>37.388888888888886</v>
      </c>
      <c r="I33" s="93">
        <v>165</v>
      </c>
      <c r="J33" s="94">
        <f t="shared" si="1"/>
        <v>267.3</v>
      </c>
      <c r="K33" s="94">
        <f t="shared" si="2"/>
        <v>9994.0499999999993</v>
      </c>
      <c r="L33" s="95"/>
      <c r="N33"/>
      <c r="O33"/>
      <c r="P33"/>
      <c r="Q33"/>
    </row>
    <row r="34" spans="1:17" s="83" customFormat="1">
      <c r="A34" s="90">
        <v>22</v>
      </c>
      <c r="B34" s="91" t="s">
        <v>108</v>
      </c>
      <c r="C34" s="96">
        <v>77</v>
      </c>
      <c r="D34" s="92" t="s">
        <v>101</v>
      </c>
      <c r="E34" s="93" t="s">
        <v>102</v>
      </c>
      <c r="F34" s="93">
        <v>60.57</v>
      </c>
      <c r="G34" s="93">
        <v>1.62</v>
      </c>
      <c r="H34" s="93">
        <f t="shared" si="0"/>
        <v>37.388888888888886</v>
      </c>
      <c r="I34" s="93">
        <v>165</v>
      </c>
      <c r="J34" s="94">
        <f t="shared" si="1"/>
        <v>267.3</v>
      </c>
      <c r="K34" s="94">
        <f t="shared" si="2"/>
        <v>9994.0499999999993</v>
      </c>
      <c r="L34" s="95"/>
      <c r="N34"/>
      <c r="O34"/>
      <c r="P34"/>
      <c r="Q34"/>
    </row>
    <row r="35" spans="1:17" s="83" customFormat="1">
      <c r="A35" s="90">
        <v>23</v>
      </c>
      <c r="B35" s="91" t="s">
        <v>108</v>
      </c>
      <c r="C35" s="96">
        <v>64</v>
      </c>
      <c r="D35" s="92" t="s">
        <v>100</v>
      </c>
      <c r="E35" s="93" t="s">
        <v>103</v>
      </c>
      <c r="F35" s="93">
        <v>28.657</v>
      </c>
      <c r="G35" s="93">
        <v>1.62</v>
      </c>
      <c r="H35" s="93">
        <f t="shared" si="0"/>
        <v>17.689506172839504</v>
      </c>
      <c r="I35" s="93">
        <v>165</v>
      </c>
      <c r="J35" s="94">
        <f t="shared" si="1"/>
        <v>267.3</v>
      </c>
      <c r="K35" s="94">
        <f t="shared" si="2"/>
        <v>4728.4049999999997</v>
      </c>
      <c r="L35" s="95"/>
      <c r="N35"/>
      <c r="O35"/>
      <c r="P35"/>
      <c r="Q35"/>
    </row>
    <row r="36" spans="1:17" s="83" customFormat="1">
      <c r="A36" s="90">
        <v>24</v>
      </c>
      <c r="B36" s="91"/>
      <c r="C36" s="96"/>
      <c r="D36" s="92"/>
      <c r="E36" s="93"/>
      <c r="F36" s="93"/>
      <c r="G36" s="93"/>
      <c r="H36" s="93"/>
      <c r="I36" s="93"/>
      <c r="J36" s="94"/>
      <c r="K36" s="94"/>
      <c r="L36" s="95"/>
    </row>
    <row r="37" spans="1:17" s="83" customFormat="1">
      <c r="A37" s="90">
        <v>25</v>
      </c>
      <c r="B37" s="91"/>
      <c r="C37" s="96"/>
      <c r="D37" s="92"/>
      <c r="E37" s="93"/>
      <c r="F37" s="93"/>
      <c r="G37" s="93"/>
      <c r="H37" s="93"/>
      <c r="I37" s="93"/>
      <c r="J37" s="94"/>
      <c r="K37" s="94"/>
      <c r="L37" s="95"/>
    </row>
    <row r="38" spans="1:17" s="83" customFormat="1">
      <c r="A38" s="90">
        <v>26</v>
      </c>
      <c r="B38" s="91"/>
      <c r="C38" s="96"/>
      <c r="D38" s="92"/>
      <c r="E38" s="93"/>
      <c r="F38" s="93"/>
      <c r="G38" s="93"/>
      <c r="H38" s="93"/>
      <c r="I38" s="93"/>
      <c r="J38" s="94"/>
      <c r="K38" s="94"/>
      <c r="L38" s="95"/>
    </row>
    <row r="39" spans="1:17" s="83" customFormat="1">
      <c r="A39" s="90">
        <v>27</v>
      </c>
      <c r="B39" s="91"/>
      <c r="C39" s="96"/>
      <c r="D39" s="92"/>
      <c r="E39" s="93"/>
      <c r="F39" s="93"/>
      <c r="G39" s="93"/>
      <c r="H39" s="93"/>
      <c r="I39" s="93"/>
      <c r="J39" s="94"/>
      <c r="K39" s="94"/>
      <c r="L39" s="95"/>
    </row>
    <row r="40" spans="1:17" s="83" customFormat="1">
      <c r="A40" s="90">
        <v>28</v>
      </c>
      <c r="B40" s="91"/>
      <c r="C40" s="96"/>
      <c r="D40" s="92"/>
      <c r="E40" s="93"/>
      <c r="F40" s="93"/>
      <c r="G40" s="93"/>
      <c r="H40" s="93"/>
      <c r="I40" s="93"/>
      <c r="J40" s="94"/>
      <c r="K40" s="94"/>
      <c r="L40" s="95"/>
    </row>
    <row r="41" spans="1:17" s="83" customFormat="1">
      <c r="A41" s="90">
        <v>29</v>
      </c>
      <c r="B41" s="91"/>
      <c r="C41" s="96"/>
      <c r="D41" s="92"/>
      <c r="E41" s="93"/>
      <c r="F41" s="93"/>
      <c r="G41" s="93"/>
      <c r="H41" s="93"/>
      <c r="I41" s="93"/>
      <c r="J41" s="94"/>
      <c r="K41" s="94"/>
      <c r="L41" s="95"/>
    </row>
    <row r="42" spans="1:17" s="83" customFormat="1">
      <c r="A42" s="90">
        <v>30</v>
      </c>
      <c r="B42" s="91"/>
      <c r="C42" s="96"/>
      <c r="D42" s="92"/>
      <c r="E42" s="93"/>
      <c r="F42" s="93"/>
      <c r="G42" s="93"/>
      <c r="H42" s="93"/>
      <c r="I42" s="93"/>
      <c r="J42" s="94"/>
      <c r="K42" s="94"/>
      <c r="L42" s="95"/>
    </row>
    <row r="43" spans="1:17" s="83" customFormat="1">
      <c r="A43" s="90">
        <v>31</v>
      </c>
      <c r="B43" s="91"/>
      <c r="C43" s="96"/>
      <c r="D43" s="92"/>
      <c r="E43" s="93"/>
      <c r="F43" s="93"/>
      <c r="G43" s="93"/>
      <c r="H43" s="93"/>
      <c r="I43" s="93"/>
      <c r="J43" s="94"/>
      <c r="K43" s="94"/>
      <c r="L43" s="95"/>
    </row>
    <row r="44" spans="1:17" s="83" customFormat="1">
      <c r="A44" s="90">
        <v>32</v>
      </c>
      <c r="B44" s="91"/>
      <c r="C44" s="96"/>
      <c r="D44" s="92"/>
      <c r="E44" s="93"/>
      <c r="F44" s="93"/>
      <c r="G44" s="93"/>
      <c r="H44" s="93"/>
      <c r="I44" s="93"/>
      <c r="J44" s="94"/>
      <c r="K44" s="94"/>
      <c r="L44" s="95"/>
    </row>
    <row r="45" spans="1:17" s="83" customFormat="1">
      <c r="A45" s="90">
        <v>33</v>
      </c>
      <c r="B45" s="91"/>
      <c r="C45" s="96"/>
      <c r="D45" s="92"/>
      <c r="E45" s="93"/>
      <c r="F45" s="93"/>
      <c r="G45" s="93"/>
      <c r="H45" s="93"/>
      <c r="I45" s="93"/>
      <c r="J45" s="94"/>
      <c r="K45" s="94"/>
      <c r="L45" s="95"/>
    </row>
    <row r="46" spans="1:17" s="83" customFormat="1">
      <c r="A46" s="90">
        <v>34</v>
      </c>
      <c r="B46" s="91"/>
      <c r="C46" s="96"/>
      <c r="D46" s="92"/>
      <c r="E46" s="93"/>
      <c r="F46" s="93"/>
      <c r="G46" s="93"/>
      <c r="H46" s="93"/>
      <c r="I46" s="93"/>
      <c r="J46" s="94"/>
      <c r="K46" s="94"/>
      <c r="L46" s="95"/>
    </row>
    <row r="47" spans="1:17" s="83" customFormat="1">
      <c r="A47" s="90">
        <v>35</v>
      </c>
      <c r="B47" s="91"/>
      <c r="C47" s="96"/>
      <c r="D47" s="92"/>
      <c r="E47" s="93"/>
      <c r="F47" s="93"/>
      <c r="G47" s="93"/>
      <c r="H47" s="93"/>
      <c r="I47" s="93"/>
      <c r="J47" s="94"/>
      <c r="K47" s="94"/>
      <c r="L47" s="95"/>
    </row>
    <row r="48" spans="1:17" s="83" customFormat="1">
      <c r="A48" s="90">
        <v>36</v>
      </c>
      <c r="B48" s="91"/>
      <c r="C48" s="96"/>
      <c r="D48" s="92"/>
      <c r="E48" s="93"/>
      <c r="F48" s="93"/>
      <c r="G48" s="93"/>
      <c r="H48" s="93"/>
      <c r="I48" s="93"/>
      <c r="J48" s="94"/>
      <c r="K48" s="94"/>
      <c r="L48" s="95"/>
    </row>
    <row r="49" spans="1:12" s="83" customFormat="1">
      <c r="A49" s="90">
        <v>37</v>
      </c>
      <c r="B49" s="91"/>
      <c r="C49" s="96"/>
      <c r="D49" s="92"/>
      <c r="E49" s="93"/>
      <c r="F49" s="93"/>
      <c r="G49" s="93"/>
      <c r="H49" s="93"/>
      <c r="I49" s="93"/>
      <c r="J49" s="94"/>
      <c r="K49" s="94"/>
      <c r="L49" s="95"/>
    </row>
    <row r="50" spans="1:12" s="83" customFormat="1">
      <c r="A50" s="90">
        <v>38</v>
      </c>
      <c r="B50" s="91"/>
      <c r="C50" s="96"/>
      <c r="D50" s="92"/>
      <c r="E50" s="93"/>
      <c r="F50" s="93"/>
      <c r="G50" s="93"/>
      <c r="H50" s="93"/>
      <c r="I50" s="93"/>
      <c r="J50" s="94"/>
      <c r="K50" s="94"/>
      <c r="L50" s="95"/>
    </row>
    <row r="51" spans="1:12" s="83" customFormat="1">
      <c r="A51" s="90">
        <v>39</v>
      </c>
      <c r="B51" s="91"/>
      <c r="C51" s="96"/>
      <c r="D51" s="92"/>
      <c r="E51" s="93"/>
      <c r="F51" s="93"/>
      <c r="G51" s="93"/>
      <c r="H51" s="93"/>
      <c r="I51" s="93"/>
      <c r="J51" s="94"/>
      <c r="K51" s="94"/>
      <c r="L51" s="95"/>
    </row>
    <row r="52" spans="1:12" s="83" customFormat="1">
      <c r="A52" s="90">
        <v>40</v>
      </c>
      <c r="B52" s="98"/>
      <c r="C52" s="96"/>
      <c r="D52" s="92"/>
      <c r="E52" s="99"/>
      <c r="F52" s="94"/>
      <c r="G52" s="94"/>
      <c r="H52" s="94"/>
      <c r="I52" s="94"/>
      <c r="J52" s="94"/>
      <c r="K52" s="94"/>
      <c r="L52" s="95"/>
    </row>
    <row r="53" spans="1:12" s="83" customFormat="1">
      <c r="A53" s="90">
        <v>41</v>
      </c>
      <c r="B53" s="98"/>
      <c r="C53" s="96"/>
      <c r="D53" s="92"/>
      <c r="E53" s="99"/>
      <c r="F53" s="94"/>
      <c r="G53" s="94"/>
      <c r="H53" s="94"/>
      <c r="I53" s="94"/>
      <c r="J53" s="94"/>
      <c r="K53" s="94"/>
      <c r="L53" s="95"/>
    </row>
    <row r="54" spans="1:12" s="83" customFormat="1">
      <c r="E54" s="100"/>
    </row>
    <row r="55" spans="1:12" s="83" customFormat="1" ht="28.8">
      <c r="A55" s="183" t="s">
        <v>158</v>
      </c>
      <c r="B55" s="183"/>
      <c r="C55" s="183"/>
      <c r="D55" s="183"/>
      <c r="E55" s="183"/>
      <c r="F55" s="183"/>
      <c r="G55" s="183"/>
      <c r="H55" s="183"/>
      <c r="I55" s="183"/>
      <c r="J55" s="183"/>
      <c r="K55" s="183"/>
      <c r="L55" s="183"/>
    </row>
    <row r="56" spans="1:12" s="83" customFormat="1">
      <c r="A56"/>
      <c r="B56" s="184"/>
      <c r="C56" s="185"/>
      <c r="D56" s="185"/>
      <c r="E56" s="185"/>
      <c r="F56" s="185"/>
      <c r="G56" s="185"/>
      <c r="H56" s="185"/>
      <c r="I56" s="185"/>
      <c r="J56" s="185"/>
      <c r="K56" s="122"/>
      <c r="L56" s="70"/>
    </row>
    <row r="57" spans="1:12" s="83" customFormat="1">
      <c r="A57"/>
      <c r="B57" s="71"/>
      <c r="C57" s="72" t="s">
        <v>60</v>
      </c>
      <c r="D57" s="72" t="s">
        <v>60</v>
      </c>
      <c r="E57" s="73" t="s">
        <v>61</v>
      </c>
      <c r="F57" s="74" t="s">
        <v>61</v>
      </c>
      <c r="G57" s="74"/>
      <c r="H57" s="74"/>
      <c r="I57" s="75" t="s">
        <v>61</v>
      </c>
      <c r="J57" s="71"/>
      <c r="K57" s="71"/>
      <c r="L57" s="76"/>
    </row>
    <row r="58" spans="1:12" s="83" customFormat="1">
      <c r="A58"/>
      <c r="B58" s="71"/>
      <c r="C58" s="72"/>
      <c r="D58" s="72"/>
      <c r="E58" s="73"/>
      <c r="F58" s="74"/>
      <c r="G58" s="74"/>
      <c r="H58" s="74"/>
      <c r="I58" s="75"/>
      <c r="J58" s="71"/>
      <c r="K58" s="71"/>
      <c r="L58" s="76"/>
    </row>
    <row r="59" spans="1:12">
      <c r="B59" s="77"/>
      <c r="C59" s="78"/>
      <c r="D59" s="78"/>
      <c r="E59" s="195"/>
      <c r="F59" s="195"/>
      <c r="G59" s="79"/>
      <c r="H59" s="79"/>
      <c r="I59" s="195"/>
      <c r="J59" s="80"/>
      <c r="K59" s="80"/>
      <c r="L59" s="81"/>
    </row>
    <row r="60" spans="1:12">
      <c r="B60" s="77"/>
      <c r="C60" s="78"/>
      <c r="D60" s="78"/>
      <c r="E60" s="195"/>
      <c r="F60" s="195"/>
      <c r="G60" s="79"/>
      <c r="H60" s="79"/>
      <c r="I60" s="195"/>
      <c r="J60" s="80"/>
      <c r="K60" s="80"/>
      <c r="L60" s="81"/>
    </row>
    <row r="61" spans="1:12">
      <c r="B61" s="77"/>
      <c r="C61" s="78"/>
      <c r="D61" s="78"/>
      <c r="E61" s="195"/>
      <c r="F61" s="195"/>
      <c r="G61" s="79"/>
      <c r="H61" s="79"/>
      <c r="I61" s="195"/>
      <c r="J61" s="80"/>
      <c r="K61" s="80"/>
      <c r="L61" s="81"/>
    </row>
    <row r="62" spans="1:12">
      <c r="B62" s="77"/>
      <c r="C62" s="78"/>
      <c r="D62" s="78"/>
      <c r="E62" s="195"/>
      <c r="F62" s="195"/>
      <c r="G62" s="79"/>
      <c r="H62" s="79"/>
      <c r="I62" s="195"/>
      <c r="J62" s="80"/>
      <c r="K62" s="80"/>
      <c r="L62" s="81"/>
    </row>
    <row r="63" spans="1:12">
      <c r="B63" s="77"/>
      <c r="C63" s="78"/>
      <c r="D63" s="78"/>
      <c r="E63" s="195"/>
      <c r="F63" s="195"/>
      <c r="G63" s="79"/>
      <c r="H63" s="79"/>
      <c r="I63" s="195"/>
      <c r="J63" s="80"/>
      <c r="K63" s="80"/>
      <c r="L63" s="81"/>
    </row>
    <row r="64" spans="1:12">
      <c r="B64" s="77"/>
      <c r="C64" s="78"/>
      <c r="D64" s="78"/>
      <c r="E64" s="193"/>
      <c r="F64" s="195"/>
      <c r="G64" s="79"/>
      <c r="H64" s="79"/>
      <c r="I64" s="197"/>
      <c r="J64" s="80"/>
      <c r="K64" s="80"/>
      <c r="L64" s="81"/>
    </row>
    <row r="65" spans="1:12">
      <c r="B65" s="77"/>
      <c r="C65" s="78"/>
      <c r="D65" s="78"/>
      <c r="E65" s="194"/>
      <c r="F65" s="196"/>
      <c r="G65" s="85"/>
      <c r="H65" s="85"/>
      <c r="I65" s="198"/>
      <c r="J65" s="80"/>
      <c r="K65" s="80"/>
      <c r="L65" s="81"/>
    </row>
    <row r="66" spans="1:12" ht="21.6">
      <c r="A66" s="86"/>
      <c r="B66" s="87" t="s">
        <v>62</v>
      </c>
      <c r="C66" s="87" t="s">
        <v>63</v>
      </c>
      <c r="D66" s="88" t="s">
        <v>61</v>
      </c>
      <c r="E66" s="89" t="s">
        <v>47</v>
      </c>
      <c r="F66" s="87" t="s">
        <v>64</v>
      </c>
      <c r="G66" s="87" t="s">
        <v>145</v>
      </c>
      <c r="H66" s="87" t="s">
        <v>149</v>
      </c>
      <c r="I66" s="87" t="s">
        <v>146</v>
      </c>
      <c r="J66" s="87" t="s">
        <v>147</v>
      </c>
      <c r="K66" s="87" t="s">
        <v>148</v>
      </c>
      <c r="L66" s="87" t="s">
        <v>66</v>
      </c>
    </row>
    <row r="67" spans="1:12">
      <c r="A67" s="90">
        <v>1</v>
      </c>
      <c r="B67" s="91" t="s">
        <v>107</v>
      </c>
      <c r="C67" s="91">
        <v>121</v>
      </c>
      <c r="D67" s="92" t="s">
        <v>101</v>
      </c>
      <c r="E67" s="93" t="s">
        <v>102</v>
      </c>
      <c r="F67" s="93">
        <v>5.16</v>
      </c>
      <c r="G67" s="93">
        <v>1.58</v>
      </c>
      <c r="H67" s="93">
        <f>+F67/G67</f>
        <v>3.2658227848101267</v>
      </c>
      <c r="I67" s="93"/>
      <c r="J67" s="94"/>
      <c r="K67" s="94"/>
      <c r="L67" s="95"/>
    </row>
    <row r="68" spans="1:12">
      <c r="A68" s="90">
        <v>2</v>
      </c>
      <c r="B68" s="91" t="s">
        <v>107</v>
      </c>
      <c r="C68" s="91">
        <v>120</v>
      </c>
      <c r="D68" s="92" t="s">
        <v>100</v>
      </c>
      <c r="E68" s="93" t="s">
        <v>103</v>
      </c>
      <c r="F68" s="93">
        <v>3.85</v>
      </c>
      <c r="G68" s="93">
        <v>1.58</v>
      </c>
      <c r="H68" s="93">
        <f t="shared" ref="H68:H89" si="3">+F68/G68</f>
        <v>2.4367088607594938</v>
      </c>
      <c r="I68" s="93"/>
      <c r="J68" s="94"/>
      <c r="K68" s="94"/>
      <c r="L68" s="95"/>
    </row>
    <row r="69" spans="1:12">
      <c r="A69" s="90">
        <v>3</v>
      </c>
      <c r="B69" s="91" t="s">
        <v>107</v>
      </c>
      <c r="C69" s="91">
        <v>119</v>
      </c>
      <c r="D69" s="92" t="s">
        <v>101</v>
      </c>
      <c r="E69" s="93" t="s">
        <v>102</v>
      </c>
      <c r="F69" s="93">
        <v>5.16</v>
      </c>
      <c r="G69" s="93">
        <v>1.58</v>
      </c>
      <c r="H69" s="93">
        <f t="shared" si="3"/>
        <v>3.2658227848101267</v>
      </c>
      <c r="I69" s="93"/>
      <c r="J69" s="94"/>
      <c r="K69" s="94"/>
      <c r="L69" s="95"/>
    </row>
    <row r="70" spans="1:12">
      <c r="A70" s="90">
        <v>4</v>
      </c>
      <c r="B70" s="91" t="s">
        <v>107</v>
      </c>
      <c r="C70" s="91">
        <v>118</v>
      </c>
      <c r="D70" s="92" t="s">
        <v>100</v>
      </c>
      <c r="E70" s="93" t="s">
        <v>103</v>
      </c>
      <c r="F70" s="93">
        <v>3.85</v>
      </c>
      <c r="G70" s="93">
        <v>1.58</v>
      </c>
      <c r="H70" s="93">
        <f t="shared" si="3"/>
        <v>2.4367088607594938</v>
      </c>
      <c r="I70" s="93"/>
      <c r="J70" s="94"/>
      <c r="K70" s="94"/>
      <c r="L70" s="95"/>
    </row>
    <row r="71" spans="1:12">
      <c r="A71" s="90">
        <v>5</v>
      </c>
      <c r="B71" s="91" t="s">
        <v>108</v>
      </c>
      <c r="C71" s="91">
        <v>55</v>
      </c>
      <c r="D71" s="92" t="s">
        <v>101</v>
      </c>
      <c r="E71" s="93" t="s">
        <v>103</v>
      </c>
      <c r="F71" s="93">
        <v>5.16</v>
      </c>
      <c r="G71" s="93">
        <v>1.58</v>
      </c>
      <c r="H71" s="93">
        <f t="shared" si="3"/>
        <v>3.2658227848101267</v>
      </c>
      <c r="I71" s="93"/>
      <c r="J71" s="94"/>
      <c r="K71" s="94"/>
      <c r="L71" s="95"/>
    </row>
    <row r="72" spans="1:12">
      <c r="A72" s="90">
        <v>6</v>
      </c>
      <c r="B72" s="91" t="s">
        <v>108</v>
      </c>
      <c r="C72" s="91">
        <v>85</v>
      </c>
      <c r="D72" s="92" t="s">
        <v>101</v>
      </c>
      <c r="E72" s="93" t="s">
        <v>102</v>
      </c>
      <c r="F72" s="93">
        <v>5.16</v>
      </c>
      <c r="G72" s="93">
        <v>1.58</v>
      </c>
      <c r="H72" s="93">
        <f t="shared" si="3"/>
        <v>3.2658227848101267</v>
      </c>
      <c r="I72" s="93"/>
      <c r="J72" s="94"/>
      <c r="K72" s="94"/>
      <c r="L72" s="95"/>
    </row>
    <row r="73" spans="1:12">
      <c r="A73" s="90">
        <v>7</v>
      </c>
      <c r="B73" s="91" t="s">
        <v>108</v>
      </c>
      <c r="C73" s="91">
        <v>56</v>
      </c>
      <c r="D73" s="92" t="s">
        <v>100</v>
      </c>
      <c r="E73" s="93" t="s">
        <v>103</v>
      </c>
      <c r="F73" s="93">
        <v>3.85</v>
      </c>
      <c r="G73" s="93">
        <v>1.58</v>
      </c>
      <c r="H73" s="93">
        <f t="shared" si="3"/>
        <v>2.4367088607594938</v>
      </c>
      <c r="I73" s="93"/>
      <c r="J73" s="94"/>
      <c r="K73" s="94"/>
      <c r="L73" s="95"/>
    </row>
    <row r="74" spans="1:12">
      <c r="A74" s="90">
        <v>8</v>
      </c>
      <c r="B74" s="91" t="s">
        <v>108</v>
      </c>
      <c r="C74" s="91">
        <v>84</v>
      </c>
      <c r="D74" s="92" t="s">
        <v>100</v>
      </c>
      <c r="E74" s="93" t="s">
        <v>103</v>
      </c>
      <c r="F74" s="93">
        <v>3.85</v>
      </c>
      <c r="G74" s="93">
        <v>1.58</v>
      </c>
      <c r="H74" s="93">
        <f t="shared" si="3"/>
        <v>2.4367088607594938</v>
      </c>
      <c r="I74" s="93"/>
      <c r="J74" s="94"/>
      <c r="K74" s="94"/>
      <c r="L74" s="95"/>
    </row>
    <row r="75" spans="1:12">
      <c r="A75" s="90">
        <v>9</v>
      </c>
      <c r="B75" s="91" t="s">
        <v>108</v>
      </c>
      <c r="C75" s="91">
        <v>57</v>
      </c>
      <c r="D75" s="92" t="s">
        <v>101</v>
      </c>
      <c r="E75" s="93" t="s">
        <v>102</v>
      </c>
      <c r="F75" s="93">
        <v>5.16</v>
      </c>
      <c r="G75" s="93">
        <v>1.58</v>
      </c>
      <c r="H75" s="93">
        <f t="shared" si="3"/>
        <v>3.2658227848101267</v>
      </c>
      <c r="I75" s="93"/>
      <c r="J75" s="94"/>
      <c r="K75" s="94"/>
      <c r="L75" s="95"/>
    </row>
    <row r="76" spans="1:12">
      <c r="A76" s="90">
        <v>10</v>
      </c>
      <c r="B76" s="91" t="s">
        <v>108</v>
      </c>
      <c r="C76" s="96">
        <v>83</v>
      </c>
      <c r="D76" s="92" t="s">
        <v>101</v>
      </c>
      <c r="E76" s="93" t="s">
        <v>102</v>
      </c>
      <c r="F76" s="93">
        <v>5.16</v>
      </c>
      <c r="G76" s="93">
        <v>1.58</v>
      </c>
      <c r="H76" s="93">
        <f t="shared" si="3"/>
        <v>3.2658227848101267</v>
      </c>
      <c r="I76" s="93"/>
      <c r="J76" s="94"/>
      <c r="K76" s="94"/>
      <c r="L76" s="95"/>
    </row>
    <row r="77" spans="1:12">
      <c r="A77" s="90">
        <v>11</v>
      </c>
      <c r="B77" s="91" t="s">
        <v>108</v>
      </c>
      <c r="C77" s="96">
        <v>58</v>
      </c>
      <c r="D77" s="92" t="s">
        <v>100</v>
      </c>
      <c r="E77" s="93" t="s">
        <v>103</v>
      </c>
      <c r="F77" s="93">
        <v>3.85</v>
      </c>
      <c r="G77" s="93">
        <v>1.58</v>
      </c>
      <c r="H77" s="93">
        <f t="shared" si="3"/>
        <v>2.4367088607594938</v>
      </c>
      <c r="I77" s="93"/>
      <c r="J77" s="94"/>
      <c r="K77" s="94"/>
      <c r="L77" s="95"/>
    </row>
    <row r="78" spans="1:12">
      <c r="A78" s="90">
        <v>12</v>
      </c>
      <c r="B78" s="91" t="s">
        <v>108</v>
      </c>
      <c r="C78" s="96">
        <v>82</v>
      </c>
      <c r="D78" s="92" t="s">
        <v>100</v>
      </c>
      <c r="E78" s="93" t="s">
        <v>103</v>
      </c>
      <c r="F78" s="93">
        <v>3.85</v>
      </c>
      <c r="G78" s="93">
        <v>1.58</v>
      </c>
      <c r="H78" s="93">
        <f t="shared" si="3"/>
        <v>2.4367088607594938</v>
      </c>
      <c r="I78" s="93"/>
      <c r="J78" s="94"/>
      <c r="K78" s="94"/>
      <c r="L78" s="95"/>
    </row>
    <row r="79" spans="1:12">
      <c r="A79" s="90">
        <v>13</v>
      </c>
      <c r="B79" s="91" t="s">
        <v>108</v>
      </c>
      <c r="C79" s="96">
        <v>59</v>
      </c>
      <c r="D79" s="92" t="s">
        <v>101</v>
      </c>
      <c r="E79" s="93" t="s">
        <v>102</v>
      </c>
      <c r="F79" s="93">
        <v>5.16</v>
      </c>
      <c r="G79" s="93">
        <v>1.58</v>
      </c>
      <c r="H79" s="93">
        <f t="shared" si="3"/>
        <v>3.2658227848101267</v>
      </c>
      <c r="I79" s="93"/>
      <c r="J79" s="94"/>
      <c r="K79" s="94"/>
      <c r="L79" s="95"/>
    </row>
    <row r="80" spans="1:12">
      <c r="A80" s="90">
        <v>14</v>
      </c>
      <c r="B80" s="91" t="s">
        <v>108</v>
      </c>
      <c r="C80" s="96">
        <v>81</v>
      </c>
      <c r="D80" s="92" t="s">
        <v>101</v>
      </c>
      <c r="E80" s="93" t="s">
        <v>102</v>
      </c>
      <c r="F80" s="93">
        <v>5.16</v>
      </c>
      <c r="G80" s="93">
        <v>1.58</v>
      </c>
      <c r="H80" s="93">
        <f t="shared" si="3"/>
        <v>3.2658227848101267</v>
      </c>
      <c r="I80" s="93"/>
      <c r="J80" s="94"/>
      <c r="K80" s="94"/>
      <c r="L80" s="95"/>
    </row>
    <row r="81" spans="1:12">
      <c r="A81" s="90">
        <v>15</v>
      </c>
      <c r="B81" s="91" t="s">
        <v>108</v>
      </c>
      <c r="C81" s="96">
        <v>60</v>
      </c>
      <c r="D81" s="92" t="s">
        <v>100</v>
      </c>
      <c r="E81" s="93" t="s">
        <v>103</v>
      </c>
      <c r="F81" s="93">
        <v>3.85</v>
      </c>
      <c r="G81" s="93">
        <v>1.58</v>
      </c>
      <c r="H81" s="93">
        <f t="shared" si="3"/>
        <v>2.4367088607594938</v>
      </c>
      <c r="I81" s="93"/>
      <c r="J81" s="94"/>
      <c r="K81" s="94"/>
      <c r="L81" s="95"/>
    </row>
    <row r="82" spans="1:12">
      <c r="A82" s="90">
        <v>16</v>
      </c>
      <c r="B82" s="91" t="s">
        <v>108</v>
      </c>
      <c r="C82" s="97">
        <v>80</v>
      </c>
      <c r="D82" s="92" t="s">
        <v>100</v>
      </c>
      <c r="E82" s="93" t="s">
        <v>103</v>
      </c>
      <c r="F82" s="93">
        <v>3.85</v>
      </c>
      <c r="G82" s="93">
        <v>1.58</v>
      </c>
      <c r="H82" s="93">
        <f t="shared" si="3"/>
        <v>2.4367088607594938</v>
      </c>
      <c r="I82" s="93"/>
      <c r="J82" s="94"/>
      <c r="K82" s="94"/>
      <c r="L82" s="95"/>
    </row>
    <row r="83" spans="1:12">
      <c r="A83" s="90">
        <v>17</v>
      </c>
      <c r="B83" s="91" t="s">
        <v>108</v>
      </c>
      <c r="C83" s="96">
        <v>61</v>
      </c>
      <c r="D83" s="92" t="s">
        <v>101</v>
      </c>
      <c r="E83" s="93" t="s">
        <v>102</v>
      </c>
      <c r="F83" s="93">
        <v>5.16</v>
      </c>
      <c r="G83" s="93">
        <v>1.58</v>
      </c>
      <c r="H83" s="93">
        <f t="shared" si="3"/>
        <v>3.2658227848101267</v>
      </c>
      <c r="I83" s="93"/>
      <c r="J83" s="94"/>
      <c r="K83" s="94"/>
      <c r="L83" s="95"/>
    </row>
    <row r="84" spans="1:12">
      <c r="A84" s="90">
        <v>18</v>
      </c>
      <c r="B84" s="91" t="s">
        <v>108</v>
      </c>
      <c r="C84" s="96">
        <v>79</v>
      </c>
      <c r="D84" s="92" t="s">
        <v>101</v>
      </c>
      <c r="E84" s="93" t="s">
        <v>102</v>
      </c>
      <c r="F84" s="93">
        <v>5.16</v>
      </c>
      <c r="G84" s="93">
        <v>1.58</v>
      </c>
      <c r="H84" s="93">
        <f t="shared" si="3"/>
        <v>3.2658227848101267</v>
      </c>
      <c r="I84" s="93"/>
      <c r="J84" s="94"/>
      <c r="K84" s="94"/>
      <c r="L84" s="95"/>
    </row>
    <row r="85" spans="1:12">
      <c r="A85" s="90">
        <v>19</v>
      </c>
      <c r="B85" s="91" t="s">
        <v>108</v>
      </c>
      <c r="C85" s="96">
        <v>62</v>
      </c>
      <c r="D85" s="92" t="s">
        <v>100</v>
      </c>
      <c r="E85" s="93" t="s">
        <v>103</v>
      </c>
      <c r="F85" s="93">
        <v>3.85</v>
      </c>
      <c r="G85" s="93">
        <v>1.58</v>
      </c>
      <c r="H85" s="93">
        <f t="shared" si="3"/>
        <v>2.4367088607594938</v>
      </c>
      <c r="I85" s="93"/>
      <c r="J85" s="94"/>
      <c r="K85" s="94"/>
      <c r="L85" s="95"/>
    </row>
    <row r="86" spans="1:12">
      <c r="A86" s="90">
        <v>20</v>
      </c>
      <c r="B86" s="91" t="s">
        <v>108</v>
      </c>
      <c r="C86" s="96">
        <v>78</v>
      </c>
      <c r="D86" s="92" t="s">
        <v>100</v>
      </c>
      <c r="E86" s="93" t="s">
        <v>103</v>
      </c>
      <c r="F86" s="93">
        <v>3.85</v>
      </c>
      <c r="G86" s="93">
        <v>1.58</v>
      </c>
      <c r="H86" s="93">
        <f t="shared" si="3"/>
        <v>2.4367088607594938</v>
      </c>
      <c r="I86" s="93"/>
      <c r="J86" s="94"/>
      <c r="K86" s="94"/>
      <c r="L86" s="95"/>
    </row>
    <row r="87" spans="1:12">
      <c r="A87" s="90">
        <v>21</v>
      </c>
      <c r="B87" s="91" t="s">
        <v>108</v>
      </c>
      <c r="C87" s="96">
        <v>63</v>
      </c>
      <c r="D87" s="92" t="s">
        <v>101</v>
      </c>
      <c r="E87" s="93" t="s">
        <v>102</v>
      </c>
      <c r="F87" s="93">
        <v>5.16</v>
      </c>
      <c r="G87" s="93">
        <v>1.58</v>
      </c>
      <c r="H87" s="93">
        <f t="shared" si="3"/>
        <v>3.2658227848101267</v>
      </c>
      <c r="I87" s="93"/>
      <c r="J87" s="94"/>
      <c r="K87" s="94"/>
      <c r="L87" s="95"/>
    </row>
    <row r="88" spans="1:12">
      <c r="A88" s="90">
        <v>22</v>
      </c>
      <c r="B88" s="91" t="s">
        <v>108</v>
      </c>
      <c r="C88" s="96">
        <v>77</v>
      </c>
      <c r="D88" s="92" t="s">
        <v>101</v>
      </c>
      <c r="E88" s="93" t="s">
        <v>102</v>
      </c>
      <c r="F88" s="93">
        <v>5.16</v>
      </c>
      <c r="G88" s="93">
        <v>1.58</v>
      </c>
      <c r="H88" s="93">
        <f t="shared" si="3"/>
        <v>3.2658227848101267</v>
      </c>
      <c r="I88" s="93"/>
      <c r="J88" s="94"/>
      <c r="K88" s="94"/>
      <c r="L88" s="95"/>
    </row>
    <row r="89" spans="1:12">
      <c r="A89" s="90">
        <v>23</v>
      </c>
      <c r="B89" s="91" t="s">
        <v>108</v>
      </c>
      <c r="C89" s="96">
        <v>64</v>
      </c>
      <c r="D89" s="92" t="s">
        <v>100</v>
      </c>
      <c r="E89" s="93" t="s">
        <v>103</v>
      </c>
      <c r="F89" s="93">
        <v>3.85</v>
      </c>
      <c r="G89" s="93">
        <v>1.58</v>
      </c>
      <c r="H89" s="93">
        <f t="shared" si="3"/>
        <v>2.4367088607594938</v>
      </c>
      <c r="I89" s="93"/>
      <c r="J89" s="94"/>
      <c r="K89" s="94"/>
      <c r="L89" s="95"/>
    </row>
  </sheetData>
  <autoFilter ref="B66:L89" xr:uid="{307A296D-8E99-4C99-88F4-7546F30CC461}"/>
  <mergeCells count="16">
    <mergeCell ref="E64:E65"/>
    <mergeCell ref="F64:F65"/>
    <mergeCell ref="I64:I65"/>
    <mergeCell ref="A55:L55"/>
    <mergeCell ref="B56:J56"/>
    <mergeCell ref="E59:E63"/>
    <mergeCell ref="F59:F63"/>
    <mergeCell ref="I59:I63"/>
    <mergeCell ref="E10:E11"/>
    <mergeCell ref="F10:F11"/>
    <mergeCell ref="I10:I11"/>
    <mergeCell ref="A1:L1"/>
    <mergeCell ref="B2:J2"/>
    <mergeCell ref="E5:E9"/>
    <mergeCell ref="F5:F9"/>
    <mergeCell ref="I5:I9"/>
  </mergeCells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8D799-BFF6-4781-9A09-A09BD170FF6F}">
  <sheetPr>
    <tabColor rgb="FFFFFF00"/>
    <pageSetUpPr fitToPage="1"/>
  </sheetPr>
  <dimension ref="A1:AL65444"/>
  <sheetViews>
    <sheetView topLeftCell="A6" zoomScale="70" zoomScaleNormal="70" workbookViewId="0">
      <selection activeCell="T56" sqref="T56"/>
    </sheetView>
  </sheetViews>
  <sheetFormatPr baseColWidth="10" defaultColWidth="11.44140625" defaultRowHeight="13.2" outlineLevelRow="1"/>
  <cols>
    <col min="1" max="1" width="1.33203125" style="10" customWidth="1"/>
    <col min="2" max="2" width="0.44140625" style="10" customWidth="1"/>
    <col min="3" max="3" width="3.6640625" style="10" customWidth="1"/>
    <col min="4" max="4" width="15.5546875" style="19" customWidth="1"/>
    <col min="5" max="5" width="23.109375" style="10" customWidth="1"/>
    <col min="6" max="6" width="3.6640625" style="10" customWidth="1"/>
    <col min="7" max="7" width="10.88671875" style="10" customWidth="1"/>
    <col min="8" max="8" width="14.44140625" style="10" customWidth="1"/>
    <col min="9" max="9" width="4.6640625" style="10" customWidth="1"/>
    <col min="10" max="10" width="9.6640625" style="10" customWidth="1"/>
    <col min="11" max="11" width="2.6640625" style="10" customWidth="1"/>
    <col min="12" max="12" width="17.33203125" style="10" customWidth="1"/>
    <col min="13" max="13" width="22.109375" style="10" customWidth="1"/>
    <col min="14" max="14" width="8" style="10" customWidth="1"/>
    <col min="15" max="15" width="14.88671875" style="10" customWidth="1"/>
    <col min="16" max="16" width="10.5546875" style="10" customWidth="1"/>
    <col min="17" max="17" width="4" style="10" customWidth="1"/>
    <col min="18" max="18" width="8.88671875" style="10" customWidth="1"/>
    <col min="19" max="19" width="4" style="12" customWidth="1"/>
    <col min="20" max="20" width="54.33203125" style="12" customWidth="1"/>
    <col min="21" max="21" width="13.109375" style="12" customWidth="1"/>
    <col min="22" max="22" width="11.44140625" style="13" customWidth="1"/>
    <col min="23" max="23" width="13.109375" style="12" customWidth="1"/>
    <col min="24" max="24" width="11.44140625" style="13" customWidth="1"/>
    <col min="25" max="25" width="13.109375" style="12" customWidth="1"/>
    <col min="26" max="26" width="11.44140625" style="13"/>
    <col min="27" max="16384" width="11.44140625" style="10"/>
  </cols>
  <sheetData>
    <row r="1" spans="1:26" ht="21" thickBot="1">
      <c r="D1" s="10"/>
      <c r="M1" s="11"/>
      <c r="N1" s="11"/>
      <c r="O1" s="11"/>
      <c r="P1" s="11"/>
    </row>
    <row r="2" spans="1:26" ht="21" thickTop="1">
      <c r="B2" s="14"/>
      <c r="C2" s="15"/>
      <c r="D2" s="15"/>
      <c r="E2" s="15"/>
      <c r="F2" s="15"/>
      <c r="G2" s="15"/>
      <c r="H2" s="15"/>
      <c r="I2" s="15"/>
      <c r="J2" s="15"/>
      <c r="K2" s="15"/>
      <c r="L2" s="15"/>
      <c r="M2" s="16"/>
      <c r="N2" s="16"/>
      <c r="O2" s="16"/>
      <c r="P2" s="16"/>
      <c r="Q2" s="15"/>
      <c r="R2" s="17"/>
    </row>
    <row r="3" spans="1:26" ht="21">
      <c r="B3" s="18"/>
      <c r="C3" s="19"/>
      <c r="E3" s="208"/>
      <c r="F3" s="208"/>
      <c r="G3" s="208"/>
      <c r="H3" s="208"/>
      <c r="I3" s="208"/>
      <c r="J3" s="208"/>
      <c r="K3" s="208"/>
      <c r="L3" s="208"/>
      <c r="M3" s="20"/>
      <c r="N3" s="21"/>
      <c r="O3" s="21"/>
      <c r="P3" s="22"/>
      <c r="Q3" s="23"/>
      <c r="R3" s="24"/>
    </row>
    <row r="4" spans="1:26" ht="21">
      <c r="A4" s="10">
        <v>772</v>
      </c>
      <c r="B4" s="18"/>
      <c r="C4" s="19"/>
      <c r="E4" s="208"/>
      <c r="F4" s="208"/>
      <c r="G4" s="208"/>
      <c r="H4" s="208"/>
      <c r="I4" s="208"/>
      <c r="J4" s="208"/>
      <c r="K4" s="208"/>
      <c r="L4" s="208"/>
      <c r="M4" s="20"/>
      <c r="N4" s="20"/>
      <c r="O4" s="21"/>
      <c r="P4" s="22" t="s">
        <v>44</v>
      </c>
      <c r="Q4" s="19"/>
      <c r="R4" s="24"/>
      <c r="V4" s="12"/>
      <c r="X4" s="12"/>
      <c r="Z4" s="12"/>
    </row>
    <row r="5" spans="1:26" ht="19.2">
      <c r="B5" s="18"/>
      <c r="C5" s="19"/>
      <c r="E5" s="208"/>
      <c r="F5" s="208"/>
      <c r="G5" s="208"/>
      <c r="H5" s="208"/>
      <c r="I5" s="208"/>
      <c r="J5" s="208"/>
      <c r="K5" s="208"/>
      <c r="L5" s="208"/>
      <c r="M5" s="25"/>
      <c r="N5" s="25"/>
      <c r="O5" s="25"/>
      <c r="P5" s="25"/>
      <c r="Q5" s="19"/>
      <c r="R5" s="24"/>
      <c r="V5" s="12"/>
      <c r="X5" s="12"/>
      <c r="Z5" s="12"/>
    </row>
    <row r="6" spans="1:26" ht="19.2">
      <c r="B6" s="18"/>
      <c r="C6" s="19"/>
      <c r="E6" s="208"/>
      <c r="F6" s="208"/>
      <c r="G6" s="208"/>
      <c r="H6" s="208"/>
      <c r="I6" s="208"/>
      <c r="J6" s="208"/>
      <c r="K6" s="208"/>
      <c r="L6" s="208"/>
      <c r="M6" s="19"/>
      <c r="N6" s="19"/>
      <c r="O6" s="19"/>
      <c r="P6" s="19"/>
      <c r="Q6" s="19"/>
      <c r="R6" s="24"/>
    </row>
    <row r="7" spans="1:26" hidden="1">
      <c r="B7" s="18"/>
      <c r="C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24"/>
    </row>
    <row r="8" spans="1:26" hidden="1">
      <c r="B8" s="18"/>
      <c r="C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24"/>
    </row>
    <row r="9" spans="1:26" ht="26.25" customHeight="1" thickBot="1">
      <c r="B9" s="18"/>
      <c r="C9" s="19"/>
      <c r="E9" s="209"/>
      <c r="F9" s="210"/>
      <c r="G9" s="210"/>
      <c r="H9" s="210"/>
      <c r="I9" s="210"/>
      <c r="J9" s="210"/>
      <c r="K9" s="25"/>
      <c r="L9" s="26" t="s">
        <v>45</v>
      </c>
      <c r="M9" s="206"/>
      <c r="N9" s="207"/>
      <c r="O9" s="207"/>
      <c r="P9" s="207"/>
      <c r="Q9" s="19"/>
      <c r="R9" s="24"/>
    </row>
    <row r="10" spans="1:26" ht="12.75" hidden="1" customHeight="1" outlineLevel="1">
      <c r="B10" s="18"/>
      <c r="C10" s="19"/>
      <c r="E10" s="211"/>
      <c r="F10" s="211"/>
      <c r="G10" s="211"/>
      <c r="H10" s="211"/>
      <c r="I10" s="211"/>
      <c r="J10" s="211"/>
      <c r="K10" s="25"/>
      <c r="L10" s="26"/>
      <c r="M10" s="212"/>
      <c r="N10" s="213"/>
      <c r="O10" s="213"/>
      <c r="P10" s="213"/>
      <c r="Q10" s="19"/>
      <c r="R10" s="24"/>
    </row>
    <row r="11" spans="1:26" ht="12.75" hidden="1" customHeight="1" outlineLevel="1">
      <c r="B11" s="18"/>
      <c r="C11" s="19"/>
      <c r="E11" s="211"/>
      <c r="F11" s="211"/>
      <c r="G11" s="211"/>
      <c r="H11" s="211"/>
      <c r="I11" s="211"/>
      <c r="J11" s="211"/>
      <c r="K11" s="25"/>
      <c r="L11" s="26"/>
      <c r="M11" s="212"/>
      <c r="N11" s="213"/>
      <c r="O11" s="213"/>
      <c r="P11" s="213"/>
      <c r="Q11" s="19"/>
      <c r="R11" s="24"/>
    </row>
    <row r="12" spans="1:26" ht="12.75" hidden="1" customHeight="1" outlineLevel="1">
      <c r="B12" s="18"/>
      <c r="C12" s="19"/>
      <c r="E12" s="211"/>
      <c r="F12" s="211"/>
      <c r="G12" s="211"/>
      <c r="H12" s="211"/>
      <c r="I12" s="211"/>
      <c r="J12" s="211"/>
      <c r="K12" s="25"/>
      <c r="L12" s="26"/>
      <c r="M12" s="212"/>
      <c r="N12" s="213"/>
      <c r="O12" s="213"/>
      <c r="P12" s="213"/>
      <c r="Q12" s="19"/>
      <c r="R12" s="24"/>
    </row>
    <row r="13" spans="1:26" ht="12.75" hidden="1" customHeight="1" outlineLevel="1">
      <c r="B13" s="18"/>
      <c r="C13" s="19"/>
      <c r="E13" s="211"/>
      <c r="F13" s="211"/>
      <c r="G13" s="211"/>
      <c r="H13" s="211"/>
      <c r="I13" s="211"/>
      <c r="J13" s="211"/>
      <c r="K13" s="25"/>
      <c r="L13" s="26"/>
      <c r="M13" s="212"/>
      <c r="N13" s="213"/>
      <c r="O13" s="213"/>
      <c r="P13" s="213"/>
      <c r="Q13" s="19"/>
      <c r="R13" s="24"/>
    </row>
    <row r="14" spans="1:26" ht="12.75" hidden="1" customHeight="1" outlineLevel="1">
      <c r="B14" s="18"/>
      <c r="C14" s="19"/>
      <c r="E14" s="211"/>
      <c r="F14" s="211"/>
      <c r="G14" s="211"/>
      <c r="H14" s="211"/>
      <c r="I14" s="211"/>
      <c r="J14" s="211"/>
      <c r="K14" s="25"/>
      <c r="L14" s="26"/>
      <c r="M14" s="212"/>
      <c r="N14" s="213"/>
      <c r="O14" s="213"/>
      <c r="P14" s="213"/>
      <c r="Q14" s="19"/>
      <c r="R14" s="24"/>
    </row>
    <row r="15" spans="1:26" ht="12.75" hidden="1" customHeight="1" outlineLevel="1">
      <c r="B15" s="18"/>
      <c r="C15" s="19"/>
      <c r="E15" s="211"/>
      <c r="F15" s="211"/>
      <c r="G15" s="211"/>
      <c r="H15" s="211"/>
      <c r="I15" s="211"/>
      <c r="J15" s="211"/>
      <c r="K15" s="25"/>
      <c r="L15" s="26"/>
      <c r="M15" s="212"/>
      <c r="N15" s="213"/>
      <c r="O15" s="213"/>
      <c r="P15" s="213"/>
      <c r="Q15" s="19"/>
      <c r="R15" s="24"/>
    </row>
    <row r="16" spans="1:26" ht="19.2" collapsed="1">
      <c r="B16" s="18"/>
      <c r="C16" s="19"/>
      <c r="E16" s="209"/>
      <c r="F16" s="210"/>
      <c r="G16" s="210"/>
      <c r="H16" s="210"/>
      <c r="I16" s="210"/>
      <c r="J16" s="210"/>
      <c r="K16" s="25"/>
      <c r="L16" s="26" t="s">
        <v>46</v>
      </c>
      <c r="M16" s="214"/>
      <c r="N16" s="215"/>
      <c r="O16" s="215"/>
      <c r="P16" s="215"/>
      <c r="Q16" s="19"/>
      <c r="R16" s="24"/>
      <c r="T16" s="27" t="s">
        <v>47</v>
      </c>
      <c r="U16" s="218"/>
      <c r="V16" s="219"/>
      <c r="W16" s="220"/>
      <c r="X16" s="221"/>
      <c r="Y16" s="222"/>
      <c r="Z16" s="223"/>
    </row>
    <row r="17" spans="2:38" ht="19.2">
      <c r="B17" s="18"/>
      <c r="C17" s="19"/>
      <c r="E17" s="209"/>
      <c r="F17" s="210"/>
      <c r="G17" s="210"/>
      <c r="H17" s="210"/>
      <c r="I17" s="210"/>
      <c r="J17" s="210"/>
      <c r="K17" s="25"/>
      <c r="L17" s="26" t="s">
        <v>48</v>
      </c>
      <c r="M17" s="214"/>
      <c r="N17" s="215"/>
      <c r="O17" s="215"/>
      <c r="P17" s="215"/>
      <c r="Q17" s="19" t="s">
        <v>49</v>
      </c>
      <c r="R17" s="24"/>
      <c r="T17" s="27" t="s">
        <v>50</v>
      </c>
      <c r="U17" s="216"/>
      <c r="V17" s="217"/>
      <c r="W17" s="216"/>
      <c r="X17" s="217"/>
      <c r="Y17" s="216"/>
      <c r="Z17" s="217"/>
    </row>
    <row r="18" spans="2:38" ht="19.2">
      <c r="B18" s="18"/>
      <c r="C18" s="19"/>
      <c r="E18" s="231"/>
      <c r="F18" s="232"/>
      <c r="G18" s="232"/>
      <c r="H18" s="232"/>
      <c r="I18" s="232"/>
      <c r="J18" s="232"/>
      <c r="K18" s="25"/>
      <c r="L18" s="26" t="s">
        <v>51</v>
      </c>
      <c r="M18" s="233"/>
      <c r="N18" s="234"/>
      <c r="O18" s="234"/>
      <c r="P18" s="234"/>
      <c r="Q18" s="19"/>
      <c r="R18" s="24"/>
      <c r="T18" s="28" t="s">
        <v>2</v>
      </c>
      <c r="U18" s="216"/>
      <c r="V18" s="217"/>
      <c r="W18" s="216"/>
      <c r="X18" s="217"/>
      <c r="Y18" s="216"/>
      <c r="Z18" s="217"/>
    </row>
    <row r="19" spans="2:38" ht="15.6" thickBot="1">
      <c r="B19" s="18"/>
      <c r="C19" s="19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19"/>
      <c r="R19" s="24"/>
      <c r="S19" s="10"/>
      <c r="T19" s="151" t="s">
        <v>47</v>
      </c>
      <c r="U19" s="227" t="s">
        <v>184</v>
      </c>
      <c r="V19" s="228"/>
      <c r="W19" s="227" t="s">
        <v>206</v>
      </c>
      <c r="X19" s="228"/>
      <c r="Y19" s="229"/>
      <c r="Z19" s="230"/>
      <c r="AA19" s="29"/>
      <c r="AB19" s="29"/>
      <c r="AC19" s="29"/>
      <c r="AG19" s="29"/>
      <c r="AH19" s="29"/>
      <c r="AI19" s="29"/>
      <c r="AJ19" s="29"/>
      <c r="AK19" s="29"/>
    </row>
    <row r="20" spans="2:38" ht="16.2" thickBot="1">
      <c r="B20" s="18"/>
      <c r="C20" s="19"/>
      <c r="D20" s="30" t="s">
        <v>52</v>
      </c>
      <c r="E20" s="31" t="s">
        <v>21</v>
      </c>
      <c r="F20" s="224" t="s">
        <v>53</v>
      </c>
      <c r="G20" s="224"/>
      <c r="H20" s="224"/>
      <c r="I20" s="224"/>
      <c r="J20" s="224"/>
      <c r="K20" s="224"/>
      <c r="L20" s="224"/>
      <c r="M20" s="224"/>
      <c r="N20" s="224" t="s">
        <v>54</v>
      </c>
      <c r="O20" s="225"/>
      <c r="P20" s="225"/>
      <c r="Q20" s="19"/>
      <c r="R20" s="24"/>
      <c r="S20" s="10"/>
      <c r="T20" s="152"/>
      <c r="U20" s="153"/>
      <c r="V20" s="154"/>
      <c r="W20" s="153"/>
      <c r="X20" s="154"/>
      <c r="Y20" s="32"/>
      <c r="Z20" s="33"/>
      <c r="AA20" s="12"/>
      <c r="AB20" s="12"/>
      <c r="AC20" s="12"/>
      <c r="AD20" s="12"/>
      <c r="AF20" s="12"/>
      <c r="AG20" s="12"/>
      <c r="AH20" s="12"/>
      <c r="AI20" s="12"/>
      <c r="AJ20" s="12"/>
      <c r="AK20" s="12"/>
      <c r="AL20" s="12"/>
    </row>
    <row r="21" spans="2:38" ht="15">
      <c r="B21" s="18"/>
      <c r="C21" s="34"/>
      <c r="D21" s="35">
        <f>AB21</f>
        <v>0</v>
      </c>
      <c r="E21" s="36"/>
      <c r="F21" s="201" t="str">
        <f>T21</f>
        <v>BASE TIPO ENCHUFE 4 TERMINALES PARA MEDIDOR</v>
      </c>
      <c r="G21" s="201"/>
      <c r="H21" s="201"/>
      <c r="I21" s="201"/>
      <c r="J21" s="201"/>
      <c r="K21" s="201"/>
      <c r="L21" s="201"/>
      <c r="M21" s="201"/>
      <c r="N21" s="226"/>
      <c r="O21" s="226"/>
      <c r="P21" s="226"/>
      <c r="Q21" s="19"/>
      <c r="R21" s="24"/>
      <c r="S21" s="10"/>
      <c r="T21" s="151" t="s">
        <v>183</v>
      </c>
      <c r="U21" s="202">
        <v>1</v>
      </c>
      <c r="V21" s="203"/>
      <c r="W21" s="199">
        <v>1</v>
      </c>
      <c r="X21" s="200"/>
      <c r="Y21" s="37"/>
      <c r="Z21" s="38"/>
      <c r="AA21" s="12"/>
      <c r="AB21" s="29">
        <f>((U21+V21)*$U$18)+((W21+X21)*$W$18)+((Y21+Z21)*$Y$18)</f>
        <v>0</v>
      </c>
      <c r="AC21" s="12">
        <f>AB21/6</f>
        <v>0</v>
      </c>
      <c r="AD21" s="12"/>
      <c r="AF21" s="27"/>
      <c r="AG21" s="12"/>
      <c r="AH21" s="12"/>
      <c r="AI21" s="12"/>
      <c r="AJ21" s="12"/>
      <c r="AK21" s="12"/>
      <c r="AL21" s="12"/>
    </row>
    <row r="22" spans="2:38" s="42" customFormat="1" ht="15" customHeight="1">
      <c r="B22" s="39"/>
      <c r="C22" s="34"/>
      <c r="D22" s="35">
        <f>AB22</f>
        <v>0</v>
      </c>
      <c r="E22" s="36"/>
      <c r="F22" s="201" t="str">
        <f>T22</f>
        <v xml:space="preserve">ADAPTACIÓN QUINTA TERMINAL </v>
      </c>
      <c r="G22" s="201"/>
      <c r="H22" s="201"/>
      <c r="I22" s="201"/>
      <c r="J22" s="201"/>
      <c r="K22" s="201"/>
      <c r="L22" s="201"/>
      <c r="M22" s="201"/>
      <c r="N22" s="226"/>
      <c r="O22" s="226"/>
      <c r="P22" s="226"/>
      <c r="Q22" s="40"/>
      <c r="R22" s="41"/>
      <c r="T22" s="157" t="s">
        <v>185</v>
      </c>
      <c r="U22" s="202">
        <v>1</v>
      </c>
      <c r="V22" s="203"/>
      <c r="W22" s="199">
        <v>1</v>
      </c>
      <c r="X22" s="200"/>
      <c r="Y22" s="43"/>
      <c r="Z22" s="43"/>
      <c r="AA22" s="44"/>
      <c r="AB22" s="29">
        <f>((U22+V22)*$U$18)+((W22+X22)*$W$18)+((Y22+Z22)*$Y$18)</f>
        <v>0</v>
      </c>
      <c r="AC22" s="44"/>
      <c r="AD22" s="44"/>
      <c r="AF22" s="45"/>
      <c r="AG22" s="44"/>
      <c r="AH22" s="44"/>
      <c r="AI22" s="44"/>
      <c r="AJ22" s="44"/>
      <c r="AK22" s="44"/>
      <c r="AL22" s="44"/>
    </row>
    <row r="23" spans="2:38" ht="15" customHeight="1">
      <c r="B23" s="18"/>
      <c r="C23" s="34"/>
      <c r="D23" s="35">
        <f>AB23</f>
        <v>0</v>
      </c>
      <c r="E23" s="36"/>
      <c r="F23" s="201" t="str">
        <f>T23</f>
        <v xml:space="preserve">TUBO PVC CONDUIT 1 1/4" </v>
      </c>
      <c r="G23" s="201"/>
      <c r="H23" s="201"/>
      <c r="I23" s="201"/>
      <c r="J23" s="201"/>
      <c r="K23" s="201"/>
      <c r="L23" s="201"/>
      <c r="M23" s="201"/>
      <c r="N23" s="226"/>
      <c r="O23" s="226"/>
      <c r="P23" s="226"/>
      <c r="Q23" s="19"/>
      <c r="R23" s="24"/>
      <c r="S23" s="42"/>
      <c r="T23" s="151" t="s">
        <v>186</v>
      </c>
      <c r="U23" s="202">
        <v>4</v>
      </c>
      <c r="V23" s="203"/>
      <c r="W23" s="199">
        <v>12.41</v>
      </c>
      <c r="X23" s="200"/>
      <c r="Y23" s="37"/>
      <c r="Z23" s="38"/>
      <c r="AA23" s="12"/>
      <c r="AB23" s="29">
        <f>((U23+V23)*$U$18)+((W23+X23)*$W$18)+((Y23+Z23)*$Y$18)</f>
        <v>0</v>
      </c>
      <c r="AC23" s="12"/>
      <c r="AD23" s="12"/>
      <c r="AF23" s="27"/>
      <c r="AG23" s="12"/>
      <c r="AH23" s="12"/>
      <c r="AI23" s="12"/>
      <c r="AJ23" s="12"/>
      <c r="AK23" s="12"/>
      <c r="AL23" s="12"/>
    </row>
    <row r="24" spans="2:38" ht="15" customHeight="1">
      <c r="B24" s="18"/>
      <c r="C24" s="34"/>
      <c r="D24" s="35"/>
      <c r="E24" s="36"/>
      <c r="F24" s="201" t="str">
        <f t="shared" ref="F24:F59" si="0">T24</f>
        <v>TUBO PVC CONDUIT 1/2"</v>
      </c>
      <c r="G24" s="201"/>
      <c r="H24" s="201"/>
      <c r="I24" s="201"/>
      <c r="J24" s="201"/>
      <c r="K24" s="201"/>
      <c r="L24" s="201"/>
      <c r="M24" s="201"/>
      <c r="N24" s="141"/>
      <c r="O24" s="142"/>
      <c r="P24" s="143"/>
      <c r="Q24" s="19"/>
      <c r="R24" s="24"/>
      <c r="S24" s="42"/>
      <c r="T24" s="151" t="s">
        <v>187</v>
      </c>
      <c r="U24" s="202">
        <v>1.6</v>
      </c>
      <c r="V24" s="203"/>
      <c r="W24" s="199"/>
      <c r="X24" s="200"/>
      <c r="Y24" s="37"/>
      <c r="Z24" s="38"/>
      <c r="AA24" s="12"/>
      <c r="AB24" s="29"/>
      <c r="AC24" s="12"/>
      <c r="AD24" s="12"/>
      <c r="AF24" s="27"/>
      <c r="AG24" s="12"/>
      <c r="AH24" s="12"/>
      <c r="AI24" s="12"/>
      <c r="AJ24" s="12"/>
      <c r="AK24" s="12"/>
      <c r="AL24" s="12"/>
    </row>
    <row r="25" spans="2:38" ht="15" customHeight="1">
      <c r="B25" s="18"/>
      <c r="C25" s="34"/>
      <c r="D25" s="35"/>
      <c r="E25" s="36"/>
      <c r="F25" s="201" t="str">
        <f t="shared" si="0"/>
        <v>CABLE DE COBRE DESNUDO CAL. 8 AWG</v>
      </c>
      <c r="G25" s="201"/>
      <c r="H25" s="201"/>
      <c r="I25" s="201"/>
      <c r="J25" s="201"/>
      <c r="K25" s="201"/>
      <c r="L25" s="201"/>
      <c r="M25" s="201"/>
      <c r="N25" s="141"/>
      <c r="O25" s="142"/>
      <c r="P25" s="143"/>
      <c r="Q25" s="19"/>
      <c r="R25" s="24"/>
      <c r="S25" s="42"/>
      <c r="T25" s="151" t="s">
        <v>188</v>
      </c>
      <c r="U25" s="202">
        <v>3.5</v>
      </c>
      <c r="V25" s="203"/>
      <c r="W25" s="199">
        <v>3.5</v>
      </c>
      <c r="X25" s="200"/>
      <c r="Y25" s="37"/>
      <c r="Z25" s="38"/>
      <c r="AA25" s="12"/>
      <c r="AB25" s="29"/>
      <c r="AC25" s="12"/>
      <c r="AD25" s="12"/>
      <c r="AF25" s="27"/>
      <c r="AG25" s="12"/>
      <c r="AH25" s="12"/>
      <c r="AI25" s="12"/>
      <c r="AJ25" s="12"/>
      <c r="AK25" s="12"/>
      <c r="AL25" s="12"/>
    </row>
    <row r="26" spans="2:38" ht="15" customHeight="1">
      <c r="B26" s="18"/>
      <c r="C26" s="34"/>
      <c r="D26" s="35"/>
      <c r="E26" s="36"/>
      <c r="F26" s="201" t="str">
        <f t="shared" si="0"/>
        <v xml:space="preserve">CENTRO DE CARGA 30 CIRCUITOS </v>
      </c>
      <c r="G26" s="201"/>
      <c r="H26" s="201"/>
      <c r="I26" s="201"/>
      <c r="J26" s="201"/>
      <c r="K26" s="201"/>
      <c r="L26" s="201"/>
      <c r="M26" s="201"/>
      <c r="N26" s="141"/>
      <c r="O26" s="142"/>
      <c r="P26" s="143"/>
      <c r="Q26" s="19"/>
      <c r="R26" s="24"/>
      <c r="S26" s="42"/>
      <c r="T26" s="151" t="s">
        <v>189</v>
      </c>
      <c r="U26" s="202">
        <v>1</v>
      </c>
      <c r="V26" s="203"/>
      <c r="W26" s="199"/>
      <c r="X26" s="200"/>
      <c r="Y26" s="37"/>
      <c r="Z26" s="38"/>
      <c r="AA26" s="12"/>
      <c r="AB26" s="29"/>
      <c r="AC26" s="12"/>
      <c r="AD26" s="12"/>
      <c r="AF26" s="27"/>
      <c r="AG26" s="12"/>
      <c r="AH26" s="12"/>
      <c r="AI26" s="12"/>
      <c r="AJ26" s="12"/>
      <c r="AK26" s="12"/>
      <c r="AL26" s="12"/>
    </row>
    <row r="27" spans="2:38" ht="15" customHeight="1">
      <c r="B27" s="18"/>
      <c r="C27" s="34"/>
      <c r="D27" s="35"/>
      <c r="E27" s="36"/>
      <c r="F27" s="201" t="str">
        <f t="shared" ref="F27:F37" si="1">T27</f>
        <v>CENTRO DE CARGA 20 CIRCUITOS</v>
      </c>
      <c r="G27" s="201"/>
      <c r="H27" s="201"/>
      <c r="I27" s="201"/>
      <c r="J27" s="201"/>
      <c r="K27" s="201"/>
      <c r="L27" s="201"/>
      <c r="M27" s="201"/>
      <c r="N27" s="141"/>
      <c r="O27" s="142"/>
      <c r="P27" s="143"/>
      <c r="Q27" s="19"/>
      <c r="R27" s="24"/>
      <c r="S27" s="42"/>
      <c r="T27" s="151" t="s">
        <v>207</v>
      </c>
      <c r="U27" s="155"/>
      <c r="V27" s="156"/>
      <c r="W27" s="199">
        <v>1</v>
      </c>
      <c r="X27" s="200"/>
      <c r="Y27" s="37"/>
      <c r="Z27" s="38"/>
      <c r="AA27" s="12"/>
      <c r="AB27" s="29"/>
      <c r="AC27" s="12"/>
      <c r="AD27" s="12"/>
      <c r="AF27" s="27"/>
      <c r="AG27" s="12"/>
      <c r="AH27" s="12"/>
      <c r="AI27" s="12"/>
      <c r="AJ27" s="12"/>
      <c r="AK27" s="12"/>
      <c r="AL27" s="12"/>
    </row>
    <row r="28" spans="2:38" ht="15" customHeight="1">
      <c r="B28" s="18"/>
      <c r="C28" s="34"/>
      <c r="D28" s="35"/>
      <c r="E28" s="36"/>
      <c r="F28" s="201" t="str">
        <f t="shared" si="1"/>
        <v>INTERRUPTOR TERMOMAGNETICO 1 X 15 120/240 V</v>
      </c>
      <c r="G28" s="201"/>
      <c r="H28" s="201"/>
      <c r="I28" s="201"/>
      <c r="J28" s="201"/>
      <c r="K28" s="201"/>
      <c r="L28" s="201"/>
      <c r="M28" s="201"/>
      <c r="N28" s="141"/>
      <c r="O28" s="142"/>
      <c r="P28" s="143"/>
      <c r="Q28" s="19"/>
      <c r="R28" s="24"/>
      <c r="S28" s="42"/>
      <c r="T28" s="151" t="s">
        <v>190</v>
      </c>
      <c r="U28" s="202">
        <v>2</v>
      </c>
      <c r="V28" s="203"/>
      <c r="W28" s="199">
        <v>2</v>
      </c>
      <c r="X28" s="200"/>
      <c r="Y28" s="37"/>
      <c r="Z28" s="38"/>
      <c r="AA28" s="12"/>
      <c r="AB28" s="29"/>
      <c r="AC28" s="12"/>
      <c r="AD28" s="12"/>
      <c r="AF28" s="27"/>
      <c r="AG28" s="12"/>
      <c r="AH28" s="12"/>
      <c r="AI28" s="12"/>
      <c r="AJ28" s="12"/>
      <c r="AK28" s="12"/>
      <c r="AL28" s="12"/>
    </row>
    <row r="29" spans="2:38" ht="15" customHeight="1">
      <c r="B29" s="18"/>
      <c r="C29" s="34"/>
      <c r="D29" s="35"/>
      <c r="E29" s="36"/>
      <c r="F29" s="201" t="str">
        <f t="shared" si="1"/>
        <v>INTERRUPTOR TERMOMAGNETICO 1 X 20 120/240 V</v>
      </c>
      <c r="G29" s="201"/>
      <c r="H29" s="201"/>
      <c r="I29" s="201"/>
      <c r="J29" s="201"/>
      <c r="K29" s="201"/>
      <c r="L29" s="201"/>
      <c r="M29" s="201"/>
      <c r="N29" s="141"/>
      <c r="O29" s="142"/>
      <c r="P29" s="143"/>
      <c r="Q29" s="19"/>
      <c r="R29" s="24"/>
      <c r="S29" s="42"/>
      <c r="T29" s="151" t="s">
        <v>191</v>
      </c>
      <c r="U29" s="202">
        <v>8</v>
      </c>
      <c r="V29" s="203"/>
      <c r="W29" s="199">
        <v>8</v>
      </c>
      <c r="X29" s="200"/>
      <c r="Y29" s="37"/>
      <c r="Z29" s="38"/>
      <c r="AA29" s="12"/>
      <c r="AB29" s="29"/>
      <c r="AC29" s="12"/>
      <c r="AD29" s="12"/>
      <c r="AF29" s="27"/>
      <c r="AG29" s="12"/>
      <c r="AH29" s="12"/>
      <c r="AI29" s="12"/>
      <c r="AJ29" s="12"/>
      <c r="AK29" s="12"/>
      <c r="AL29" s="12"/>
    </row>
    <row r="30" spans="2:38" ht="15" customHeight="1">
      <c r="B30" s="18"/>
      <c r="C30" s="34"/>
      <c r="D30" s="35"/>
      <c r="E30" s="36"/>
      <c r="F30" s="201" t="str">
        <f t="shared" si="1"/>
        <v>INTERRUPTOR TERMOMAGNETICO 2X50  120/240V</v>
      </c>
      <c r="G30" s="201"/>
      <c r="H30" s="201"/>
      <c r="I30" s="201"/>
      <c r="J30" s="201"/>
      <c r="K30" s="201"/>
      <c r="L30" s="201"/>
      <c r="M30" s="201"/>
      <c r="N30" s="141"/>
      <c r="O30" s="142"/>
      <c r="P30" s="143"/>
      <c r="Q30" s="19"/>
      <c r="R30" s="24"/>
      <c r="S30" s="42"/>
      <c r="T30" s="151" t="s">
        <v>208</v>
      </c>
      <c r="U30" s="155"/>
      <c r="V30" s="156"/>
      <c r="W30" s="199">
        <v>1</v>
      </c>
      <c r="X30" s="200"/>
      <c r="Y30" s="37"/>
      <c r="Z30" s="38"/>
      <c r="AA30" s="12"/>
      <c r="AB30" s="29"/>
      <c r="AC30" s="12"/>
      <c r="AD30" s="12"/>
      <c r="AF30" s="27"/>
      <c r="AG30" s="12"/>
      <c r="AH30" s="12"/>
      <c r="AI30" s="12"/>
      <c r="AJ30" s="12"/>
      <c r="AK30" s="12"/>
      <c r="AL30" s="12"/>
    </row>
    <row r="31" spans="2:38" ht="15" customHeight="1">
      <c r="B31" s="18"/>
      <c r="C31" s="34"/>
      <c r="D31" s="35"/>
      <c r="E31" s="36"/>
      <c r="F31" s="201" t="str">
        <f t="shared" si="1"/>
        <v>INTERRUPTOR SENCILLO 10A 127V</v>
      </c>
      <c r="G31" s="201"/>
      <c r="H31" s="201"/>
      <c r="I31" s="201"/>
      <c r="J31" s="201"/>
      <c r="K31" s="201"/>
      <c r="L31" s="201"/>
      <c r="M31" s="201"/>
      <c r="N31" s="141"/>
      <c r="O31" s="142"/>
      <c r="P31" s="143"/>
      <c r="Q31" s="19"/>
      <c r="R31" s="24"/>
      <c r="S31" s="42"/>
      <c r="T31" s="151" t="s">
        <v>192</v>
      </c>
      <c r="U31" s="202">
        <v>13</v>
      </c>
      <c r="V31" s="203"/>
      <c r="W31" s="199">
        <v>6</v>
      </c>
      <c r="X31" s="200"/>
      <c r="Y31" s="37"/>
      <c r="Z31" s="38"/>
      <c r="AA31" s="12"/>
      <c r="AB31" s="29"/>
      <c r="AC31" s="12"/>
      <c r="AD31" s="12"/>
      <c r="AF31" s="27"/>
      <c r="AG31" s="12"/>
      <c r="AH31" s="12"/>
      <c r="AI31" s="12"/>
      <c r="AJ31" s="12"/>
      <c r="AK31" s="12"/>
      <c r="AL31" s="12"/>
    </row>
    <row r="32" spans="2:38" ht="15" customHeight="1">
      <c r="B32" s="18"/>
      <c r="C32" s="34"/>
      <c r="D32" s="35"/>
      <c r="E32" s="36"/>
      <c r="F32" s="201" t="str">
        <f t="shared" si="1"/>
        <v>INTERRUPTOR DOBLE 10A 127V</v>
      </c>
      <c r="G32" s="201"/>
      <c r="H32" s="201"/>
      <c r="I32" s="201"/>
      <c r="J32" s="201"/>
      <c r="K32" s="201"/>
      <c r="L32" s="201"/>
      <c r="M32" s="201"/>
      <c r="N32" s="141"/>
      <c r="O32" s="142"/>
      <c r="P32" s="143"/>
      <c r="Q32" s="19"/>
      <c r="R32" s="24"/>
      <c r="S32" s="42"/>
      <c r="T32" s="151" t="s">
        <v>193</v>
      </c>
      <c r="U32" s="202">
        <v>1</v>
      </c>
      <c r="V32" s="203"/>
      <c r="W32" s="199">
        <v>9</v>
      </c>
      <c r="X32" s="200"/>
      <c r="Y32" s="37"/>
      <c r="Z32" s="38"/>
      <c r="AA32" s="12"/>
      <c r="AB32" s="29"/>
      <c r="AC32" s="12"/>
      <c r="AD32" s="12"/>
      <c r="AF32" s="27"/>
      <c r="AG32" s="12"/>
      <c r="AH32" s="12"/>
      <c r="AI32" s="12"/>
      <c r="AJ32" s="12"/>
      <c r="AK32" s="12"/>
      <c r="AL32" s="12"/>
    </row>
    <row r="33" spans="2:38" ht="15" customHeight="1">
      <c r="B33" s="18"/>
      <c r="C33" s="34"/>
      <c r="D33" s="35"/>
      <c r="E33" s="36"/>
      <c r="F33" s="201" t="str">
        <f t="shared" si="1"/>
        <v>INTERRUPTOR 3 VÍAS 10A 127V</v>
      </c>
      <c r="G33" s="201"/>
      <c r="H33" s="201"/>
      <c r="I33" s="201"/>
      <c r="J33" s="201"/>
      <c r="K33" s="201"/>
      <c r="L33" s="201"/>
      <c r="M33" s="201"/>
      <c r="N33" s="141"/>
      <c r="O33" s="142"/>
      <c r="P33" s="143"/>
      <c r="Q33" s="19"/>
      <c r="R33" s="24"/>
      <c r="S33" s="42"/>
      <c r="T33" s="151" t="s">
        <v>194</v>
      </c>
      <c r="U33" s="202">
        <v>8</v>
      </c>
      <c r="V33" s="203"/>
      <c r="W33" s="199">
        <v>14</v>
      </c>
      <c r="X33" s="200"/>
      <c r="Y33" s="37"/>
      <c r="Z33" s="38"/>
      <c r="AA33" s="12"/>
      <c r="AB33" s="29"/>
      <c r="AC33" s="12"/>
      <c r="AD33" s="12"/>
      <c r="AF33" s="27"/>
      <c r="AG33" s="12"/>
      <c r="AH33" s="12"/>
      <c r="AI33" s="12"/>
      <c r="AJ33" s="12"/>
      <c r="AK33" s="12"/>
      <c r="AL33" s="12"/>
    </row>
    <row r="34" spans="2:38" ht="15" customHeight="1">
      <c r="B34" s="18"/>
      <c r="C34" s="34"/>
      <c r="D34" s="35"/>
      <c r="E34" s="36"/>
      <c r="F34" s="201" t="str">
        <f t="shared" si="1"/>
        <v>BOTON TIMBRE 10A 250V</v>
      </c>
      <c r="G34" s="201"/>
      <c r="H34" s="201"/>
      <c r="I34" s="201"/>
      <c r="J34" s="201"/>
      <c r="K34" s="201"/>
      <c r="L34" s="201"/>
      <c r="M34" s="201"/>
      <c r="N34" s="141"/>
      <c r="O34" s="142"/>
      <c r="P34" s="143"/>
      <c r="Q34" s="19"/>
      <c r="R34" s="24"/>
      <c r="S34" s="42"/>
      <c r="T34" s="151" t="s">
        <v>195</v>
      </c>
      <c r="U34" s="202">
        <v>1</v>
      </c>
      <c r="V34" s="203"/>
      <c r="W34" s="199">
        <v>1</v>
      </c>
      <c r="X34" s="200"/>
      <c r="Y34" s="37"/>
      <c r="Z34" s="38"/>
      <c r="AA34" s="12"/>
      <c r="AB34" s="29"/>
      <c r="AC34" s="12"/>
      <c r="AD34" s="12"/>
      <c r="AF34" s="27"/>
      <c r="AG34" s="12"/>
      <c r="AH34" s="12"/>
      <c r="AI34" s="12"/>
      <c r="AJ34" s="12"/>
      <c r="AK34" s="12"/>
      <c r="AL34" s="12"/>
    </row>
    <row r="35" spans="2:38" ht="15" customHeight="1">
      <c r="B35" s="18"/>
      <c r="C35" s="34"/>
      <c r="D35" s="35"/>
      <c r="E35" s="36"/>
      <c r="F35" s="201" t="str">
        <f t="shared" si="1"/>
        <v xml:space="preserve">TAPA 1 MODULO CON CHASIS COLOR BLANCO </v>
      </c>
      <c r="G35" s="201"/>
      <c r="H35" s="201"/>
      <c r="I35" s="201"/>
      <c r="J35" s="201"/>
      <c r="K35" s="201"/>
      <c r="L35" s="201"/>
      <c r="M35" s="201"/>
      <c r="N35" s="141"/>
      <c r="O35" s="142"/>
      <c r="P35" s="143"/>
      <c r="Q35" s="19"/>
      <c r="R35" s="24"/>
      <c r="S35" s="42"/>
      <c r="T35" s="151" t="s">
        <v>196</v>
      </c>
      <c r="U35" s="202">
        <v>17</v>
      </c>
      <c r="V35" s="203"/>
      <c r="W35" s="199">
        <v>17</v>
      </c>
      <c r="X35" s="200"/>
      <c r="Y35" s="37"/>
      <c r="Z35" s="38"/>
      <c r="AA35" s="12"/>
      <c r="AB35" s="29"/>
      <c r="AC35" s="12"/>
      <c r="AD35" s="12"/>
      <c r="AF35" s="27"/>
      <c r="AG35" s="12"/>
      <c r="AH35" s="12"/>
      <c r="AI35" s="12"/>
      <c r="AJ35" s="12"/>
      <c r="AK35" s="12"/>
      <c r="AL35" s="12"/>
    </row>
    <row r="36" spans="2:38" ht="15" customHeight="1">
      <c r="B36" s="18"/>
      <c r="C36" s="34"/>
      <c r="D36" s="35"/>
      <c r="E36" s="36"/>
      <c r="F36" s="201" t="str">
        <f t="shared" si="1"/>
        <v>TAPA 2 MODULO CON CHASIS COLOR BLANCO</v>
      </c>
      <c r="G36" s="201"/>
      <c r="H36" s="201"/>
      <c r="I36" s="201"/>
      <c r="J36" s="201"/>
      <c r="K36" s="201"/>
      <c r="L36" s="201"/>
      <c r="M36" s="201"/>
      <c r="N36" s="141"/>
      <c r="O36" s="142"/>
      <c r="P36" s="143"/>
      <c r="Q36" s="19"/>
      <c r="R36" s="24"/>
      <c r="S36" s="42"/>
      <c r="T36" s="151" t="s">
        <v>197</v>
      </c>
      <c r="U36" s="202">
        <v>1</v>
      </c>
      <c r="V36" s="203"/>
      <c r="W36" s="199">
        <v>15</v>
      </c>
      <c r="X36" s="200"/>
      <c r="Y36" s="37"/>
      <c r="Z36" s="38"/>
      <c r="AA36" s="12"/>
      <c r="AB36" s="29"/>
      <c r="AC36" s="12"/>
      <c r="AD36" s="12"/>
      <c r="AF36" s="27"/>
      <c r="AG36" s="12"/>
      <c r="AH36" s="12"/>
      <c r="AI36" s="12"/>
      <c r="AJ36" s="12"/>
      <c r="AK36" s="12"/>
      <c r="AL36" s="12"/>
    </row>
    <row r="37" spans="2:38" ht="15" customHeight="1">
      <c r="B37" s="18"/>
      <c r="C37" s="34"/>
      <c r="D37" s="35"/>
      <c r="E37" s="36"/>
      <c r="F37" s="201" t="str">
        <f t="shared" si="1"/>
        <v>TAPA 3 MODULO CON CHASIS COLOR BLANCO</v>
      </c>
      <c r="G37" s="201"/>
      <c r="H37" s="201"/>
      <c r="I37" s="201"/>
      <c r="J37" s="201"/>
      <c r="K37" s="201"/>
      <c r="L37" s="201"/>
      <c r="M37" s="201"/>
      <c r="N37" s="141"/>
      <c r="O37" s="142"/>
      <c r="P37" s="143"/>
      <c r="Q37" s="19"/>
      <c r="R37" s="24"/>
      <c r="S37" s="42"/>
      <c r="T37" s="151" t="s">
        <v>209</v>
      </c>
      <c r="U37" s="155"/>
      <c r="V37" s="156"/>
      <c r="W37" s="199"/>
      <c r="X37" s="200"/>
      <c r="Y37" s="37"/>
      <c r="Z37" s="38"/>
      <c r="AA37" s="12"/>
      <c r="AB37" s="29"/>
      <c r="AC37" s="12"/>
      <c r="AD37" s="12"/>
      <c r="AF37" s="27"/>
      <c r="AG37" s="12"/>
      <c r="AH37" s="12"/>
      <c r="AI37" s="12"/>
      <c r="AJ37" s="12"/>
      <c r="AK37" s="12"/>
      <c r="AL37" s="12"/>
    </row>
    <row r="38" spans="2:38" ht="15" customHeight="1">
      <c r="B38" s="18"/>
      <c r="C38" s="34"/>
      <c r="D38" s="35"/>
      <c r="E38" s="36"/>
      <c r="F38" s="201" t="str">
        <f t="shared" si="0"/>
        <v>LUMINARIA TIPO SPOT Y LAMPARA LED 5 W</v>
      </c>
      <c r="G38" s="201"/>
      <c r="H38" s="201"/>
      <c r="I38" s="201"/>
      <c r="J38" s="201"/>
      <c r="K38" s="201"/>
      <c r="L38" s="201"/>
      <c r="M38" s="201"/>
      <c r="N38" s="141"/>
      <c r="O38" s="142"/>
      <c r="P38" s="143"/>
      <c r="Q38" s="19"/>
      <c r="R38" s="24"/>
      <c r="S38" s="42"/>
      <c r="T38" s="151" t="s">
        <v>198</v>
      </c>
      <c r="U38" s="202">
        <v>32</v>
      </c>
      <c r="V38" s="203"/>
      <c r="W38" s="199">
        <v>29</v>
      </c>
      <c r="X38" s="200"/>
      <c r="Y38" s="37"/>
      <c r="Z38" s="38"/>
      <c r="AA38" s="12"/>
      <c r="AB38" s="29"/>
      <c r="AC38" s="12"/>
      <c r="AD38" s="12"/>
      <c r="AF38" s="27"/>
      <c r="AG38" s="12"/>
      <c r="AH38" s="12"/>
      <c r="AI38" s="12"/>
      <c r="AJ38" s="12"/>
      <c r="AK38" s="12"/>
      <c r="AL38" s="12"/>
    </row>
    <row r="39" spans="2:38" ht="15" customHeight="1">
      <c r="B39" s="18"/>
      <c r="C39" s="34"/>
      <c r="D39" s="35"/>
      <c r="E39" s="36"/>
      <c r="F39" s="201" t="str">
        <f t="shared" si="0"/>
        <v>LUMINARIA TIPO PORTSPOT 12W</v>
      </c>
      <c r="G39" s="201"/>
      <c r="H39" s="201"/>
      <c r="I39" s="201"/>
      <c r="J39" s="201"/>
      <c r="K39" s="201"/>
      <c r="L39" s="201"/>
      <c r="M39" s="201"/>
      <c r="N39" s="141"/>
      <c r="O39" s="142"/>
      <c r="P39" s="143"/>
      <c r="Q39" s="19"/>
      <c r="R39" s="24"/>
      <c r="S39" s="42"/>
      <c r="T39" s="151" t="s">
        <v>199</v>
      </c>
      <c r="U39" s="202">
        <v>13</v>
      </c>
      <c r="V39" s="203"/>
      <c r="W39" s="199">
        <v>18</v>
      </c>
      <c r="X39" s="200"/>
      <c r="Y39" s="37"/>
      <c r="Z39" s="38"/>
      <c r="AA39" s="12"/>
      <c r="AB39" s="29"/>
      <c r="AC39" s="12"/>
      <c r="AD39" s="12"/>
      <c r="AF39" s="27"/>
      <c r="AG39" s="12"/>
      <c r="AH39" s="12"/>
      <c r="AI39" s="12"/>
      <c r="AJ39" s="12"/>
      <c r="AK39" s="12"/>
      <c r="AL39" s="12"/>
    </row>
    <row r="40" spans="2:38" ht="15" customHeight="1">
      <c r="B40" s="18"/>
      <c r="C40" s="34"/>
      <c r="D40" s="35"/>
      <c r="E40" s="36"/>
      <c r="F40" s="201" t="str">
        <f t="shared" si="0"/>
        <v>LUMINARIA TIPO ARBOTANTE PARA FACHADA INTERIOR</v>
      </c>
      <c r="G40" s="201"/>
      <c r="H40" s="201"/>
      <c r="I40" s="201"/>
      <c r="J40" s="201"/>
      <c r="K40" s="201"/>
      <c r="L40" s="201"/>
      <c r="M40" s="201"/>
      <c r="N40" s="141"/>
      <c r="O40" s="142"/>
      <c r="P40" s="143"/>
      <c r="Q40" s="19"/>
      <c r="R40" s="24"/>
      <c r="S40" s="42"/>
      <c r="T40" s="151" t="s">
        <v>200</v>
      </c>
      <c r="U40" s="202">
        <v>4</v>
      </c>
      <c r="V40" s="203"/>
      <c r="W40" s="199">
        <v>6</v>
      </c>
      <c r="X40" s="200"/>
      <c r="Y40" s="37"/>
      <c r="Z40" s="38"/>
      <c r="AA40" s="12"/>
      <c r="AB40" s="29"/>
      <c r="AC40" s="12"/>
      <c r="AD40" s="12"/>
      <c r="AF40" s="27"/>
      <c r="AG40" s="12"/>
      <c r="AH40" s="12"/>
      <c r="AI40" s="12"/>
      <c r="AJ40" s="12"/>
      <c r="AK40" s="12"/>
      <c r="AL40" s="12"/>
    </row>
    <row r="41" spans="2:38" ht="15" customHeight="1">
      <c r="B41" s="18"/>
      <c r="C41" s="34"/>
      <c r="D41" s="35"/>
      <c r="E41" s="36"/>
      <c r="F41" s="201" t="str">
        <f t="shared" si="0"/>
        <v>LUMINARIA TIPO ARBOTANTE PARA FACHADA EXTERIOR</v>
      </c>
      <c r="G41" s="201"/>
      <c r="H41" s="201"/>
      <c r="I41" s="201"/>
      <c r="J41" s="201"/>
      <c r="K41" s="201"/>
      <c r="L41" s="201"/>
      <c r="M41" s="201"/>
      <c r="N41" s="141"/>
      <c r="O41" s="142"/>
      <c r="P41" s="143"/>
      <c r="Q41" s="19"/>
      <c r="R41" s="24"/>
      <c r="S41" s="42"/>
      <c r="T41" s="151" t="s">
        <v>201</v>
      </c>
      <c r="U41" s="202">
        <v>2</v>
      </c>
      <c r="V41" s="203"/>
      <c r="W41" s="199">
        <v>2</v>
      </c>
      <c r="X41" s="200"/>
      <c r="Y41" s="37"/>
      <c r="Z41" s="38"/>
      <c r="AA41" s="12"/>
      <c r="AB41" s="29"/>
      <c r="AC41" s="12"/>
      <c r="AD41" s="12"/>
      <c r="AF41" s="27"/>
      <c r="AG41" s="12"/>
      <c r="AH41" s="12"/>
      <c r="AI41" s="12"/>
      <c r="AJ41" s="12"/>
      <c r="AK41" s="12"/>
      <c r="AL41" s="12"/>
    </row>
    <row r="42" spans="2:38" ht="15" customHeight="1">
      <c r="B42" s="18"/>
      <c r="C42" s="34"/>
      <c r="D42" s="35">
        <f t="shared" ref="D42:D52" si="2">AB42</f>
        <v>0</v>
      </c>
      <c r="E42" s="36"/>
      <c r="F42" s="201" t="str">
        <f t="shared" si="0"/>
        <v xml:space="preserve">LUMINARIA TIPO CANDIL PARA EMPOTRAR </v>
      </c>
      <c r="G42" s="201"/>
      <c r="H42" s="201"/>
      <c r="I42" s="201"/>
      <c r="J42" s="201"/>
      <c r="K42" s="201"/>
      <c r="L42" s="201"/>
      <c r="M42" s="201"/>
      <c r="N42" s="235"/>
      <c r="O42" s="236"/>
      <c r="P42" s="237"/>
      <c r="Q42" s="19"/>
      <c r="R42" s="24"/>
      <c r="S42" s="10"/>
      <c r="T42" s="151" t="s">
        <v>202</v>
      </c>
      <c r="U42" s="202">
        <v>1</v>
      </c>
      <c r="V42" s="203"/>
      <c r="W42" s="199">
        <v>1</v>
      </c>
      <c r="X42" s="200"/>
      <c r="Y42" s="37"/>
      <c r="Z42" s="38"/>
      <c r="AA42" s="12"/>
      <c r="AB42" s="29">
        <f t="shared" ref="AB42:AB52" si="3">((U42+V42)*$U$18)+((W42+X42)*$W$18)+((Y42+Z42)*$Y$18)</f>
        <v>0</v>
      </c>
      <c r="AC42" s="12"/>
      <c r="AD42" s="12"/>
      <c r="AF42" s="27"/>
      <c r="AG42" s="12"/>
      <c r="AH42" s="12"/>
      <c r="AI42" s="12"/>
      <c r="AJ42" s="12"/>
      <c r="AK42" s="12"/>
      <c r="AL42" s="12"/>
    </row>
    <row r="43" spans="2:38" ht="31.2" customHeight="1">
      <c r="B43" s="18"/>
      <c r="C43" s="34"/>
      <c r="D43" s="35">
        <f t="shared" si="2"/>
        <v>0</v>
      </c>
      <c r="E43" s="36"/>
      <c r="F43" s="201" t="str">
        <f t="shared" si="0"/>
        <v>TOMACORRIENTE  DUPLEX POLARIZADO 2P+T CON PLACA Y CHASIS 10/16A  127/200V</v>
      </c>
      <c r="G43" s="201"/>
      <c r="H43" s="201"/>
      <c r="I43" s="201"/>
      <c r="J43" s="201"/>
      <c r="K43" s="201"/>
      <c r="L43" s="201"/>
      <c r="M43" s="201"/>
      <c r="N43" s="239"/>
      <c r="O43" s="239"/>
      <c r="P43" s="239"/>
      <c r="Q43" s="19"/>
      <c r="R43" s="24"/>
      <c r="S43" s="10"/>
      <c r="T43" s="158" t="s">
        <v>203</v>
      </c>
      <c r="U43" s="202">
        <v>23</v>
      </c>
      <c r="V43" s="203"/>
      <c r="W43" s="199">
        <v>19</v>
      </c>
      <c r="X43" s="200"/>
      <c r="Y43" s="37"/>
      <c r="Z43" s="38"/>
      <c r="AA43" s="12"/>
      <c r="AB43" s="29">
        <f t="shared" si="3"/>
        <v>0</v>
      </c>
      <c r="AC43" s="12"/>
      <c r="AD43" s="12"/>
      <c r="AF43" s="27"/>
      <c r="AG43" s="12"/>
      <c r="AH43" s="12"/>
      <c r="AI43" s="12"/>
      <c r="AJ43" s="12"/>
      <c r="AK43" s="12"/>
      <c r="AL43" s="12"/>
    </row>
    <row r="44" spans="2:38" ht="45" customHeight="1">
      <c r="B44" s="18"/>
      <c r="C44" s="34"/>
      <c r="D44" s="35">
        <f t="shared" si="2"/>
        <v>0</v>
      </c>
      <c r="E44" s="36"/>
      <c r="F44" s="201" t="str">
        <f t="shared" si="0"/>
        <v>TOMACORRIENTE  DUPLEX POLARIZADO 2P+T CON PLACA Y CHASIS 10/16A  127/200V CON FALLA A TIERRA</v>
      </c>
      <c r="G44" s="201"/>
      <c r="H44" s="201"/>
      <c r="I44" s="201"/>
      <c r="J44" s="201"/>
      <c r="K44" s="201"/>
      <c r="L44" s="201"/>
      <c r="M44" s="201"/>
      <c r="N44" s="226"/>
      <c r="O44" s="226"/>
      <c r="P44" s="226"/>
      <c r="Q44" s="19"/>
      <c r="R44" s="24"/>
      <c r="S44" s="10"/>
      <c r="T44" s="159" t="s">
        <v>204</v>
      </c>
      <c r="U44" s="202">
        <v>8</v>
      </c>
      <c r="V44" s="203"/>
      <c r="W44" s="199">
        <v>10</v>
      </c>
      <c r="X44" s="200"/>
      <c r="Y44" s="37"/>
      <c r="Z44" s="38"/>
      <c r="AA44" s="12"/>
      <c r="AB44" s="29">
        <f t="shared" si="3"/>
        <v>0</v>
      </c>
      <c r="AC44" s="12"/>
      <c r="AD44" s="12"/>
      <c r="AF44" s="27"/>
      <c r="AG44" s="12"/>
      <c r="AH44" s="12"/>
      <c r="AI44" s="12"/>
      <c r="AJ44" s="12"/>
      <c r="AK44" s="12"/>
      <c r="AL44" s="12"/>
    </row>
    <row r="45" spans="2:38" s="146" customFormat="1" ht="45.6" customHeight="1">
      <c r="B45" s="147"/>
      <c r="C45" s="34"/>
      <c r="D45" s="35">
        <f t="shared" si="2"/>
        <v>0</v>
      </c>
      <c r="E45" s="148"/>
      <c r="F45" s="201" t="str">
        <f t="shared" si="0"/>
        <v>TOMACORRIENTE DUPLEX POLARIZADO  2P+T CON PLACA Y CHASIS  10/16A 127/200V PARA EXTERIOR</v>
      </c>
      <c r="G45" s="201"/>
      <c r="H45" s="201"/>
      <c r="I45" s="201"/>
      <c r="J45" s="201"/>
      <c r="K45" s="201"/>
      <c r="L45" s="201"/>
      <c r="M45" s="201"/>
      <c r="N45" s="240"/>
      <c r="O45" s="240"/>
      <c r="P45" s="240"/>
      <c r="Q45" s="149"/>
      <c r="R45" s="150"/>
      <c r="T45" s="158" t="s">
        <v>205</v>
      </c>
      <c r="U45" s="202">
        <v>3</v>
      </c>
      <c r="V45" s="203"/>
      <c r="W45" s="199">
        <v>2</v>
      </c>
      <c r="X45" s="200"/>
      <c r="Y45" s="37"/>
      <c r="Z45" s="37"/>
      <c r="AA45" s="12"/>
      <c r="AB45" s="29">
        <f t="shared" si="3"/>
        <v>0</v>
      </c>
      <c r="AC45" s="12"/>
      <c r="AD45" s="12"/>
      <c r="AF45" s="27"/>
      <c r="AG45" s="12"/>
      <c r="AH45" s="12"/>
      <c r="AI45" s="12"/>
      <c r="AJ45" s="12"/>
      <c r="AK45" s="12"/>
      <c r="AL45" s="12"/>
    </row>
    <row r="46" spans="2:38" s="42" customFormat="1" ht="15" customHeight="1">
      <c r="B46" s="39"/>
      <c r="C46" s="34"/>
      <c r="D46" s="35">
        <f t="shared" si="2"/>
        <v>0</v>
      </c>
      <c r="E46" s="36"/>
      <c r="F46" s="201" t="str">
        <f t="shared" si="0"/>
        <v xml:space="preserve"> CABLE THW CAL. 8</v>
      </c>
      <c r="G46" s="201"/>
      <c r="H46" s="201"/>
      <c r="I46" s="201"/>
      <c r="J46" s="201"/>
      <c r="K46" s="201"/>
      <c r="L46" s="201"/>
      <c r="M46" s="201"/>
      <c r="N46" s="140"/>
      <c r="O46" s="140"/>
      <c r="P46" s="140"/>
      <c r="Q46" s="40"/>
      <c r="R46" s="41"/>
      <c r="T46" s="151" t="s">
        <v>210</v>
      </c>
      <c r="U46" s="199">
        <v>10.7</v>
      </c>
      <c r="V46" s="200"/>
      <c r="W46" s="199">
        <v>37.22</v>
      </c>
      <c r="X46" s="200"/>
      <c r="Y46" s="43"/>
      <c r="Z46" s="37"/>
      <c r="AA46" s="12"/>
      <c r="AB46" s="29">
        <f t="shared" si="3"/>
        <v>0</v>
      </c>
      <c r="AC46" s="12"/>
      <c r="AD46" s="12"/>
      <c r="AF46" s="27"/>
      <c r="AG46" s="12"/>
      <c r="AH46" s="12"/>
      <c r="AI46" s="12"/>
      <c r="AJ46" s="12"/>
      <c r="AK46" s="12"/>
      <c r="AL46" s="12"/>
    </row>
    <row r="47" spans="2:38" s="42" customFormat="1" ht="15" customHeight="1">
      <c r="B47" s="39"/>
      <c r="C47" s="34"/>
      <c r="D47" s="35">
        <f t="shared" si="2"/>
        <v>0</v>
      </c>
      <c r="E47" s="36"/>
      <c r="F47" s="201" t="str">
        <f t="shared" si="0"/>
        <v>CABLE THW CAL 12</v>
      </c>
      <c r="G47" s="201"/>
      <c r="H47" s="201"/>
      <c r="I47" s="201"/>
      <c r="J47" s="201"/>
      <c r="K47" s="201"/>
      <c r="L47" s="201"/>
      <c r="M47" s="201"/>
      <c r="N47" s="140"/>
      <c r="O47" s="140"/>
      <c r="P47" s="140"/>
      <c r="Q47" s="40"/>
      <c r="R47" s="41"/>
      <c r="T47" s="151" t="s">
        <v>212</v>
      </c>
      <c r="U47" s="199">
        <v>540.30999999999995</v>
      </c>
      <c r="V47" s="200"/>
      <c r="W47" s="199">
        <v>629.5</v>
      </c>
      <c r="X47" s="200"/>
      <c r="Y47" s="43"/>
      <c r="Z47" s="37"/>
      <c r="AA47" s="12"/>
      <c r="AB47" s="29">
        <f t="shared" si="3"/>
        <v>0</v>
      </c>
      <c r="AC47" s="12"/>
      <c r="AD47" s="12"/>
      <c r="AF47" s="27"/>
      <c r="AG47" s="12"/>
      <c r="AH47" s="12"/>
      <c r="AI47" s="12"/>
      <c r="AJ47" s="12"/>
      <c r="AK47" s="12"/>
      <c r="AL47" s="12"/>
    </row>
    <row r="48" spans="2:38" ht="15.75" customHeight="1">
      <c r="B48" s="18"/>
      <c r="C48" s="34"/>
      <c r="D48" s="35">
        <f t="shared" si="2"/>
        <v>0</v>
      </c>
      <c r="E48" s="36"/>
      <c r="F48" s="201" t="str">
        <f t="shared" si="0"/>
        <v>CABLE THW CAL 14</v>
      </c>
      <c r="G48" s="201"/>
      <c r="H48" s="201"/>
      <c r="I48" s="201"/>
      <c r="J48" s="201"/>
      <c r="K48" s="201"/>
      <c r="L48" s="201"/>
      <c r="M48" s="201"/>
      <c r="N48" s="226"/>
      <c r="O48" s="226"/>
      <c r="P48" s="226"/>
      <c r="Q48" s="19"/>
      <c r="R48" s="24"/>
      <c r="S48" s="10"/>
      <c r="T48" s="157" t="s">
        <v>211</v>
      </c>
      <c r="U48" s="199">
        <f>782.4+20.16</f>
        <v>802.56</v>
      </c>
      <c r="V48" s="200"/>
      <c r="W48" s="199">
        <v>885.63</v>
      </c>
      <c r="X48" s="200"/>
      <c r="Y48" s="37"/>
      <c r="Z48" s="47"/>
      <c r="AA48" s="12"/>
      <c r="AB48" s="29">
        <f t="shared" si="3"/>
        <v>0</v>
      </c>
      <c r="AC48" s="12"/>
      <c r="AD48" s="12"/>
      <c r="AF48" s="27"/>
      <c r="AG48" s="12"/>
      <c r="AH48" s="12"/>
      <c r="AI48" s="12"/>
      <c r="AJ48" s="12"/>
      <c r="AK48" s="12"/>
      <c r="AL48" s="12"/>
    </row>
    <row r="49" spans="2:38" ht="15" customHeight="1">
      <c r="B49" s="18"/>
      <c r="C49" s="34"/>
      <c r="D49" s="35">
        <f t="shared" si="2"/>
        <v>0</v>
      </c>
      <c r="E49" s="36"/>
      <c r="F49" s="201" t="str">
        <f t="shared" si="0"/>
        <v>TOMA DE TELEVISION CON PLACA Y CHASIS</v>
      </c>
      <c r="G49" s="201"/>
      <c r="H49" s="201"/>
      <c r="I49" s="201"/>
      <c r="J49" s="201"/>
      <c r="K49" s="201"/>
      <c r="L49" s="201"/>
      <c r="M49" s="201"/>
      <c r="N49" s="226"/>
      <c r="O49" s="226"/>
      <c r="P49" s="226"/>
      <c r="Q49" s="19"/>
      <c r="R49" s="24"/>
      <c r="S49" s="10"/>
      <c r="T49" s="157" t="s">
        <v>213</v>
      </c>
      <c r="U49" s="202">
        <v>5</v>
      </c>
      <c r="V49" s="203"/>
      <c r="W49" s="199">
        <v>4</v>
      </c>
      <c r="X49" s="200"/>
      <c r="Y49" s="37"/>
      <c r="Z49" s="43"/>
      <c r="AA49" s="48"/>
      <c r="AB49" s="29">
        <f t="shared" si="3"/>
        <v>0</v>
      </c>
      <c r="AC49" s="48"/>
      <c r="AD49" s="12"/>
      <c r="AF49" s="27"/>
      <c r="AG49" s="48"/>
      <c r="AH49" s="48"/>
      <c r="AI49" s="48"/>
      <c r="AJ49" s="48"/>
      <c r="AK49" s="48"/>
      <c r="AL49" s="12"/>
    </row>
    <row r="50" spans="2:38" ht="15" customHeight="1">
      <c r="B50" s="18"/>
      <c r="C50" s="19"/>
      <c r="D50" s="35">
        <f t="shared" si="2"/>
        <v>0</v>
      </c>
      <c r="E50" s="36"/>
      <c r="F50" s="201" t="str">
        <f t="shared" si="0"/>
        <v>TOMA DE TELEFONO CON PLACA Y CHASIS</v>
      </c>
      <c r="G50" s="201"/>
      <c r="H50" s="201"/>
      <c r="I50" s="201"/>
      <c r="J50" s="201"/>
      <c r="K50" s="201"/>
      <c r="L50" s="201"/>
      <c r="M50" s="201"/>
      <c r="N50" s="239"/>
      <c r="O50" s="239"/>
      <c r="P50" s="239"/>
      <c r="Q50" s="19"/>
      <c r="R50" s="24"/>
      <c r="S50" s="10"/>
      <c r="T50" s="27" t="s">
        <v>214</v>
      </c>
      <c r="U50" s="204">
        <v>9</v>
      </c>
      <c r="V50" s="205"/>
      <c r="W50" s="199">
        <v>6</v>
      </c>
      <c r="X50" s="200"/>
      <c r="Y50" s="37"/>
      <c r="Z50" s="43"/>
      <c r="AA50" s="12"/>
      <c r="AB50" s="29">
        <f t="shared" si="3"/>
        <v>0</v>
      </c>
      <c r="AC50" s="12"/>
      <c r="AD50" s="12"/>
      <c r="AF50" s="27"/>
      <c r="AG50" s="12"/>
      <c r="AH50" s="12"/>
      <c r="AI50" s="12"/>
      <c r="AJ50" s="12"/>
      <c r="AK50" s="12"/>
      <c r="AL50" s="12"/>
    </row>
    <row r="51" spans="2:38" s="42" customFormat="1" ht="15" customHeight="1">
      <c r="B51" s="39"/>
      <c r="C51" s="34"/>
      <c r="D51" s="35">
        <f t="shared" si="2"/>
        <v>0</v>
      </c>
      <c r="E51" s="36"/>
      <c r="F51" s="201">
        <f t="shared" si="0"/>
        <v>0</v>
      </c>
      <c r="G51" s="201"/>
      <c r="H51" s="201"/>
      <c r="I51" s="201"/>
      <c r="J51" s="201"/>
      <c r="K51" s="201"/>
      <c r="L51" s="201"/>
      <c r="M51" s="201"/>
      <c r="N51" s="226"/>
      <c r="O51" s="226"/>
      <c r="P51" s="226"/>
      <c r="Q51" s="40"/>
      <c r="R51" s="41"/>
      <c r="T51" s="27"/>
      <c r="U51" s="204"/>
      <c r="V51" s="205"/>
      <c r="W51" s="51"/>
      <c r="X51" s="37"/>
      <c r="Y51" s="37"/>
      <c r="Z51" s="37"/>
      <c r="AA51" s="44"/>
      <c r="AB51" s="29">
        <f t="shared" si="3"/>
        <v>0</v>
      </c>
      <c r="AC51" s="44"/>
      <c r="AD51" s="44"/>
      <c r="AF51" s="45"/>
      <c r="AG51" s="44"/>
      <c r="AH51" s="44"/>
      <c r="AI51" s="44"/>
      <c r="AJ51" s="44"/>
      <c r="AK51" s="44"/>
      <c r="AL51" s="44"/>
    </row>
    <row r="52" spans="2:38" s="42" customFormat="1" ht="15" customHeight="1">
      <c r="B52" s="39"/>
      <c r="C52" s="34"/>
      <c r="D52" s="35">
        <f t="shared" si="2"/>
        <v>0</v>
      </c>
      <c r="E52" s="36"/>
      <c r="F52" s="201">
        <f t="shared" si="0"/>
        <v>0</v>
      </c>
      <c r="G52" s="201"/>
      <c r="H52" s="201"/>
      <c r="I52" s="201"/>
      <c r="J52" s="201"/>
      <c r="K52" s="201"/>
      <c r="L52" s="201"/>
      <c r="M52" s="201"/>
      <c r="N52" s="252"/>
      <c r="O52" s="253"/>
      <c r="P52" s="254"/>
      <c r="Q52" s="40"/>
      <c r="R52" s="41"/>
      <c r="T52" s="27"/>
      <c r="U52" s="204"/>
      <c r="V52" s="205"/>
      <c r="W52" s="144"/>
      <c r="X52" s="43"/>
      <c r="Y52" s="43"/>
      <c r="Z52" s="43"/>
      <c r="AA52" s="44"/>
      <c r="AB52" s="29">
        <f t="shared" si="3"/>
        <v>0</v>
      </c>
      <c r="AC52" s="44"/>
      <c r="AD52" s="44"/>
      <c r="AF52" s="45"/>
      <c r="AG52" s="44"/>
      <c r="AH52" s="44"/>
      <c r="AI52" s="44"/>
      <c r="AJ52" s="44"/>
      <c r="AK52" s="44"/>
      <c r="AL52" s="44"/>
    </row>
    <row r="53" spans="2:38" s="42" customFormat="1" ht="15" customHeight="1">
      <c r="B53" s="39"/>
      <c r="C53" s="34"/>
      <c r="D53" s="35"/>
      <c r="E53" s="36"/>
      <c r="F53" s="201">
        <f t="shared" si="0"/>
        <v>0</v>
      </c>
      <c r="G53" s="201"/>
      <c r="H53" s="201"/>
      <c r="I53" s="201"/>
      <c r="J53" s="201"/>
      <c r="K53" s="201"/>
      <c r="L53" s="201"/>
      <c r="M53" s="201"/>
      <c r="N53" s="141"/>
      <c r="O53" s="142"/>
      <c r="P53" s="143"/>
      <c r="Q53" s="40"/>
      <c r="R53" s="41"/>
      <c r="T53" s="27"/>
      <c r="U53" s="204"/>
      <c r="V53" s="205"/>
      <c r="W53" s="144"/>
      <c r="X53" s="43"/>
      <c r="Y53" s="43"/>
      <c r="Z53" s="43"/>
      <c r="AA53" s="44"/>
      <c r="AB53" s="29"/>
      <c r="AC53" s="44"/>
      <c r="AD53" s="44"/>
      <c r="AF53" s="45"/>
      <c r="AG53" s="44"/>
      <c r="AH53" s="44"/>
      <c r="AI53" s="44"/>
      <c r="AJ53" s="44"/>
      <c r="AK53" s="44"/>
      <c r="AL53" s="44"/>
    </row>
    <row r="54" spans="2:38" s="42" customFormat="1" ht="15" customHeight="1">
      <c r="B54" s="39"/>
      <c r="C54" s="34"/>
      <c r="D54" s="35"/>
      <c r="E54" s="36"/>
      <c r="F54" s="201">
        <f t="shared" si="0"/>
        <v>0</v>
      </c>
      <c r="G54" s="201"/>
      <c r="H54" s="201"/>
      <c r="I54" s="201"/>
      <c r="J54" s="201"/>
      <c r="K54" s="201"/>
      <c r="L54" s="201"/>
      <c r="M54" s="201"/>
      <c r="N54" s="141"/>
      <c r="O54" s="142"/>
      <c r="P54" s="143"/>
      <c r="Q54" s="40"/>
      <c r="R54" s="41"/>
      <c r="T54" s="27"/>
      <c r="U54" s="204"/>
      <c r="V54" s="205"/>
      <c r="W54" s="144"/>
      <c r="X54" s="43"/>
      <c r="Y54" s="43"/>
      <c r="Z54" s="43"/>
      <c r="AA54" s="44"/>
      <c r="AB54" s="29"/>
      <c r="AC54" s="44"/>
      <c r="AD54" s="44"/>
      <c r="AF54" s="45"/>
      <c r="AG54" s="44"/>
      <c r="AH54" s="44"/>
      <c r="AI54" s="44"/>
      <c r="AJ54" s="44"/>
      <c r="AK54" s="44"/>
      <c r="AL54" s="44"/>
    </row>
    <row r="55" spans="2:38" s="42" customFormat="1" ht="15" customHeight="1">
      <c r="B55" s="39"/>
      <c r="C55" s="34"/>
      <c r="D55" s="35"/>
      <c r="E55" s="36"/>
      <c r="F55" s="201">
        <f t="shared" si="0"/>
        <v>0</v>
      </c>
      <c r="G55" s="201"/>
      <c r="H55" s="201"/>
      <c r="I55" s="201"/>
      <c r="J55" s="201"/>
      <c r="K55" s="201"/>
      <c r="L55" s="201"/>
      <c r="M55" s="201"/>
      <c r="N55" s="141"/>
      <c r="O55" s="142"/>
      <c r="P55" s="143"/>
      <c r="Q55" s="40"/>
      <c r="R55" s="41"/>
      <c r="T55" s="27"/>
      <c r="U55" s="204"/>
      <c r="V55" s="205"/>
      <c r="W55" s="144"/>
      <c r="X55" s="43"/>
      <c r="Y55" s="43"/>
      <c r="Z55" s="43"/>
      <c r="AA55" s="44"/>
      <c r="AB55" s="29"/>
      <c r="AC55" s="44"/>
      <c r="AD55" s="44"/>
      <c r="AF55" s="45"/>
      <c r="AG55" s="44"/>
      <c r="AH55" s="44"/>
      <c r="AI55" s="44"/>
      <c r="AJ55" s="44"/>
      <c r="AK55" s="44"/>
      <c r="AL55" s="44"/>
    </row>
    <row r="56" spans="2:38" ht="15" customHeight="1">
      <c r="B56" s="18"/>
      <c r="C56" s="19"/>
      <c r="D56" s="35">
        <f>AB56</f>
        <v>0</v>
      </c>
      <c r="E56" s="36"/>
      <c r="F56" s="201">
        <f t="shared" si="0"/>
        <v>0</v>
      </c>
      <c r="G56" s="201"/>
      <c r="H56" s="201"/>
      <c r="I56" s="201"/>
      <c r="J56" s="201"/>
      <c r="K56" s="201"/>
      <c r="L56" s="201"/>
      <c r="M56" s="201"/>
      <c r="N56" s="238"/>
      <c r="O56" s="238"/>
      <c r="P56" s="238"/>
      <c r="Q56" s="19"/>
      <c r="R56" s="24"/>
      <c r="S56" s="10" t="s">
        <v>55</v>
      </c>
      <c r="T56" s="27"/>
      <c r="U56" s="204"/>
      <c r="V56" s="205"/>
      <c r="W56" s="144"/>
      <c r="X56" s="43"/>
      <c r="Y56" s="43"/>
      <c r="Z56" s="37"/>
      <c r="AA56" s="12"/>
      <c r="AB56" s="29">
        <f>((U56+V56)*$U$18)+((W56+X56)*$W$18)+((Y56+Z56)*$Y$18)</f>
        <v>0</v>
      </c>
      <c r="AC56" s="12"/>
      <c r="AD56" s="12"/>
      <c r="AF56" s="27"/>
      <c r="AG56" s="12"/>
      <c r="AH56" s="12"/>
      <c r="AI56" s="12"/>
      <c r="AJ56" s="12"/>
      <c r="AK56" s="12"/>
      <c r="AL56" s="12"/>
    </row>
    <row r="57" spans="2:38" ht="15" customHeight="1">
      <c r="B57" s="18"/>
      <c r="C57" s="19"/>
      <c r="D57" s="35">
        <f>AB57</f>
        <v>0</v>
      </c>
      <c r="E57" s="36"/>
      <c r="F57" s="201">
        <f t="shared" si="0"/>
        <v>0</v>
      </c>
      <c r="G57" s="201"/>
      <c r="H57" s="201"/>
      <c r="I57" s="201"/>
      <c r="J57" s="201"/>
      <c r="K57" s="201"/>
      <c r="L57" s="201"/>
      <c r="M57" s="201"/>
      <c r="N57" s="238"/>
      <c r="O57" s="238"/>
      <c r="P57" s="238"/>
      <c r="Q57" s="19"/>
      <c r="R57" s="24"/>
      <c r="T57" s="27"/>
      <c r="U57" s="204"/>
      <c r="V57" s="205"/>
      <c r="W57" s="145"/>
      <c r="X57" s="38"/>
      <c r="Y57" s="37"/>
      <c r="Z57" s="47"/>
      <c r="AB57" s="50">
        <f>((U57+V57)*$U$18)+((W57+X57)*$W$18)+((Y57+Z57)*$Y$18)</f>
        <v>0</v>
      </c>
    </row>
    <row r="58" spans="2:38" ht="15" customHeight="1">
      <c r="B58" s="18"/>
      <c r="C58" s="19"/>
      <c r="D58" s="35">
        <f>AB58</f>
        <v>0</v>
      </c>
      <c r="E58" s="36"/>
      <c r="F58" s="201">
        <f t="shared" si="0"/>
        <v>0</v>
      </c>
      <c r="G58" s="201"/>
      <c r="H58" s="201"/>
      <c r="I58" s="201"/>
      <c r="J58" s="201"/>
      <c r="K58" s="201"/>
      <c r="L58" s="201"/>
      <c r="M58" s="201"/>
      <c r="N58" s="238"/>
      <c r="O58" s="238"/>
      <c r="P58" s="238"/>
      <c r="Q58" s="19"/>
      <c r="R58" s="24"/>
      <c r="T58" s="27"/>
      <c r="U58" s="204"/>
      <c r="V58" s="205"/>
      <c r="W58" s="145"/>
      <c r="X58" s="38"/>
      <c r="Y58" s="51"/>
      <c r="Z58" s="52"/>
      <c r="AB58" s="50">
        <f>((U58+V58)*$U$18)+((W58+X58)*$W$18)+((Y58+Z58)*$Y$18)</f>
        <v>0</v>
      </c>
    </row>
    <row r="59" spans="2:38" ht="15" customHeight="1">
      <c r="B59" s="18"/>
      <c r="C59" s="19"/>
      <c r="D59" s="53"/>
      <c r="E59" s="54"/>
      <c r="F59" s="201">
        <f t="shared" si="0"/>
        <v>0</v>
      </c>
      <c r="G59" s="201"/>
      <c r="H59" s="201"/>
      <c r="I59" s="201"/>
      <c r="J59" s="201"/>
      <c r="K59" s="201"/>
      <c r="L59" s="201"/>
      <c r="M59" s="201"/>
      <c r="N59" s="241"/>
      <c r="O59" s="241"/>
      <c r="P59" s="241"/>
      <c r="Q59" s="19"/>
      <c r="R59" s="24"/>
      <c r="U59" s="49">
        <v>0</v>
      </c>
      <c r="V59" s="46">
        <v>0</v>
      </c>
      <c r="W59" s="145">
        <v>0</v>
      </c>
      <c r="X59" s="38">
        <v>0</v>
      </c>
      <c r="Y59" s="51">
        <v>0</v>
      </c>
      <c r="Z59" s="52">
        <v>0</v>
      </c>
      <c r="AB59" s="50">
        <f>((U59+V59)*$U$18)+((W59+X59)*$W$18)+((Y59+Z59)*$Y$18)</f>
        <v>0</v>
      </c>
    </row>
    <row r="60" spans="2:38" ht="15.6">
      <c r="B60" s="18"/>
      <c r="C60" s="19"/>
      <c r="E60" s="55"/>
      <c r="F60" s="56"/>
      <c r="G60" s="56"/>
      <c r="H60" s="56"/>
      <c r="I60" s="56"/>
      <c r="J60" s="56"/>
      <c r="K60" s="56"/>
      <c r="L60" s="56"/>
      <c r="M60" s="57"/>
      <c r="N60" s="57"/>
      <c r="O60" s="25"/>
      <c r="P60" s="58"/>
      <c r="Q60" s="19"/>
      <c r="R60" s="24"/>
      <c r="V60" s="59"/>
      <c r="X60" s="59"/>
      <c r="Z60" s="59"/>
    </row>
    <row r="61" spans="2:38" ht="15.6">
      <c r="B61" s="18"/>
      <c r="C61" s="19"/>
      <c r="E61" s="55"/>
      <c r="F61" s="56"/>
      <c r="G61" s="56"/>
      <c r="H61" s="56"/>
      <c r="I61" s="56"/>
      <c r="J61" s="56"/>
      <c r="K61" s="56"/>
      <c r="L61" s="56"/>
      <c r="M61" s="57" t="s">
        <v>56</v>
      </c>
      <c r="N61" s="25"/>
      <c r="O61" s="25"/>
      <c r="P61" s="60"/>
      <c r="Q61" s="19"/>
      <c r="R61" s="24"/>
      <c r="V61" s="59"/>
      <c r="X61" s="59"/>
      <c r="Z61" s="59"/>
    </row>
    <row r="62" spans="2:38" ht="35.4">
      <c r="B62" s="18"/>
      <c r="C62" s="19"/>
      <c r="E62" s="242"/>
      <c r="F62" s="242"/>
      <c r="G62" s="242"/>
      <c r="H62" s="242"/>
      <c r="I62" s="242"/>
      <c r="J62" s="61"/>
      <c r="K62" s="61"/>
      <c r="L62" s="61"/>
      <c r="M62" s="19"/>
      <c r="N62" s="19"/>
      <c r="O62" s="19"/>
      <c r="P62" s="62"/>
      <c r="Q62" s="19"/>
      <c r="R62" s="24"/>
      <c r="V62" s="59"/>
      <c r="X62" s="59"/>
      <c r="Z62" s="59"/>
    </row>
    <row r="63" spans="2:38">
      <c r="B63" s="18"/>
      <c r="C63" s="19"/>
      <c r="E63" s="242"/>
      <c r="F63" s="242"/>
      <c r="G63" s="242"/>
      <c r="H63" s="242"/>
      <c r="I63" s="242"/>
      <c r="J63" s="243"/>
      <c r="K63" s="243"/>
      <c r="L63" s="19"/>
      <c r="M63" s="19"/>
      <c r="N63" s="19"/>
      <c r="O63" s="19"/>
      <c r="P63" s="62"/>
      <c r="Q63" s="19"/>
      <c r="R63" s="24"/>
      <c r="V63" s="59"/>
      <c r="X63" s="59"/>
      <c r="Z63" s="59"/>
    </row>
    <row r="64" spans="2:38">
      <c r="B64" s="18"/>
      <c r="C64" s="19"/>
      <c r="E64" s="242"/>
      <c r="F64" s="242"/>
      <c r="G64" s="242"/>
      <c r="H64" s="242"/>
      <c r="I64" s="242"/>
      <c r="J64" s="19"/>
      <c r="K64" s="19"/>
      <c r="L64" s="19"/>
      <c r="M64" s="19"/>
      <c r="N64" s="19"/>
      <c r="O64" s="19"/>
      <c r="P64" s="62"/>
      <c r="Q64" s="19"/>
      <c r="R64" s="24"/>
    </row>
    <row r="65" spans="2:18">
      <c r="B65" s="18"/>
      <c r="C65" s="19"/>
      <c r="D65" s="245"/>
      <c r="E65" s="245"/>
      <c r="F65" s="245"/>
      <c r="G65" s="245"/>
      <c r="H65" s="245"/>
      <c r="I65" s="245"/>
      <c r="J65" s="245"/>
      <c r="K65" s="245"/>
      <c r="L65" s="245"/>
      <c r="M65" s="245"/>
      <c r="N65" s="245"/>
      <c r="O65" s="245"/>
      <c r="P65" s="245"/>
      <c r="Q65" s="19"/>
      <c r="R65" s="24"/>
    </row>
    <row r="66" spans="2:18">
      <c r="B66" s="18"/>
      <c r="C66" s="19"/>
      <c r="D66" s="245"/>
      <c r="E66" s="245"/>
      <c r="F66" s="245"/>
      <c r="G66" s="245"/>
      <c r="H66" s="245"/>
      <c r="I66" s="245"/>
      <c r="J66" s="245"/>
      <c r="K66" s="245"/>
      <c r="L66" s="245"/>
      <c r="M66" s="245"/>
      <c r="N66" s="245"/>
      <c r="O66" s="245"/>
      <c r="P66" s="245"/>
      <c r="Q66" s="19"/>
      <c r="R66" s="24"/>
    </row>
    <row r="67" spans="2:18" ht="13.8">
      <c r="B67" s="18"/>
      <c r="C67" s="19"/>
      <c r="E67" s="63" t="s">
        <v>57</v>
      </c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24"/>
    </row>
    <row r="68" spans="2:18" ht="13.8" thickBot="1">
      <c r="B68" s="18"/>
      <c r="C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24"/>
    </row>
    <row r="69" spans="2:18" ht="15.75" customHeight="1" thickTop="1">
      <c r="B69" s="18"/>
      <c r="C69" s="19"/>
      <c r="D69" s="246"/>
      <c r="E69" s="246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19"/>
      <c r="R69" s="24"/>
    </row>
    <row r="70" spans="2:18">
      <c r="B70" s="18"/>
      <c r="C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24"/>
    </row>
    <row r="71" spans="2:18">
      <c r="B71" s="18"/>
      <c r="C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24"/>
    </row>
    <row r="72" spans="2:18" ht="13.8" thickBot="1">
      <c r="B72" s="65"/>
      <c r="C72" s="19"/>
      <c r="E72" s="247"/>
      <c r="F72" s="247"/>
      <c r="G72" s="247"/>
      <c r="H72" s="247"/>
      <c r="I72" s="247"/>
      <c r="J72" s="247"/>
      <c r="K72" s="19"/>
      <c r="L72" s="19"/>
      <c r="M72" s="19" t="s">
        <v>58</v>
      </c>
      <c r="N72" s="248"/>
      <c r="O72" s="249"/>
      <c r="P72" s="249"/>
      <c r="Q72" s="19"/>
      <c r="R72" s="24"/>
    </row>
    <row r="73" spans="2:18" ht="13.8" thickTop="1">
      <c r="C73" s="19"/>
      <c r="E73" s="247"/>
      <c r="F73" s="247"/>
      <c r="G73" s="247"/>
      <c r="H73" s="247"/>
      <c r="I73" s="247"/>
      <c r="J73" s="247"/>
      <c r="K73" s="19"/>
      <c r="L73" s="19"/>
      <c r="M73" s="19"/>
      <c r="N73" s="19"/>
      <c r="O73" s="19"/>
      <c r="P73" s="19"/>
      <c r="Q73" s="19"/>
      <c r="R73" s="24"/>
    </row>
    <row r="74" spans="2:18" ht="12.75" customHeight="1">
      <c r="C74" s="19"/>
      <c r="E74" s="247"/>
      <c r="F74" s="247"/>
      <c r="G74" s="247"/>
      <c r="H74" s="247"/>
      <c r="I74" s="247"/>
      <c r="J74" s="247"/>
      <c r="K74" s="19"/>
      <c r="L74" s="19"/>
      <c r="M74" s="250"/>
      <c r="N74" s="251"/>
      <c r="O74" s="251"/>
      <c r="P74" s="251"/>
      <c r="Q74" s="19"/>
      <c r="R74" s="24"/>
    </row>
    <row r="75" spans="2:18" ht="22.5" customHeight="1">
      <c r="C75" s="19"/>
      <c r="E75" s="247"/>
      <c r="F75" s="247"/>
      <c r="G75" s="247"/>
      <c r="H75" s="247"/>
      <c r="I75" s="247"/>
      <c r="J75" s="247"/>
      <c r="K75" s="19"/>
      <c r="L75" s="19"/>
      <c r="M75" s="250"/>
      <c r="N75" s="251"/>
      <c r="O75" s="251"/>
      <c r="P75" s="251"/>
      <c r="Q75" s="19"/>
      <c r="R75" s="24"/>
    </row>
    <row r="76" spans="2:18">
      <c r="C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24"/>
    </row>
    <row r="77" spans="2:18">
      <c r="C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24"/>
    </row>
    <row r="78" spans="2:18" ht="12.75" customHeight="1">
      <c r="C78" s="19"/>
      <c r="E78" s="66"/>
      <c r="F78" s="66"/>
      <c r="G78" s="244"/>
      <c r="H78" s="244"/>
      <c r="I78" s="244"/>
      <c r="J78" s="244"/>
      <c r="K78" s="244"/>
      <c r="L78" s="244"/>
      <c r="M78" s="244"/>
      <c r="N78" s="244"/>
      <c r="O78" s="244"/>
      <c r="P78" s="66"/>
      <c r="Q78" s="19"/>
      <c r="R78" s="24"/>
    </row>
    <row r="79" spans="2:18" ht="12.75" customHeight="1">
      <c r="C79" s="19"/>
      <c r="E79" s="66"/>
      <c r="F79" s="66"/>
      <c r="G79" s="244"/>
      <c r="H79" s="244"/>
      <c r="I79" s="244"/>
      <c r="J79" s="244"/>
      <c r="K79" s="244"/>
      <c r="L79" s="244"/>
      <c r="M79" s="244"/>
      <c r="N79" s="244"/>
      <c r="O79" s="244"/>
      <c r="P79" s="66"/>
      <c r="Q79" s="19"/>
      <c r="R79" s="24"/>
    </row>
    <row r="80" spans="2:18" ht="12.75" customHeight="1">
      <c r="C80" s="19"/>
      <c r="E80" s="66"/>
      <c r="F80" s="66"/>
      <c r="G80" s="244"/>
      <c r="H80" s="244"/>
      <c r="I80" s="244"/>
      <c r="J80" s="244"/>
      <c r="K80" s="244"/>
      <c r="L80" s="244"/>
      <c r="M80" s="244"/>
      <c r="N80" s="244"/>
      <c r="O80" s="244"/>
      <c r="P80" s="66"/>
      <c r="Q80" s="19"/>
      <c r="R80" s="24"/>
    </row>
    <row r="81" spans="3:18">
      <c r="C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24"/>
    </row>
    <row r="82" spans="3:18" ht="13.8" thickBot="1"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8"/>
    </row>
    <row r="83" spans="3:18" ht="13.8" thickTop="1">
      <c r="D83" s="10"/>
    </row>
    <row r="84" spans="3:18">
      <c r="D84" s="10"/>
    </row>
    <row r="85" spans="3:18">
      <c r="D85" s="10"/>
    </row>
    <row r="86" spans="3:18">
      <c r="D86" s="10"/>
    </row>
    <row r="87" spans="3:18">
      <c r="D87" s="10"/>
    </row>
    <row r="88" spans="3:18">
      <c r="D88" s="10"/>
    </row>
    <row r="89" spans="3:18">
      <c r="D89" s="10"/>
    </row>
    <row r="90" spans="3:18">
      <c r="D90" s="10"/>
    </row>
    <row r="91" spans="3:18">
      <c r="D91" s="10"/>
    </row>
    <row r="92" spans="3:18">
      <c r="D92" s="10"/>
    </row>
    <row r="93" spans="3:18">
      <c r="D93" s="10"/>
    </row>
    <row r="94" spans="3:18">
      <c r="D94" s="10"/>
    </row>
    <row r="95" spans="3:18">
      <c r="D95" s="10"/>
    </row>
    <row r="96" spans="3:18">
      <c r="D96" s="10"/>
    </row>
    <row r="97" spans="4:4">
      <c r="D97" s="10"/>
    </row>
    <row r="98" spans="4:4">
      <c r="D98" s="10"/>
    </row>
    <row r="99" spans="4:4">
      <c r="D99" s="10"/>
    </row>
    <row r="100" spans="4:4">
      <c r="D100" s="10"/>
    </row>
    <row r="101" spans="4:4">
      <c r="D101" s="10"/>
    </row>
    <row r="102" spans="4:4">
      <c r="D102" s="10"/>
    </row>
    <row r="103" spans="4:4">
      <c r="D103" s="10"/>
    </row>
    <row r="104" spans="4:4">
      <c r="D104" s="10"/>
    </row>
    <row r="105" spans="4:4">
      <c r="D105" s="10"/>
    </row>
    <row r="106" spans="4:4">
      <c r="D106" s="10"/>
    </row>
    <row r="107" spans="4:4">
      <c r="D107" s="10"/>
    </row>
    <row r="108" spans="4:4">
      <c r="D108" s="10"/>
    </row>
    <row r="109" spans="4:4">
      <c r="D109" s="10"/>
    </row>
    <row r="110" spans="4:4">
      <c r="D110" s="10"/>
    </row>
    <row r="111" spans="4:4">
      <c r="D111" s="10"/>
    </row>
    <row r="112" spans="4:4">
      <c r="D112" s="10"/>
    </row>
    <row r="113" spans="4:4">
      <c r="D113" s="10"/>
    </row>
    <row r="114" spans="4:4">
      <c r="D114" s="10"/>
    </row>
    <row r="115" spans="4:4">
      <c r="D115" s="10"/>
    </row>
    <row r="116" spans="4:4">
      <c r="D116" s="10"/>
    </row>
    <row r="117" spans="4:4">
      <c r="D117" s="10"/>
    </row>
    <row r="118" spans="4:4">
      <c r="D118" s="10"/>
    </row>
    <row r="119" spans="4:4">
      <c r="D119" s="10"/>
    </row>
    <row r="120" spans="4:4">
      <c r="D120" s="10"/>
    </row>
    <row r="121" spans="4:4">
      <c r="D121" s="10"/>
    </row>
    <row r="122" spans="4:4">
      <c r="D122" s="10"/>
    </row>
    <row r="123" spans="4:4">
      <c r="D123" s="10"/>
    </row>
    <row r="124" spans="4:4">
      <c r="D124" s="10"/>
    </row>
    <row r="125" spans="4:4">
      <c r="D125" s="10"/>
    </row>
    <row r="126" spans="4:4">
      <c r="D126" s="10"/>
    </row>
    <row r="127" spans="4:4">
      <c r="D127" s="10"/>
    </row>
    <row r="128" spans="4:4">
      <c r="D128" s="10"/>
    </row>
    <row r="129" spans="4:4">
      <c r="D129" s="10"/>
    </row>
    <row r="130" spans="4:4">
      <c r="D130" s="10"/>
    </row>
    <row r="131" spans="4:4">
      <c r="D131" s="10"/>
    </row>
    <row r="132" spans="4:4">
      <c r="D132" s="10"/>
    </row>
    <row r="133" spans="4:4">
      <c r="D133" s="10"/>
    </row>
    <row r="134" spans="4:4">
      <c r="D134" s="10"/>
    </row>
    <row r="135" spans="4:4">
      <c r="D135" s="10"/>
    </row>
    <row r="136" spans="4:4">
      <c r="D136" s="10"/>
    </row>
    <row r="137" spans="4:4">
      <c r="D137" s="10"/>
    </row>
    <row r="138" spans="4:4">
      <c r="D138" s="10"/>
    </row>
    <row r="139" spans="4:4">
      <c r="D139" s="10"/>
    </row>
    <row r="140" spans="4:4">
      <c r="D140" s="10"/>
    </row>
    <row r="141" spans="4:4">
      <c r="D141" s="10"/>
    </row>
    <row r="142" spans="4:4">
      <c r="D142" s="10"/>
    </row>
    <row r="143" spans="4:4">
      <c r="D143" s="10"/>
    </row>
    <row r="144" spans="4:4">
      <c r="D144" s="10"/>
    </row>
    <row r="145" spans="4:4">
      <c r="D145" s="10"/>
    </row>
    <row r="146" spans="4:4">
      <c r="D146" s="10"/>
    </row>
    <row r="147" spans="4:4">
      <c r="D147" s="10"/>
    </row>
    <row r="148" spans="4:4">
      <c r="D148" s="10"/>
    </row>
    <row r="149" spans="4:4">
      <c r="D149" s="10"/>
    </row>
    <row r="150" spans="4:4">
      <c r="D150" s="10"/>
    </row>
    <row r="151" spans="4:4">
      <c r="D151" s="10"/>
    </row>
    <row r="152" spans="4:4">
      <c r="D152" s="10"/>
    </row>
    <row r="153" spans="4:4">
      <c r="D153" s="10"/>
    </row>
    <row r="154" spans="4:4">
      <c r="D154" s="10"/>
    </row>
    <row r="155" spans="4:4">
      <c r="D155" s="10"/>
    </row>
    <row r="156" spans="4:4">
      <c r="D156" s="10"/>
    </row>
    <row r="157" spans="4:4">
      <c r="D157" s="10"/>
    </row>
    <row r="158" spans="4:4">
      <c r="D158" s="10"/>
    </row>
    <row r="159" spans="4:4">
      <c r="D159" s="10"/>
    </row>
    <row r="160" spans="4:4">
      <c r="D160" s="10"/>
    </row>
    <row r="161" spans="4:4">
      <c r="D161" s="10"/>
    </row>
    <row r="162" spans="4:4">
      <c r="D162" s="10"/>
    </row>
    <row r="163" spans="4:4">
      <c r="D163" s="10"/>
    </row>
    <row r="164" spans="4:4">
      <c r="D164" s="10"/>
    </row>
    <row r="165" spans="4:4">
      <c r="D165" s="10"/>
    </row>
    <row r="166" spans="4:4">
      <c r="D166" s="10"/>
    </row>
    <row r="167" spans="4:4">
      <c r="D167" s="10"/>
    </row>
    <row r="168" spans="4:4">
      <c r="D168" s="10"/>
    </row>
    <row r="169" spans="4:4">
      <c r="D169" s="10"/>
    </row>
    <row r="170" spans="4:4">
      <c r="D170" s="10"/>
    </row>
    <row r="171" spans="4:4">
      <c r="D171" s="10"/>
    </row>
    <row r="172" spans="4:4">
      <c r="D172" s="10"/>
    </row>
    <row r="173" spans="4:4">
      <c r="D173" s="10"/>
    </row>
    <row r="174" spans="4:4">
      <c r="D174" s="10"/>
    </row>
    <row r="175" spans="4:4">
      <c r="D175" s="10"/>
    </row>
    <row r="176" spans="4:4">
      <c r="D176" s="10"/>
    </row>
    <row r="177" spans="4:4">
      <c r="D177" s="10"/>
    </row>
    <row r="178" spans="4:4">
      <c r="D178" s="10"/>
    </row>
    <row r="179" spans="4:4">
      <c r="D179" s="10"/>
    </row>
    <row r="180" spans="4:4">
      <c r="D180" s="10"/>
    </row>
    <row r="181" spans="4:4">
      <c r="D181" s="10"/>
    </row>
    <row r="182" spans="4:4">
      <c r="D182" s="10"/>
    </row>
    <row r="183" spans="4:4">
      <c r="D183" s="10"/>
    </row>
    <row r="184" spans="4:4">
      <c r="D184" s="10"/>
    </row>
    <row r="185" spans="4:4">
      <c r="D185" s="10"/>
    </row>
    <row r="186" spans="4:4">
      <c r="D186" s="10"/>
    </row>
    <row r="187" spans="4:4">
      <c r="D187" s="10"/>
    </row>
    <row r="188" spans="4:4">
      <c r="D188" s="10"/>
    </row>
    <row r="189" spans="4:4">
      <c r="D189" s="10"/>
    </row>
    <row r="190" spans="4:4">
      <c r="D190" s="10"/>
    </row>
    <row r="191" spans="4:4">
      <c r="D191" s="10"/>
    </row>
    <row r="192" spans="4:4">
      <c r="D192" s="10"/>
    </row>
    <row r="193" spans="4:4">
      <c r="D193" s="10"/>
    </row>
    <row r="194" spans="4:4">
      <c r="D194" s="10"/>
    </row>
    <row r="195" spans="4:4">
      <c r="D195" s="10"/>
    </row>
    <row r="196" spans="4:4">
      <c r="D196" s="10"/>
    </row>
    <row r="197" spans="4:4">
      <c r="D197" s="10"/>
    </row>
    <row r="198" spans="4:4">
      <c r="D198" s="10"/>
    </row>
    <row r="199" spans="4:4">
      <c r="D199" s="10"/>
    </row>
    <row r="200" spans="4:4">
      <c r="D200" s="10"/>
    </row>
    <row r="201" spans="4:4">
      <c r="D201" s="10"/>
    </row>
    <row r="202" spans="4:4">
      <c r="D202" s="10"/>
    </row>
    <row r="203" spans="4:4">
      <c r="D203" s="10"/>
    </row>
    <row r="204" spans="4:4">
      <c r="D204" s="10"/>
    </row>
    <row r="205" spans="4:4">
      <c r="D205" s="10"/>
    </row>
    <row r="206" spans="4:4">
      <c r="D206" s="10"/>
    </row>
    <row r="207" spans="4:4">
      <c r="D207" s="10"/>
    </row>
    <row r="208" spans="4:4">
      <c r="D208" s="10"/>
    </row>
    <row r="209" spans="4:4">
      <c r="D209" s="10"/>
    </row>
    <row r="210" spans="4:4">
      <c r="D210" s="10"/>
    </row>
    <row r="211" spans="4:4">
      <c r="D211" s="10"/>
    </row>
    <row r="212" spans="4:4">
      <c r="D212" s="10"/>
    </row>
    <row r="213" spans="4:4">
      <c r="D213" s="10"/>
    </row>
    <row r="214" spans="4:4">
      <c r="D214" s="10"/>
    </row>
    <row r="215" spans="4:4">
      <c r="D215" s="10"/>
    </row>
    <row r="216" spans="4:4">
      <c r="D216" s="10"/>
    </row>
    <row r="217" spans="4:4">
      <c r="D217" s="10"/>
    </row>
    <row r="218" spans="4:4">
      <c r="D218" s="10"/>
    </row>
    <row r="219" spans="4:4">
      <c r="D219" s="10"/>
    </row>
    <row r="220" spans="4:4">
      <c r="D220" s="10"/>
    </row>
    <row r="221" spans="4:4">
      <c r="D221" s="10"/>
    </row>
    <row r="222" spans="4:4">
      <c r="D222" s="10"/>
    </row>
    <row r="223" spans="4:4">
      <c r="D223" s="10"/>
    </row>
    <row r="224" spans="4:4">
      <c r="D224" s="10"/>
    </row>
    <row r="225" spans="4:4">
      <c r="D225" s="10"/>
    </row>
    <row r="226" spans="4:4">
      <c r="D226" s="10"/>
    </row>
    <row r="227" spans="4:4">
      <c r="D227" s="10"/>
    </row>
    <row r="228" spans="4:4">
      <c r="D228" s="10"/>
    </row>
    <row r="229" spans="4:4">
      <c r="D229" s="10"/>
    </row>
    <row r="230" spans="4:4">
      <c r="D230" s="10"/>
    </row>
    <row r="231" spans="4:4">
      <c r="D231" s="10"/>
    </row>
    <row r="232" spans="4:4">
      <c r="D232" s="10"/>
    </row>
    <row r="233" spans="4:4">
      <c r="D233" s="10"/>
    </row>
    <row r="234" spans="4:4">
      <c r="D234" s="10"/>
    </row>
    <row r="235" spans="4:4">
      <c r="D235" s="10"/>
    </row>
    <row r="236" spans="4:4">
      <c r="D236" s="10"/>
    </row>
    <row r="237" spans="4:4">
      <c r="D237" s="10"/>
    </row>
    <row r="238" spans="4:4">
      <c r="D238" s="10"/>
    </row>
    <row r="239" spans="4:4">
      <c r="D239" s="10"/>
    </row>
    <row r="240" spans="4:4">
      <c r="D240" s="10"/>
    </row>
    <row r="241" spans="4:4">
      <c r="D241" s="10"/>
    </row>
    <row r="242" spans="4:4">
      <c r="D242" s="10"/>
    </row>
    <row r="243" spans="4:4">
      <c r="D243" s="10"/>
    </row>
    <row r="244" spans="4:4">
      <c r="D244" s="10"/>
    </row>
    <row r="245" spans="4:4">
      <c r="D245" s="10"/>
    </row>
    <row r="246" spans="4:4">
      <c r="D246" s="10"/>
    </row>
    <row r="247" spans="4:4">
      <c r="D247" s="10"/>
    </row>
    <row r="248" spans="4:4">
      <c r="D248" s="10"/>
    </row>
    <row r="249" spans="4:4">
      <c r="D249" s="10"/>
    </row>
    <row r="250" spans="4:4">
      <c r="D250" s="10"/>
    </row>
    <row r="251" spans="4:4">
      <c r="D251" s="10"/>
    </row>
    <row r="252" spans="4:4">
      <c r="D252" s="10"/>
    </row>
    <row r="253" spans="4:4">
      <c r="D253" s="10"/>
    </row>
    <row r="254" spans="4:4">
      <c r="D254" s="10"/>
    </row>
    <row r="255" spans="4:4">
      <c r="D255" s="10"/>
    </row>
    <row r="256" spans="4:4">
      <c r="D256" s="10"/>
    </row>
    <row r="257" spans="4:4">
      <c r="D257" s="10"/>
    </row>
    <row r="258" spans="4:4">
      <c r="D258" s="10"/>
    </row>
    <row r="259" spans="4:4">
      <c r="D259" s="10"/>
    </row>
    <row r="260" spans="4:4">
      <c r="D260" s="10"/>
    </row>
    <row r="261" spans="4:4">
      <c r="D261" s="10"/>
    </row>
    <row r="262" spans="4:4">
      <c r="D262" s="10"/>
    </row>
    <row r="263" spans="4:4">
      <c r="D263" s="10"/>
    </row>
    <row r="264" spans="4:4">
      <c r="D264" s="10"/>
    </row>
    <row r="265" spans="4:4">
      <c r="D265" s="10"/>
    </row>
    <row r="266" spans="4:4">
      <c r="D266" s="10"/>
    </row>
    <row r="267" spans="4:4">
      <c r="D267" s="10"/>
    </row>
    <row r="268" spans="4:4">
      <c r="D268" s="10"/>
    </row>
    <row r="269" spans="4:4">
      <c r="D269" s="10"/>
    </row>
    <row r="270" spans="4:4">
      <c r="D270" s="10"/>
    </row>
    <row r="271" spans="4:4">
      <c r="D271" s="10"/>
    </row>
    <row r="272" spans="4:4">
      <c r="D272" s="10"/>
    </row>
    <row r="273" spans="4:4">
      <c r="D273" s="10"/>
    </row>
    <row r="274" spans="4:4">
      <c r="D274" s="10"/>
    </row>
    <row r="275" spans="4:4">
      <c r="D275" s="10"/>
    </row>
    <row r="276" spans="4:4">
      <c r="D276" s="10"/>
    </row>
    <row r="277" spans="4:4">
      <c r="D277" s="10"/>
    </row>
    <row r="278" spans="4:4">
      <c r="D278" s="10"/>
    </row>
    <row r="279" spans="4:4">
      <c r="D279" s="10"/>
    </row>
    <row r="280" spans="4:4">
      <c r="D280" s="10"/>
    </row>
    <row r="281" spans="4:4">
      <c r="D281" s="10"/>
    </row>
    <row r="282" spans="4:4">
      <c r="D282" s="10"/>
    </row>
    <row r="283" spans="4:4">
      <c r="D283" s="10"/>
    </row>
    <row r="284" spans="4:4">
      <c r="D284" s="10"/>
    </row>
    <row r="285" spans="4:4">
      <c r="D285" s="10"/>
    </row>
    <row r="286" spans="4:4">
      <c r="D286" s="10"/>
    </row>
    <row r="287" spans="4:4">
      <c r="D287" s="10"/>
    </row>
    <row r="288" spans="4:4">
      <c r="D288" s="10"/>
    </row>
    <row r="289" spans="4:4">
      <c r="D289" s="10"/>
    </row>
    <row r="290" spans="4:4">
      <c r="D290" s="10"/>
    </row>
    <row r="291" spans="4:4">
      <c r="D291" s="10"/>
    </row>
    <row r="292" spans="4:4">
      <c r="D292" s="10"/>
    </row>
    <row r="293" spans="4:4">
      <c r="D293" s="10"/>
    </row>
    <row r="294" spans="4:4">
      <c r="D294" s="10"/>
    </row>
    <row r="295" spans="4:4">
      <c r="D295" s="10"/>
    </row>
    <row r="296" spans="4:4">
      <c r="D296" s="10"/>
    </row>
    <row r="297" spans="4:4">
      <c r="D297" s="10"/>
    </row>
    <row r="298" spans="4:4">
      <c r="D298" s="10"/>
    </row>
    <row r="299" spans="4:4">
      <c r="D299" s="10"/>
    </row>
    <row r="300" spans="4:4">
      <c r="D300" s="10"/>
    </row>
    <row r="301" spans="4:4">
      <c r="D301" s="10"/>
    </row>
    <row r="302" spans="4:4">
      <c r="D302" s="10"/>
    </row>
    <row r="303" spans="4:4">
      <c r="D303" s="10"/>
    </row>
    <row r="304" spans="4:4">
      <c r="D304" s="10"/>
    </row>
    <row r="305" spans="4:4">
      <c r="D305" s="10"/>
    </row>
    <row r="306" spans="4:4">
      <c r="D306" s="10"/>
    </row>
    <row r="307" spans="4:4">
      <c r="D307" s="10"/>
    </row>
    <row r="308" spans="4:4">
      <c r="D308" s="10"/>
    </row>
    <row r="309" spans="4:4">
      <c r="D309" s="10"/>
    </row>
    <row r="310" spans="4:4">
      <c r="D310" s="10"/>
    </row>
    <row r="311" spans="4:4">
      <c r="D311" s="10"/>
    </row>
    <row r="312" spans="4:4">
      <c r="D312" s="10"/>
    </row>
    <row r="313" spans="4:4">
      <c r="D313" s="10"/>
    </row>
    <row r="314" spans="4:4">
      <c r="D314" s="10"/>
    </row>
    <row r="315" spans="4:4">
      <c r="D315" s="10"/>
    </row>
    <row r="316" spans="4:4">
      <c r="D316" s="10"/>
    </row>
    <row r="317" spans="4:4">
      <c r="D317" s="10"/>
    </row>
    <row r="318" spans="4:4">
      <c r="D318" s="10"/>
    </row>
    <row r="319" spans="4:4">
      <c r="D319" s="10"/>
    </row>
    <row r="320" spans="4:4">
      <c r="D320" s="10"/>
    </row>
    <row r="321" spans="4:4">
      <c r="D321" s="10"/>
    </row>
    <row r="322" spans="4:4">
      <c r="D322" s="10"/>
    </row>
    <row r="323" spans="4:4">
      <c r="D323" s="10"/>
    </row>
    <row r="324" spans="4:4">
      <c r="D324" s="10"/>
    </row>
    <row r="325" spans="4:4">
      <c r="D325" s="10"/>
    </row>
    <row r="326" spans="4:4">
      <c r="D326" s="10"/>
    </row>
    <row r="327" spans="4:4">
      <c r="D327" s="10"/>
    </row>
    <row r="328" spans="4:4">
      <c r="D328" s="10"/>
    </row>
    <row r="329" spans="4:4">
      <c r="D329" s="10"/>
    </row>
    <row r="330" spans="4:4">
      <c r="D330" s="10"/>
    </row>
    <row r="331" spans="4:4">
      <c r="D331" s="10"/>
    </row>
    <row r="332" spans="4:4">
      <c r="D332" s="10"/>
    </row>
    <row r="333" spans="4:4">
      <c r="D333" s="10"/>
    </row>
    <row r="334" spans="4:4">
      <c r="D334" s="10"/>
    </row>
    <row r="335" spans="4:4">
      <c r="D335" s="10"/>
    </row>
    <row r="336" spans="4:4">
      <c r="D336" s="10"/>
    </row>
    <row r="337" spans="4:4">
      <c r="D337" s="10"/>
    </row>
    <row r="338" spans="4:4">
      <c r="D338" s="10"/>
    </row>
    <row r="339" spans="4:4">
      <c r="D339" s="10"/>
    </row>
    <row r="340" spans="4:4">
      <c r="D340" s="10"/>
    </row>
    <row r="341" spans="4:4">
      <c r="D341" s="10"/>
    </row>
    <row r="342" spans="4:4">
      <c r="D342" s="10"/>
    </row>
    <row r="343" spans="4:4">
      <c r="D343" s="10"/>
    </row>
    <row r="344" spans="4:4">
      <c r="D344" s="10"/>
    </row>
    <row r="345" spans="4:4">
      <c r="D345" s="10"/>
    </row>
    <row r="346" spans="4:4">
      <c r="D346" s="10"/>
    </row>
    <row r="347" spans="4:4">
      <c r="D347" s="10"/>
    </row>
    <row r="348" spans="4:4">
      <c r="D348" s="10"/>
    </row>
    <row r="349" spans="4:4">
      <c r="D349" s="10"/>
    </row>
    <row r="350" spans="4:4">
      <c r="D350" s="10"/>
    </row>
    <row r="351" spans="4:4">
      <c r="D351" s="10"/>
    </row>
    <row r="352" spans="4:4">
      <c r="D352" s="10"/>
    </row>
    <row r="353" spans="4:4">
      <c r="D353" s="10"/>
    </row>
    <row r="354" spans="4:4">
      <c r="D354" s="10"/>
    </row>
    <row r="355" spans="4:4">
      <c r="D355" s="10"/>
    </row>
    <row r="356" spans="4:4">
      <c r="D356" s="10"/>
    </row>
    <row r="357" spans="4:4">
      <c r="D357" s="10"/>
    </row>
    <row r="358" spans="4:4">
      <c r="D358" s="10"/>
    </row>
    <row r="359" spans="4:4">
      <c r="D359" s="10"/>
    </row>
    <row r="360" spans="4:4">
      <c r="D360" s="10"/>
    </row>
    <row r="361" spans="4:4">
      <c r="D361" s="10"/>
    </row>
    <row r="362" spans="4:4">
      <c r="D362" s="10"/>
    </row>
    <row r="363" spans="4:4">
      <c r="D363" s="10"/>
    </row>
    <row r="364" spans="4:4">
      <c r="D364" s="10"/>
    </row>
    <row r="365" spans="4:4">
      <c r="D365" s="10"/>
    </row>
    <row r="366" spans="4:4">
      <c r="D366" s="10"/>
    </row>
    <row r="367" spans="4:4">
      <c r="D367" s="10"/>
    </row>
    <row r="368" spans="4:4">
      <c r="D368" s="10"/>
    </row>
    <row r="369" spans="4:4">
      <c r="D369" s="10"/>
    </row>
    <row r="370" spans="4:4">
      <c r="D370" s="10"/>
    </row>
    <row r="371" spans="4:4">
      <c r="D371" s="10"/>
    </row>
    <row r="372" spans="4:4">
      <c r="D372" s="10"/>
    </row>
    <row r="373" spans="4:4">
      <c r="D373" s="10"/>
    </row>
    <row r="374" spans="4:4">
      <c r="D374" s="10"/>
    </row>
    <row r="375" spans="4:4">
      <c r="D375" s="10"/>
    </row>
    <row r="376" spans="4:4">
      <c r="D376" s="10"/>
    </row>
    <row r="377" spans="4:4">
      <c r="D377" s="10"/>
    </row>
    <row r="378" spans="4:4">
      <c r="D378" s="10"/>
    </row>
    <row r="379" spans="4:4">
      <c r="D379" s="10"/>
    </row>
    <row r="380" spans="4:4">
      <c r="D380" s="10"/>
    </row>
    <row r="381" spans="4:4">
      <c r="D381" s="10"/>
    </row>
    <row r="382" spans="4:4">
      <c r="D382" s="10"/>
    </row>
    <row r="383" spans="4:4">
      <c r="D383" s="10"/>
    </row>
    <row r="384" spans="4:4">
      <c r="D384" s="10"/>
    </row>
    <row r="385" spans="4:4">
      <c r="D385" s="10"/>
    </row>
    <row r="386" spans="4:4">
      <c r="D386" s="10"/>
    </row>
    <row r="387" spans="4:4">
      <c r="D387" s="10"/>
    </row>
    <row r="388" spans="4:4">
      <c r="D388" s="10"/>
    </row>
    <row r="389" spans="4:4">
      <c r="D389" s="10"/>
    </row>
    <row r="390" spans="4:4">
      <c r="D390" s="10"/>
    </row>
    <row r="391" spans="4:4">
      <c r="D391" s="10"/>
    </row>
    <row r="392" spans="4:4">
      <c r="D392" s="10"/>
    </row>
    <row r="393" spans="4:4">
      <c r="D393" s="10"/>
    </row>
    <row r="394" spans="4:4">
      <c r="D394" s="10"/>
    </row>
    <row r="395" spans="4:4">
      <c r="D395" s="10"/>
    </row>
    <row r="396" spans="4:4">
      <c r="D396" s="10"/>
    </row>
    <row r="397" spans="4:4">
      <c r="D397" s="10"/>
    </row>
    <row r="398" spans="4:4">
      <c r="D398" s="10"/>
    </row>
    <row r="399" spans="4:4">
      <c r="D399" s="10"/>
    </row>
    <row r="400" spans="4:4">
      <c r="D400" s="10"/>
    </row>
    <row r="401" spans="4:4">
      <c r="D401" s="10"/>
    </row>
    <row r="402" spans="4:4">
      <c r="D402" s="10"/>
    </row>
    <row r="403" spans="4:4">
      <c r="D403" s="10"/>
    </row>
    <row r="404" spans="4:4">
      <c r="D404" s="10"/>
    </row>
    <row r="405" spans="4:4">
      <c r="D405" s="10"/>
    </row>
    <row r="406" spans="4:4">
      <c r="D406" s="10"/>
    </row>
    <row r="407" spans="4:4">
      <c r="D407" s="10"/>
    </row>
    <row r="408" spans="4:4">
      <c r="D408" s="10"/>
    </row>
    <row r="409" spans="4:4">
      <c r="D409" s="10"/>
    </row>
    <row r="410" spans="4:4">
      <c r="D410" s="10"/>
    </row>
    <row r="411" spans="4:4">
      <c r="D411" s="10"/>
    </row>
    <row r="412" spans="4:4">
      <c r="D412" s="10"/>
    </row>
    <row r="413" spans="4:4">
      <c r="D413" s="10"/>
    </row>
    <row r="414" spans="4:4">
      <c r="D414" s="10"/>
    </row>
    <row r="415" spans="4:4">
      <c r="D415" s="10"/>
    </row>
    <row r="416" spans="4:4">
      <c r="D416" s="10"/>
    </row>
    <row r="417" spans="4:4">
      <c r="D417" s="10"/>
    </row>
    <row r="418" spans="4:4">
      <c r="D418" s="10"/>
    </row>
    <row r="419" spans="4:4">
      <c r="D419" s="10"/>
    </row>
    <row r="420" spans="4:4">
      <c r="D420" s="10"/>
    </row>
    <row r="421" spans="4:4">
      <c r="D421" s="10"/>
    </row>
    <row r="422" spans="4:4">
      <c r="D422" s="10"/>
    </row>
    <row r="423" spans="4:4">
      <c r="D423" s="10"/>
    </row>
    <row r="424" spans="4:4">
      <c r="D424" s="10"/>
    </row>
    <row r="425" spans="4:4">
      <c r="D425" s="10"/>
    </row>
    <row r="426" spans="4:4">
      <c r="D426" s="10"/>
    </row>
    <row r="427" spans="4:4">
      <c r="D427" s="10"/>
    </row>
    <row r="428" spans="4:4">
      <c r="D428" s="10"/>
    </row>
    <row r="429" spans="4:4">
      <c r="D429" s="10"/>
    </row>
    <row r="430" spans="4:4">
      <c r="D430" s="10"/>
    </row>
    <row r="431" spans="4:4">
      <c r="D431" s="10"/>
    </row>
    <row r="432" spans="4:4">
      <c r="D432" s="10"/>
    </row>
    <row r="433" spans="4:4">
      <c r="D433" s="10"/>
    </row>
    <row r="434" spans="4:4">
      <c r="D434" s="10"/>
    </row>
    <row r="435" spans="4:4">
      <c r="D435" s="10"/>
    </row>
    <row r="436" spans="4:4">
      <c r="D436" s="10"/>
    </row>
    <row r="437" spans="4:4">
      <c r="D437" s="10"/>
    </row>
    <row r="438" spans="4:4">
      <c r="D438" s="10"/>
    </row>
    <row r="439" spans="4:4">
      <c r="D439" s="10"/>
    </row>
    <row r="440" spans="4:4">
      <c r="D440" s="10"/>
    </row>
    <row r="441" spans="4:4">
      <c r="D441" s="10"/>
    </row>
    <row r="442" spans="4:4">
      <c r="D442" s="10"/>
    </row>
    <row r="443" spans="4:4">
      <c r="D443" s="10"/>
    </row>
    <row r="444" spans="4:4">
      <c r="D444" s="10"/>
    </row>
    <row r="445" spans="4:4">
      <c r="D445" s="10"/>
    </row>
    <row r="446" spans="4:4">
      <c r="D446" s="10"/>
    </row>
    <row r="447" spans="4:4">
      <c r="D447" s="10"/>
    </row>
    <row r="448" spans="4:4">
      <c r="D448" s="10"/>
    </row>
    <row r="449" spans="4:4">
      <c r="D449" s="10"/>
    </row>
    <row r="450" spans="4:4">
      <c r="D450" s="10"/>
    </row>
    <row r="451" spans="4:4">
      <c r="D451" s="10"/>
    </row>
    <row r="452" spans="4:4">
      <c r="D452" s="10"/>
    </row>
    <row r="453" spans="4:4">
      <c r="D453" s="10"/>
    </row>
    <row r="454" spans="4:4">
      <c r="D454" s="10"/>
    </row>
    <row r="455" spans="4:4">
      <c r="D455" s="10"/>
    </row>
    <row r="456" spans="4:4">
      <c r="D456" s="10"/>
    </row>
    <row r="457" spans="4:4">
      <c r="D457" s="10"/>
    </row>
    <row r="458" spans="4:4">
      <c r="D458" s="10"/>
    </row>
    <row r="459" spans="4:4">
      <c r="D459" s="10"/>
    </row>
    <row r="460" spans="4:4">
      <c r="D460" s="10"/>
    </row>
    <row r="461" spans="4:4">
      <c r="D461" s="10"/>
    </row>
    <row r="462" spans="4:4">
      <c r="D462" s="10"/>
    </row>
    <row r="463" spans="4:4">
      <c r="D463" s="10"/>
    </row>
    <row r="464" spans="4:4">
      <c r="D464" s="10"/>
    </row>
    <row r="465" spans="4:4">
      <c r="D465" s="10"/>
    </row>
    <row r="466" spans="4:4">
      <c r="D466" s="10"/>
    </row>
    <row r="467" spans="4:4">
      <c r="D467" s="10"/>
    </row>
    <row r="468" spans="4:4">
      <c r="D468" s="10"/>
    </row>
    <row r="469" spans="4:4">
      <c r="D469" s="10"/>
    </row>
    <row r="470" spans="4:4">
      <c r="D470" s="10"/>
    </row>
    <row r="471" spans="4:4">
      <c r="D471" s="10"/>
    </row>
    <row r="472" spans="4:4">
      <c r="D472" s="10"/>
    </row>
    <row r="473" spans="4:4">
      <c r="D473" s="10"/>
    </row>
    <row r="474" spans="4:4">
      <c r="D474" s="10"/>
    </row>
    <row r="475" spans="4:4">
      <c r="D475" s="10"/>
    </row>
    <row r="476" spans="4:4">
      <c r="D476" s="10"/>
    </row>
    <row r="477" spans="4:4">
      <c r="D477" s="10"/>
    </row>
    <row r="478" spans="4:4">
      <c r="D478" s="10"/>
    </row>
    <row r="479" spans="4:4">
      <c r="D479" s="10"/>
    </row>
    <row r="480" spans="4:4">
      <c r="D480" s="10"/>
    </row>
    <row r="481" spans="4:4">
      <c r="D481" s="10"/>
    </row>
    <row r="482" spans="4:4">
      <c r="D482" s="10"/>
    </row>
    <row r="483" spans="4:4">
      <c r="D483" s="10"/>
    </row>
    <row r="484" spans="4:4">
      <c r="D484" s="10"/>
    </row>
    <row r="485" spans="4:4">
      <c r="D485" s="10"/>
    </row>
    <row r="486" spans="4:4">
      <c r="D486" s="10"/>
    </row>
    <row r="487" spans="4:4">
      <c r="D487" s="10"/>
    </row>
    <row r="488" spans="4:4">
      <c r="D488" s="10"/>
    </row>
    <row r="489" spans="4:4">
      <c r="D489" s="10"/>
    </row>
    <row r="490" spans="4:4">
      <c r="D490" s="10"/>
    </row>
    <row r="491" spans="4:4">
      <c r="D491" s="10"/>
    </row>
    <row r="492" spans="4:4">
      <c r="D492" s="10"/>
    </row>
    <row r="493" spans="4:4">
      <c r="D493" s="10"/>
    </row>
    <row r="494" spans="4:4">
      <c r="D494" s="10"/>
    </row>
    <row r="495" spans="4:4">
      <c r="D495" s="10"/>
    </row>
    <row r="496" spans="4:4">
      <c r="D496" s="10"/>
    </row>
    <row r="497" spans="4:4">
      <c r="D497" s="10"/>
    </row>
    <row r="498" spans="4:4">
      <c r="D498" s="10"/>
    </row>
    <row r="499" spans="4:4">
      <c r="D499" s="10"/>
    </row>
    <row r="500" spans="4:4">
      <c r="D500" s="10"/>
    </row>
    <row r="501" spans="4:4">
      <c r="D501" s="10"/>
    </row>
    <row r="502" spans="4:4">
      <c r="D502" s="10"/>
    </row>
    <row r="503" spans="4:4">
      <c r="D503" s="10"/>
    </row>
    <row r="504" spans="4:4">
      <c r="D504" s="10"/>
    </row>
    <row r="505" spans="4:4">
      <c r="D505" s="10"/>
    </row>
    <row r="506" spans="4:4">
      <c r="D506" s="10"/>
    </row>
    <row r="507" spans="4:4">
      <c r="D507" s="10"/>
    </row>
    <row r="508" spans="4:4">
      <c r="D508" s="10"/>
    </row>
    <row r="509" spans="4:4">
      <c r="D509" s="10"/>
    </row>
    <row r="510" spans="4:4">
      <c r="D510" s="10"/>
    </row>
    <row r="511" spans="4:4">
      <c r="D511" s="10"/>
    </row>
    <row r="512" spans="4:4">
      <c r="D512" s="10"/>
    </row>
    <row r="513" spans="4:4">
      <c r="D513" s="10"/>
    </row>
    <row r="514" spans="4:4">
      <c r="D514" s="10"/>
    </row>
    <row r="515" spans="4:4">
      <c r="D515" s="10"/>
    </row>
    <row r="516" spans="4:4">
      <c r="D516" s="10"/>
    </row>
    <row r="517" spans="4:4">
      <c r="D517" s="10"/>
    </row>
    <row r="518" spans="4:4">
      <c r="D518" s="10"/>
    </row>
    <row r="519" spans="4:4">
      <c r="D519" s="10"/>
    </row>
    <row r="520" spans="4:4">
      <c r="D520" s="10"/>
    </row>
    <row r="521" spans="4:4">
      <c r="D521" s="10"/>
    </row>
    <row r="522" spans="4:4">
      <c r="D522" s="10"/>
    </row>
    <row r="523" spans="4:4">
      <c r="D523" s="10"/>
    </row>
    <row r="524" spans="4:4">
      <c r="D524" s="10"/>
    </row>
    <row r="525" spans="4:4">
      <c r="D525" s="10"/>
    </row>
    <row r="526" spans="4:4">
      <c r="D526" s="10"/>
    </row>
    <row r="527" spans="4:4">
      <c r="D527" s="10"/>
    </row>
    <row r="528" spans="4:4">
      <c r="D528" s="10"/>
    </row>
    <row r="529" spans="4:4">
      <c r="D529" s="10"/>
    </row>
    <row r="530" spans="4:4">
      <c r="D530" s="10"/>
    </row>
    <row r="531" spans="4:4">
      <c r="D531" s="10"/>
    </row>
    <row r="532" spans="4:4">
      <c r="D532" s="10"/>
    </row>
    <row r="533" spans="4:4">
      <c r="D533" s="10"/>
    </row>
    <row r="534" spans="4:4">
      <c r="D534" s="10"/>
    </row>
    <row r="535" spans="4:4">
      <c r="D535" s="10"/>
    </row>
    <row r="536" spans="4:4">
      <c r="D536" s="10"/>
    </row>
    <row r="537" spans="4:4">
      <c r="D537" s="10"/>
    </row>
    <row r="538" spans="4:4">
      <c r="D538" s="10"/>
    </row>
    <row r="539" spans="4:4">
      <c r="D539" s="10"/>
    </row>
    <row r="540" spans="4:4">
      <c r="D540" s="10"/>
    </row>
    <row r="541" spans="4:4">
      <c r="D541" s="10"/>
    </row>
    <row r="542" spans="4:4">
      <c r="D542" s="10"/>
    </row>
    <row r="543" spans="4:4">
      <c r="D543" s="10"/>
    </row>
    <row r="544" spans="4:4">
      <c r="D544" s="10"/>
    </row>
    <row r="545" spans="4:4">
      <c r="D545" s="10"/>
    </row>
    <row r="546" spans="4:4">
      <c r="D546" s="10"/>
    </row>
    <row r="547" spans="4:4">
      <c r="D547" s="10"/>
    </row>
    <row r="548" spans="4:4">
      <c r="D548" s="10"/>
    </row>
    <row r="549" spans="4:4">
      <c r="D549" s="10"/>
    </row>
    <row r="550" spans="4:4">
      <c r="D550" s="10"/>
    </row>
    <row r="551" spans="4:4">
      <c r="D551" s="10"/>
    </row>
    <row r="552" spans="4:4">
      <c r="D552" s="10"/>
    </row>
    <row r="553" spans="4:4">
      <c r="D553" s="10"/>
    </row>
    <row r="554" spans="4:4">
      <c r="D554" s="10"/>
    </row>
    <row r="555" spans="4:4">
      <c r="D555" s="10"/>
    </row>
    <row r="556" spans="4:4">
      <c r="D556" s="10"/>
    </row>
    <row r="557" spans="4:4">
      <c r="D557" s="10"/>
    </row>
    <row r="558" spans="4:4">
      <c r="D558" s="10"/>
    </row>
    <row r="559" spans="4:4">
      <c r="D559" s="10"/>
    </row>
    <row r="560" spans="4:4">
      <c r="D560" s="10"/>
    </row>
    <row r="561" spans="4:4">
      <c r="D561" s="10"/>
    </row>
    <row r="562" spans="4:4">
      <c r="D562" s="10"/>
    </row>
    <row r="563" spans="4:4">
      <c r="D563" s="10"/>
    </row>
    <row r="564" spans="4:4">
      <c r="D564" s="10"/>
    </row>
    <row r="565" spans="4:4">
      <c r="D565" s="10"/>
    </row>
    <row r="566" spans="4:4">
      <c r="D566" s="10"/>
    </row>
    <row r="567" spans="4:4">
      <c r="D567" s="10"/>
    </row>
    <row r="568" spans="4:4">
      <c r="D568" s="10"/>
    </row>
    <row r="569" spans="4:4">
      <c r="D569" s="10"/>
    </row>
    <row r="570" spans="4:4">
      <c r="D570" s="10"/>
    </row>
    <row r="571" spans="4:4">
      <c r="D571" s="10"/>
    </row>
    <row r="572" spans="4:4">
      <c r="D572" s="10"/>
    </row>
    <row r="573" spans="4:4">
      <c r="D573" s="10"/>
    </row>
    <row r="574" spans="4:4">
      <c r="D574" s="10"/>
    </row>
    <row r="575" spans="4:4">
      <c r="D575" s="10"/>
    </row>
    <row r="576" spans="4:4">
      <c r="D576" s="10"/>
    </row>
    <row r="577" spans="4:4">
      <c r="D577" s="10"/>
    </row>
    <row r="578" spans="4:4">
      <c r="D578" s="10"/>
    </row>
    <row r="579" spans="4:4">
      <c r="D579" s="10"/>
    </row>
    <row r="580" spans="4:4">
      <c r="D580" s="10"/>
    </row>
    <row r="581" spans="4:4">
      <c r="D581" s="10"/>
    </row>
    <row r="582" spans="4:4">
      <c r="D582" s="10"/>
    </row>
    <row r="583" spans="4:4">
      <c r="D583" s="10"/>
    </row>
    <row r="584" spans="4:4">
      <c r="D584" s="10"/>
    </row>
    <row r="585" spans="4:4">
      <c r="D585" s="10"/>
    </row>
    <row r="586" spans="4:4">
      <c r="D586" s="10"/>
    </row>
    <row r="587" spans="4:4">
      <c r="D587" s="10"/>
    </row>
    <row r="588" spans="4:4">
      <c r="D588" s="10"/>
    </row>
    <row r="589" spans="4:4">
      <c r="D589" s="10"/>
    </row>
    <row r="590" spans="4:4">
      <c r="D590" s="10"/>
    </row>
    <row r="591" spans="4:4">
      <c r="D591" s="10"/>
    </row>
    <row r="592" spans="4:4">
      <c r="D592" s="10"/>
    </row>
    <row r="593" spans="4:4">
      <c r="D593" s="10"/>
    </row>
    <row r="594" spans="4:4">
      <c r="D594" s="10"/>
    </row>
    <row r="595" spans="4:4">
      <c r="D595" s="10"/>
    </row>
    <row r="596" spans="4:4">
      <c r="D596" s="10"/>
    </row>
    <row r="597" spans="4:4">
      <c r="D597" s="10"/>
    </row>
    <row r="598" spans="4:4">
      <c r="D598" s="10"/>
    </row>
    <row r="599" spans="4:4">
      <c r="D599" s="10"/>
    </row>
    <row r="600" spans="4:4">
      <c r="D600" s="10"/>
    </row>
    <row r="601" spans="4:4">
      <c r="D601" s="10"/>
    </row>
    <row r="602" spans="4:4">
      <c r="D602" s="10"/>
    </row>
    <row r="603" spans="4:4">
      <c r="D603" s="10"/>
    </row>
    <row r="604" spans="4:4">
      <c r="D604" s="10"/>
    </row>
    <row r="605" spans="4:4">
      <c r="D605" s="10"/>
    </row>
    <row r="606" spans="4:4">
      <c r="D606" s="10"/>
    </row>
    <row r="607" spans="4:4">
      <c r="D607" s="10"/>
    </row>
    <row r="608" spans="4:4">
      <c r="D608" s="10"/>
    </row>
    <row r="609" spans="4:4">
      <c r="D609" s="10"/>
    </row>
    <row r="610" spans="4:4">
      <c r="D610" s="10"/>
    </row>
    <row r="611" spans="4:4">
      <c r="D611" s="10"/>
    </row>
    <row r="612" spans="4:4">
      <c r="D612" s="10"/>
    </row>
    <row r="613" spans="4:4">
      <c r="D613" s="10"/>
    </row>
    <row r="614" spans="4:4">
      <c r="D614" s="10"/>
    </row>
    <row r="615" spans="4:4">
      <c r="D615" s="10"/>
    </row>
    <row r="616" spans="4:4">
      <c r="D616" s="10"/>
    </row>
    <row r="617" spans="4:4">
      <c r="D617" s="10"/>
    </row>
    <row r="618" spans="4:4">
      <c r="D618" s="10"/>
    </row>
    <row r="619" spans="4:4">
      <c r="D619" s="10"/>
    </row>
    <row r="620" spans="4:4">
      <c r="D620" s="10"/>
    </row>
    <row r="621" spans="4:4">
      <c r="D621" s="10"/>
    </row>
    <row r="622" spans="4:4">
      <c r="D622" s="10"/>
    </row>
    <row r="623" spans="4:4">
      <c r="D623" s="10"/>
    </row>
    <row r="624" spans="4:4">
      <c r="D624" s="10"/>
    </row>
    <row r="625" spans="4:4">
      <c r="D625" s="10"/>
    </row>
    <row r="626" spans="4:4">
      <c r="D626" s="10"/>
    </row>
    <row r="627" spans="4:4">
      <c r="D627" s="10"/>
    </row>
    <row r="628" spans="4:4">
      <c r="D628" s="10"/>
    </row>
    <row r="629" spans="4:4">
      <c r="D629" s="10"/>
    </row>
    <row r="630" spans="4:4">
      <c r="D630" s="10"/>
    </row>
    <row r="631" spans="4:4">
      <c r="D631" s="10"/>
    </row>
    <row r="632" spans="4:4">
      <c r="D632" s="10"/>
    </row>
    <row r="633" spans="4:4">
      <c r="D633" s="10"/>
    </row>
    <row r="634" spans="4:4">
      <c r="D634" s="10"/>
    </row>
    <row r="635" spans="4:4">
      <c r="D635" s="10"/>
    </row>
    <row r="636" spans="4:4">
      <c r="D636" s="10"/>
    </row>
    <row r="637" spans="4:4">
      <c r="D637" s="10"/>
    </row>
    <row r="638" spans="4:4">
      <c r="D638" s="10"/>
    </row>
    <row r="639" spans="4:4">
      <c r="D639" s="10"/>
    </row>
    <row r="640" spans="4:4">
      <c r="D640" s="10"/>
    </row>
    <row r="641" spans="4:4">
      <c r="D641" s="10"/>
    </row>
    <row r="642" spans="4:4">
      <c r="D642" s="10"/>
    </row>
    <row r="643" spans="4:4">
      <c r="D643" s="10"/>
    </row>
    <row r="644" spans="4:4">
      <c r="D644" s="10"/>
    </row>
    <row r="645" spans="4:4">
      <c r="D645" s="10"/>
    </row>
    <row r="646" spans="4:4">
      <c r="D646" s="10"/>
    </row>
    <row r="647" spans="4:4">
      <c r="D647" s="10"/>
    </row>
    <row r="648" spans="4:4">
      <c r="D648" s="10"/>
    </row>
    <row r="649" spans="4:4">
      <c r="D649" s="10"/>
    </row>
    <row r="650" spans="4:4">
      <c r="D650" s="10"/>
    </row>
    <row r="651" spans="4:4">
      <c r="D651" s="10"/>
    </row>
    <row r="652" spans="4:4">
      <c r="D652" s="10"/>
    </row>
    <row r="653" spans="4:4">
      <c r="D653" s="10"/>
    </row>
    <row r="654" spans="4:4">
      <c r="D654" s="10"/>
    </row>
    <row r="655" spans="4:4">
      <c r="D655" s="10"/>
    </row>
    <row r="65444" spans="6:6">
      <c r="F65444" s="69" t="s">
        <v>59</v>
      </c>
    </row>
  </sheetData>
  <mergeCells count="167">
    <mergeCell ref="W49:X49"/>
    <mergeCell ref="W50:X50"/>
    <mergeCell ref="F58:M58"/>
    <mergeCell ref="N58:P58"/>
    <mergeCell ref="F59:M59"/>
    <mergeCell ref="N59:P59"/>
    <mergeCell ref="E62:I64"/>
    <mergeCell ref="J63:K63"/>
    <mergeCell ref="G78:O80"/>
    <mergeCell ref="D65:P66"/>
    <mergeCell ref="D69:E69"/>
    <mergeCell ref="E72:J75"/>
    <mergeCell ref="N72:P72"/>
    <mergeCell ref="M74:M75"/>
    <mergeCell ref="N74:P75"/>
    <mergeCell ref="F50:M50"/>
    <mergeCell ref="N50:P50"/>
    <mergeCell ref="F51:M51"/>
    <mergeCell ref="N51:P51"/>
    <mergeCell ref="F52:M52"/>
    <mergeCell ref="N52:P52"/>
    <mergeCell ref="F56:M56"/>
    <mergeCell ref="N56:P56"/>
    <mergeCell ref="F57:M57"/>
    <mergeCell ref="N57:P57"/>
    <mergeCell ref="F43:M43"/>
    <mergeCell ref="N43:P43"/>
    <mergeCell ref="F44:M44"/>
    <mergeCell ref="N44:P44"/>
    <mergeCell ref="F45:M45"/>
    <mergeCell ref="N45:P45"/>
    <mergeCell ref="F48:M48"/>
    <mergeCell ref="N48:P48"/>
    <mergeCell ref="F49:M49"/>
    <mergeCell ref="N49:P49"/>
    <mergeCell ref="F54:M54"/>
    <mergeCell ref="F55:M55"/>
    <mergeCell ref="F22:M22"/>
    <mergeCell ref="N22:P22"/>
    <mergeCell ref="F23:M23"/>
    <mergeCell ref="N23:P23"/>
    <mergeCell ref="F42:M42"/>
    <mergeCell ref="N42:P42"/>
    <mergeCell ref="F39:M39"/>
    <mergeCell ref="F40:M40"/>
    <mergeCell ref="F41:M41"/>
    <mergeCell ref="W18:X18"/>
    <mergeCell ref="Y18:Z18"/>
    <mergeCell ref="F20:M20"/>
    <mergeCell ref="N20:P20"/>
    <mergeCell ref="F21:M21"/>
    <mergeCell ref="N21:P21"/>
    <mergeCell ref="U19:V19"/>
    <mergeCell ref="W19:X19"/>
    <mergeCell ref="Y19:Z19"/>
    <mergeCell ref="E18:J18"/>
    <mergeCell ref="M18:P18"/>
    <mergeCell ref="U18:V18"/>
    <mergeCell ref="U21:V21"/>
    <mergeCell ref="W21:X21"/>
    <mergeCell ref="M15:P15"/>
    <mergeCell ref="E17:J17"/>
    <mergeCell ref="M17:P17"/>
    <mergeCell ref="U17:V17"/>
    <mergeCell ref="W17:X17"/>
    <mergeCell ref="Y17:Z17"/>
    <mergeCell ref="E16:J16"/>
    <mergeCell ref="M16:P16"/>
    <mergeCell ref="U16:V16"/>
    <mergeCell ref="W16:X16"/>
    <mergeCell ref="Y16:Z16"/>
    <mergeCell ref="U32:V32"/>
    <mergeCell ref="U33:V33"/>
    <mergeCell ref="U22:V22"/>
    <mergeCell ref="U23:V23"/>
    <mergeCell ref="U24:V24"/>
    <mergeCell ref="U25:V25"/>
    <mergeCell ref="U26:V26"/>
    <mergeCell ref="M9:P9"/>
    <mergeCell ref="E3:L3"/>
    <mergeCell ref="E4:L4"/>
    <mergeCell ref="E5:L5"/>
    <mergeCell ref="E6:L6"/>
    <mergeCell ref="E9:J9"/>
    <mergeCell ref="E10:J10"/>
    <mergeCell ref="M10:P10"/>
    <mergeCell ref="E11:J11"/>
    <mergeCell ref="M11:P11"/>
    <mergeCell ref="E12:J12"/>
    <mergeCell ref="M12:P12"/>
    <mergeCell ref="E13:J13"/>
    <mergeCell ref="M13:P13"/>
    <mergeCell ref="E14:J14"/>
    <mergeCell ref="M14:P14"/>
    <mergeCell ref="E15:J15"/>
    <mergeCell ref="U55:V55"/>
    <mergeCell ref="U56:V56"/>
    <mergeCell ref="U57:V57"/>
    <mergeCell ref="U58:V58"/>
    <mergeCell ref="F24:M24"/>
    <mergeCell ref="F25:M25"/>
    <mergeCell ref="F26:M26"/>
    <mergeCell ref="F28:M28"/>
    <mergeCell ref="F29:M29"/>
    <mergeCell ref="F31:M31"/>
    <mergeCell ref="F32:M32"/>
    <mergeCell ref="F33:M33"/>
    <mergeCell ref="F34:M34"/>
    <mergeCell ref="F35:M35"/>
    <mergeCell ref="F36:M36"/>
    <mergeCell ref="F38:M38"/>
    <mergeCell ref="U50:V50"/>
    <mergeCell ref="U51:V51"/>
    <mergeCell ref="U52:V52"/>
    <mergeCell ref="U53:V53"/>
    <mergeCell ref="U54:V54"/>
    <mergeCell ref="U45:V45"/>
    <mergeCell ref="U29:V29"/>
    <mergeCell ref="U31:V31"/>
    <mergeCell ref="W31:X31"/>
    <mergeCell ref="W22:X22"/>
    <mergeCell ref="W23:X23"/>
    <mergeCell ref="W24:X24"/>
    <mergeCell ref="W25:X25"/>
    <mergeCell ref="W26:X26"/>
    <mergeCell ref="F46:M46"/>
    <mergeCell ref="F47:M47"/>
    <mergeCell ref="F53:M53"/>
    <mergeCell ref="U46:V46"/>
    <mergeCell ref="U47:V47"/>
    <mergeCell ref="U48:V48"/>
    <mergeCell ref="U49:V49"/>
    <mergeCell ref="U40:V40"/>
    <mergeCell ref="U41:V41"/>
    <mergeCell ref="U42:V42"/>
    <mergeCell ref="U43:V43"/>
    <mergeCell ref="U44:V44"/>
    <mergeCell ref="U34:V34"/>
    <mergeCell ref="U35:V35"/>
    <mergeCell ref="U36:V36"/>
    <mergeCell ref="U38:V38"/>
    <mergeCell ref="U39:V39"/>
    <mergeCell ref="U28:V28"/>
    <mergeCell ref="W47:X47"/>
    <mergeCell ref="W48:X48"/>
    <mergeCell ref="F27:M27"/>
    <mergeCell ref="F30:M30"/>
    <mergeCell ref="F37:M37"/>
    <mergeCell ref="W42:X42"/>
    <mergeCell ref="W43:X43"/>
    <mergeCell ref="W44:X44"/>
    <mergeCell ref="W45:X45"/>
    <mergeCell ref="W46:X46"/>
    <mergeCell ref="W37:X37"/>
    <mergeCell ref="W38:X38"/>
    <mergeCell ref="W39:X39"/>
    <mergeCell ref="W40:X40"/>
    <mergeCell ref="W41:X41"/>
    <mergeCell ref="W32:X32"/>
    <mergeCell ref="W33:X33"/>
    <mergeCell ref="W34:X34"/>
    <mergeCell ref="W35:X35"/>
    <mergeCell ref="W36:X36"/>
    <mergeCell ref="W27:X27"/>
    <mergeCell ref="W28:X28"/>
    <mergeCell ref="W29:X29"/>
    <mergeCell ref="W30:X30"/>
  </mergeCells>
  <dataValidations disablePrompts="1" count="8">
    <dataValidation type="date" errorStyle="warning" allowBlank="1" showInputMessage="1" showErrorMessage="1" errorTitle="Fecha de envío" error="Escriba en este cuadro la fecha límite para la distribución del producto. Deje esta casilla en blanco si no es aplicable (por ejemplo si el pedido se refiere a servicios)." promptTitle="Fecha de envío" prompt="Escriba en este cuadro la fecha límite para la distribución del producto. Deje esta casilla en blanco si no es aplicable (por ejemplo si el pedido se refiere a servicios)." sqref="D65" xr:uid="{A8440E5F-B70E-4BC2-AD21-31CA5AB108FA}">
      <formula1>33970</formula1>
      <formula2>65016</formula2>
    </dataValidation>
    <dataValidation errorStyle="warning" allowBlank="1" showInputMessage="1" errorTitle="Aprobado por" promptTitle="Aprobado por" prompt="Este cuadro se usa para datos de aprobación de distintos tipos (sellos, firmas, nombres de supervisores, etc.). " sqref="E72:J75" xr:uid="{25B44A65-3605-4819-8F51-24A453B5496E}"/>
    <dataValidation errorStyle="warning" allowBlank="1" showInputMessage="1" errorTitle="Proveedor" promptTitle="Proveedor" prompt="Escriba la información del proveedor. Recuerde el código postal: es una información crítica para las opciones de ordenación de la base de datos. " sqref="E9:J16" xr:uid="{7DE8166C-258B-4F39-9E80-03235F088C67}"/>
    <dataValidation errorStyle="warning" allowBlank="1" showInputMessage="1" errorTitle="Enviar a" promptTitle="Enviar a" prompt="Escriba la dirección &quot;Enviar a&quot;. Si esta área se deja en blanco, pero la casilla &quot;Dirección de la organización igual que dirección de envío&quot; de la hoja Personalizar está activada, la información se insertará automáticamente. " sqref="M9:P15" xr:uid="{4F865FB9-D58D-42F6-BBD1-595861F745EE}"/>
    <dataValidation type="whole" errorStyle="warning" allowBlank="1" showErrorMessage="1" errorTitle="Cantidad" error="Escriba una cantidad numérica en esta celda." promptTitle="Cantidad" sqref="AH21:AH55" xr:uid="{889C42DD-4B77-4038-9A25-E9E2E1A98143}">
      <formula1>0</formula1>
      <formula2>1000000000</formula2>
    </dataValidation>
    <dataValidation type="textLength" errorStyle="warning" allowBlank="1" showErrorMessage="1" errorTitle="Tipo de unidad" error="Escriba el tipo de unidad (bruto, cajas, docenas, paquetes, fajos, etc.) al que se refiere el precio unitario._x000a_" promptTitle="Tipo de unidad" sqref="D21:D59" xr:uid="{731474E5-CE1B-4BCD-8C91-2003D4B2881B}">
      <formula1>0</formula1>
      <formula2>256</formula2>
    </dataValidation>
    <dataValidation type="decimal" errorStyle="warning" allowBlank="1" showErrorMessage="1" errorTitle="Precio unitario" error="Escriba una cantidad numérica en esta celda." promptTitle="Precio unitario" sqref="N21:N59" xr:uid="{EE12CAB3-1933-4FE9-96E5-B8E441727C4A}">
      <formula1>0</formula1>
      <formula2>1000000000</formula2>
    </dataValidation>
    <dataValidation errorStyle="warning" allowBlank="1" showInputMessage="1" showErrorMessage="1" errorTitle="Notas o comentarios" error="Si no desea incluir información adicional en su factura impresa, haga clic en el cuadro y elimine el texto &quot;Notas o comentarios&quot;" promptTitle="Notas o comentarios" prompt="Use este bloque para cualquier información no incluida en ningún otro sitio del pedido. Escriba directamente en la hoja o escriba en esta área después de imprimir. " sqref="E78:G78 P78:P80 E79:F80" xr:uid="{BF9E85C9-FBF4-4793-9E97-1B8D9308D727}"/>
  </dataValidations>
  <printOptions horizontalCentered="1" verticalCentered="1"/>
  <pageMargins left="0.39370078740157483" right="0.39370078740157483" top="0.39370078740157483" bottom="0.39370078740157483" header="0.31496062992125984" footer="0.31496062992125984"/>
  <pageSetup scale="42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5139D-5657-4AC1-9805-4B2C3A083654}">
  <dimension ref="A1:O21"/>
  <sheetViews>
    <sheetView workbookViewId="0">
      <selection activeCell="B3" sqref="B3"/>
    </sheetView>
  </sheetViews>
  <sheetFormatPr baseColWidth="10" defaultRowHeight="14.4"/>
  <cols>
    <col min="1" max="1" width="46.6640625" customWidth="1"/>
    <col min="3" max="3" width="8" customWidth="1"/>
    <col min="4" max="4" width="9.6640625" customWidth="1"/>
    <col min="5" max="5" width="9.33203125" customWidth="1"/>
    <col min="6" max="6" width="9.5546875" customWidth="1"/>
    <col min="7" max="7" width="9.44140625" customWidth="1"/>
    <col min="8" max="8" width="9.109375" customWidth="1"/>
    <col min="9" max="9" width="10.109375" customWidth="1"/>
    <col min="10" max="10" width="9.33203125" customWidth="1"/>
    <col min="11" max="11" width="9.44140625" bestFit="1" customWidth="1"/>
    <col min="12" max="13" width="9.33203125" customWidth="1"/>
    <col min="15" max="15" width="16.109375" customWidth="1"/>
  </cols>
  <sheetData>
    <row r="1" spans="1:15">
      <c r="A1" s="1" t="s">
        <v>0</v>
      </c>
      <c r="B1" t="s">
        <v>2</v>
      </c>
      <c r="C1" t="s">
        <v>21</v>
      </c>
      <c r="D1" s="5">
        <v>46000</v>
      </c>
      <c r="E1" s="5">
        <v>46000</v>
      </c>
      <c r="F1" s="5">
        <v>46000</v>
      </c>
      <c r="G1" s="5">
        <v>46001</v>
      </c>
      <c r="H1" s="5">
        <v>46001</v>
      </c>
      <c r="I1" s="5">
        <v>46002</v>
      </c>
      <c r="J1" s="5">
        <v>46003</v>
      </c>
      <c r="K1" s="5">
        <v>46003</v>
      </c>
      <c r="L1" s="5">
        <v>46006</v>
      </c>
      <c r="M1" s="5">
        <v>46008</v>
      </c>
      <c r="N1" s="2" t="s">
        <v>33</v>
      </c>
      <c r="O1" s="2" t="s">
        <v>34</v>
      </c>
    </row>
    <row r="2" spans="1:15">
      <c r="D2" s="177" t="s">
        <v>241</v>
      </c>
      <c r="E2" s="138" t="s">
        <v>242</v>
      </c>
      <c r="F2" s="138" t="s">
        <v>243</v>
      </c>
      <c r="G2" s="138" t="s">
        <v>244</v>
      </c>
      <c r="H2" s="138" t="s">
        <v>245</v>
      </c>
      <c r="I2" s="138" t="s">
        <v>246</v>
      </c>
      <c r="J2" s="138" t="s">
        <v>247</v>
      </c>
      <c r="K2" s="138" t="s">
        <v>248</v>
      </c>
      <c r="L2" s="138" t="s">
        <v>249</v>
      </c>
      <c r="M2" s="138" t="s">
        <v>250</v>
      </c>
    </row>
    <row r="3" spans="1:15">
      <c r="A3" s="3" t="s">
        <v>1</v>
      </c>
      <c r="B3" s="4">
        <v>5518</v>
      </c>
      <c r="C3" s="3" t="s">
        <v>3</v>
      </c>
      <c r="D3" s="3"/>
      <c r="E3" s="3"/>
      <c r="F3" s="3"/>
      <c r="G3" s="3">
        <v>5518</v>
      </c>
      <c r="H3" s="3"/>
      <c r="I3" s="3"/>
      <c r="J3" s="3"/>
      <c r="K3" s="3"/>
      <c r="L3" s="3"/>
      <c r="M3" s="3"/>
      <c r="N3">
        <f t="shared" ref="N3:N21" si="0">SUM(D3:M3)</f>
        <v>5518</v>
      </c>
      <c r="O3">
        <f t="shared" ref="O3:O21" si="1">B3-N3</f>
        <v>0</v>
      </c>
    </row>
    <row r="4" spans="1:15">
      <c r="A4" s="3" t="s">
        <v>4</v>
      </c>
      <c r="B4" s="4">
        <v>3000</v>
      </c>
      <c r="C4" s="3" t="s">
        <v>3</v>
      </c>
      <c r="D4" s="3"/>
      <c r="E4" s="3"/>
      <c r="F4" s="3"/>
      <c r="G4" s="3">
        <v>3000</v>
      </c>
      <c r="H4" s="3"/>
      <c r="I4" s="3"/>
      <c r="J4" s="3"/>
      <c r="K4" s="3"/>
      <c r="L4" s="3"/>
      <c r="M4" s="3"/>
      <c r="N4">
        <f t="shared" si="0"/>
        <v>3000</v>
      </c>
      <c r="O4">
        <f t="shared" si="1"/>
        <v>0</v>
      </c>
    </row>
    <row r="5" spans="1:15">
      <c r="A5" s="3" t="s">
        <v>5</v>
      </c>
      <c r="B5" s="4">
        <v>87</v>
      </c>
      <c r="C5" s="3" t="s">
        <v>6</v>
      </c>
      <c r="D5" s="3"/>
      <c r="E5" s="3"/>
      <c r="F5" s="3"/>
      <c r="G5" s="3"/>
      <c r="H5" s="3">
        <v>87</v>
      </c>
      <c r="I5" s="3"/>
      <c r="J5" s="3"/>
      <c r="K5" s="3"/>
      <c r="L5" s="3"/>
      <c r="M5" s="3"/>
      <c r="N5">
        <f t="shared" si="0"/>
        <v>87</v>
      </c>
      <c r="O5">
        <f t="shared" si="1"/>
        <v>0</v>
      </c>
    </row>
    <row r="6" spans="1:15">
      <c r="A6" s="3" t="s">
        <v>7</v>
      </c>
      <c r="B6" s="4">
        <v>6</v>
      </c>
      <c r="C6" s="3" t="s">
        <v>6</v>
      </c>
      <c r="D6" s="3"/>
      <c r="E6" s="3"/>
      <c r="F6" s="3"/>
      <c r="G6" s="3"/>
      <c r="H6" s="3">
        <v>6</v>
      </c>
      <c r="I6" s="3"/>
      <c r="J6" s="3"/>
      <c r="K6" s="3"/>
      <c r="L6" s="3"/>
      <c r="M6" s="3"/>
      <c r="N6">
        <f t="shared" si="0"/>
        <v>6</v>
      </c>
      <c r="O6">
        <f t="shared" si="1"/>
        <v>0</v>
      </c>
    </row>
    <row r="7" spans="1:15">
      <c r="A7" s="3" t="s">
        <v>8</v>
      </c>
      <c r="B7" s="4">
        <v>667</v>
      </c>
      <c r="C7" s="3" t="s">
        <v>6</v>
      </c>
      <c r="D7" s="3"/>
      <c r="E7" s="3"/>
      <c r="F7" s="3"/>
      <c r="G7" s="3"/>
      <c r="H7" s="3"/>
      <c r="I7" s="3"/>
      <c r="J7" s="3"/>
      <c r="K7" s="3">
        <v>207</v>
      </c>
      <c r="L7" s="3">
        <v>400</v>
      </c>
      <c r="M7" s="3">
        <v>60</v>
      </c>
      <c r="N7">
        <f t="shared" si="0"/>
        <v>667</v>
      </c>
      <c r="O7">
        <f t="shared" si="1"/>
        <v>0</v>
      </c>
    </row>
    <row r="8" spans="1:15">
      <c r="A8" s="3" t="s">
        <v>9</v>
      </c>
      <c r="B8" s="4">
        <v>385</v>
      </c>
      <c r="C8" s="3" t="s">
        <v>6</v>
      </c>
      <c r="D8" s="3">
        <v>294</v>
      </c>
      <c r="E8" s="3"/>
      <c r="F8" s="3"/>
      <c r="G8" s="3"/>
      <c r="H8" s="3"/>
      <c r="I8" s="3"/>
      <c r="J8" s="3"/>
      <c r="K8" s="3"/>
      <c r="L8" s="3"/>
      <c r="M8" s="3">
        <v>91</v>
      </c>
      <c r="N8">
        <f t="shared" si="0"/>
        <v>385</v>
      </c>
      <c r="O8">
        <f t="shared" si="1"/>
        <v>0</v>
      </c>
    </row>
    <row r="9" spans="1:15">
      <c r="A9" s="3" t="s">
        <v>10</v>
      </c>
      <c r="B9" s="4">
        <v>463</v>
      </c>
      <c r="C9" s="3" t="s">
        <v>6</v>
      </c>
      <c r="D9" s="3"/>
      <c r="E9" s="3"/>
      <c r="F9" s="3"/>
      <c r="G9" s="3"/>
      <c r="H9" s="3">
        <v>65</v>
      </c>
      <c r="I9" s="3">
        <v>200</v>
      </c>
      <c r="J9" s="3">
        <v>158</v>
      </c>
      <c r="K9" s="3">
        <v>40</v>
      </c>
      <c r="L9" s="3"/>
      <c r="M9" s="3"/>
      <c r="N9">
        <f t="shared" si="0"/>
        <v>463</v>
      </c>
      <c r="O9" s="178">
        <f t="shared" si="1"/>
        <v>0</v>
      </c>
    </row>
    <row r="10" spans="1:15">
      <c r="A10" s="3" t="s">
        <v>11</v>
      </c>
      <c r="B10" s="4">
        <v>30</v>
      </c>
      <c r="C10" s="3" t="s">
        <v>6</v>
      </c>
      <c r="D10" s="3"/>
      <c r="E10" s="3"/>
      <c r="F10" s="3"/>
      <c r="G10" s="3"/>
      <c r="H10" s="3"/>
      <c r="I10" s="3"/>
      <c r="J10" s="3">
        <v>30</v>
      </c>
      <c r="K10" s="3"/>
      <c r="L10" s="3"/>
      <c r="M10" s="3"/>
      <c r="N10">
        <f t="shared" si="0"/>
        <v>30</v>
      </c>
      <c r="O10">
        <f t="shared" si="1"/>
        <v>0</v>
      </c>
    </row>
    <row r="11" spans="1:15">
      <c r="A11" s="3" t="s">
        <v>251</v>
      </c>
      <c r="B11" s="4">
        <v>26</v>
      </c>
      <c r="C11" s="3" t="s">
        <v>20</v>
      </c>
      <c r="D11" s="3"/>
      <c r="E11" s="3"/>
      <c r="F11" s="3"/>
      <c r="G11" s="3"/>
      <c r="H11" s="3">
        <v>26</v>
      </c>
      <c r="I11" s="3"/>
      <c r="J11" s="3"/>
      <c r="K11" s="3"/>
      <c r="L11" s="3"/>
      <c r="M11" s="3"/>
      <c r="N11">
        <f t="shared" si="0"/>
        <v>26</v>
      </c>
      <c r="O11">
        <f t="shared" si="1"/>
        <v>0</v>
      </c>
    </row>
    <row r="12" spans="1:15">
      <c r="A12" s="3" t="s">
        <v>12</v>
      </c>
      <c r="B12" s="4">
        <v>80</v>
      </c>
      <c r="C12" s="3" t="s">
        <v>20</v>
      </c>
      <c r="D12" s="3">
        <v>25</v>
      </c>
      <c r="E12" s="3">
        <v>10</v>
      </c>
      <c r="F12" s="3"/>
      <c r="G12" s="3"/>
      <c r="H12" s="3"/>
      <c r="I12" s="3">
        <v>25</v>
      </c>
      <c r="J12" s="3">
        <v>20</v>
      </c>
      <c r="K12" s="3"/>
      <c r="L12" s="3"/>
      <c r="M12" s="3"/>
      <c r="N12">
        <f t="shared" si="0"/>
        <v>80</v>
      </c>
      <c r="O12">
        <f t="shared" si="1"/>
        <v>0</v>
      </c>
    </row>
    <row r="13" spans="1:15">
      <c r="A13" s="3" t="s">
        <v>13</v>
      </c>
      <c r="B13" s="4">
        <v>68</v>
      </c>
      <c r="C13" s="3" t="s">
        <v>3</v>
      </c>
      <c r="D13" s="3"/>
      <c r="E13" s="3"/>
      <c r="F13" s="3"/>
      <c r="G13" s="3"/>
      <c r="H13" s="3"/>
      <c r="I13" s="3"/>
      <c r="J13" s="3"/>
      <c r="K13" s="3"/>
      <c r="L13" s="3"/>
      <c r="M13" s="3">
        <v>68</v>
      </c>
      <c r="N13">
        <f t="shared" si="0"/>
        <v>68</v>
      </c>
      <c r="O13">
        <f t="shared" si="1"/>
        <v>0</v>
      </c>
    </row>
    <row r="14" spans="1:15">
      <c r="A14" s="3" t="s">
        <v>252</v>
      </c>
      <c r="B14" s="4">
        <v>6710</v>
      </c>
      <c r="C14" s="3" t="s">
        <v>3</v>
      </c>
      <c r="D14" s="3"/>
      <c r="E14" s="3"/>
      <c r="F14" s="3"/>
      <c r="G14" s="3">
        <v>6710</v>
      </c>
      <c r="H14" s="3"/>
      <c r="I14" s="3"/>
      <c r="J14" s="3"/>
      <c r="K14" s="3"/>
      <c r="L14" s="3"/>
      <c r="M14" s="3"/>
      <c r="N14">
        <f t="shared" si="0"/>
        <v>6710</v>
      </c>
      <c r="O14">
        <f t="shared" si="1"/>
        <v>0</v>
      </c>
    </row>
    <row r="15" spans="1:15">
      <c r="A15" s="3" t="s">
        <v>14</v>
      </c>
      <c r="B15" s="4">
        <v>1344</v>
      </c>
      <c r="C15" s="3" t="s">
        <v>3</v>
      </c>
      <c r="D15" s="3"/>
      <c r="E15" s="3"/>
      <c r="F15" s="3"/>
      <c r="G15" s="3">
        <v>1344</v>
      </c>
      <c r="H15" s="3"/>
      <c r="I15" s="3"/>
      <c r="J15" s="3"/>
      <c r="K15" s="3"/>
      <c r="L15" s="3"/>
      <c r="M15" s="3"/>
      <c r="N15">
        <f t="shared" si="0"/>
        <v>1344</v>
      </c>
      <c r="O15">
        <f t="shared" si="1"/>
        <v>0</v>
      </c>
    </row>
    <row r="16" spans="1:15">
      <c r="A16" s="3" t="s">
        <v>15</v>
      </c>
      <c r="B16" s="4">
        <v>17832</v>
      </c>
      <c r="C16" s="3" t="s">
        <v>3</v>
      </c>
      <c r="D16" s="3"/>
      <c r="E16" s="3">
        <v>17832</v>
      </c>
      <c r="F16" s="3"/>
      <c r="G16" s="3"/>
      <c r="H16" s="3"/>
      <c r="I16" s="3"/>
      <c r="J16" s="3"/>
      <c r="K16" s="3"/>
      <c r="L16" s="3"/>
      <c r="M16" s="3"/>
      <c r="N16">
        <f t="shared" si="0"/>
        <v>17832</v>
      </c>
      <c r="O16">
        <f t="shared" si="1"/>
        <v>0</v>
      </c>
    </row>
    <row r="17" spans="1:15">
      <c r="A17" s="3" t="s">
        <v>16</v>
      </c>
      <c r="B17" s="4">
        <v>13750</v>
      </c>
      <c r="C17" s="3" t="s">
        <v>3</v>
      </c>
      <c r="D17" s="3"/>
      <c r="E17" s="3"/>
      <c r="F17" s="3">
        <v>13750</v>
      </c>
      <c r="G17" s="3"/>
      <c r="H17" s="3"/>
      <c r="I17" s="3"/>
      <c r="J17" s="3"/>
      <c r="K17" s="3"/>
      <c r="L17" s="3"/>
      <c r="M17" s="3"/>
      <c r="N17">
        <f t="shared" si="0"/>
        <v>13750</v>
      </c>
      <c r="O17">
        <f t="shared" si="1"/>
        <v>0</v>
      </c>
    </row>
    <row r="18" spans="1:15">
      <c r="A18" s="3" t="s">
        <v>17</v>
      </c>
      <c r="B18" s="4">
        <v>5904</v>
      </c>
      <c r="C18" s="3" t="s">
        <v>3</v>
      </c>
      <c r="D18" s="3"/>
      <c r="E18" s="3"/>
      <c r="F18" s="3">
        <v>5904</v>
      </c>
      <c r="G18" s="3"/>
      <c r="H18" s="3"/>
      <c r="I18" s="3"/>
      <c r="J18" s="3"/>
      <c r="K18" s="3"/>
      <c r="L18" s="3"/>
      <c r="M18" s="3"/>
      <c r="N18">
        <f t="shared" si="0"/>
        <v>5904</v>
      </c>
      <c r="O18">
        <f t="shared" si="1"/>
        <v>0</v>
      </c>
    </row>
    <row r="19" spans="1:15">
      <c r="A19" s="3" t="s">
        <v>18</v>
      </c>
      <c r="B19" s="4">
        <v>1869</v>
      </c>
      <c r="C19" s="3" t="s">
        <v>3</v>
      </c>
      <c r="D19" s="3"/>
      <c r="E19" s="3"/>
      <c r="F19" s="3"/>
      <c r="G19" s="3">
        <v>1869</v>
      </c>
      <c r="H19" s="3"/>
      <c r="I19" s="3"/>
      <c r="J19" s="3"/>
      <c r="K19" s="3"/>
      <c r="L19" s="3"/>
      <c r="M19" s="3"/>
      <c r="N19">
        <f t="shared" si="0"/>
        <v>1869</v>
      </c>
      <c r="O19">
        <f t="shared" si="1"/>
        <v>0</v>
      </c>
    </row>
    <row r="20" spans="1:15">
      <c r="A20" s="3" t="s">
        <v>19</v>
      </c>
      <c r="B20" s="4">
        <v>577</v>
      </c>
      <c r="C20" s="3" t="s">
        <v>3</v>
      </c>
      <c r="D20" s="3"/>
      <c r="E20" s="3">
        <v>577</v>
      </c>
      <c r="F20" s="3"/>
      <c r="G20" s="3"/>
      <c r="H20" s="3"/>
      <c r="I20" s="3"/>
      <c r="J20" s="3"/>
      <c r="K20" s="3"/>
      <c r="L20" s="3"/>
      <c r="M20" s="3"/>
      <c r="N20">
        <f t="shared" si="0"/>
        <v>577</v>
      </c>
      <c r="O20">
        <f t="shared" si="1"/>
        <v>0</v>
      </c>
    </row>
    <row r="21" spans="1:1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>
        <f t="shared" si="0"/>
        <v>0</v>
      </c>
      <c r="O21">
        <f t="shared" si="1"/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8A650-2D3A-4187-8626-908F64C37EF5}">
  <dimension ref="A1:T2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E27" sqref="E27"/>
    </sheetView>
  </sheetViews>
  <sheetFormatPr baseColWidth="10" defaultRowHeight="14.4"/>
  <cols>
    <col min="1" max="1" width="46.6640625" customWidth="1"/>
    <col min="3" max="3" width="8" customWidth="1"/>
    <col min="4" max="4" width="9.77734375" customWidth="1"/>
    <col min="5" max="5" width="9.21875" customWidth="1"/>
    <col min="6" max="6" width="9.5546875" customWidth="1"/>
    <col min="7" max="8" width="9.44140625" customWidth="1"/>
    <col min="9" max="9" width="9.109375" customWidth="1"/>
    <col min="10" max="10" width="8.5546875" customWidth="1"/>
    <col min="11" max="11" width="9.21875" customWidth="1"/>
    <col min="12" max="12" width="8.77734375" customWidth="1"/>
    <col min="13" max="15" width="9.21875" customWidth="1"/>
  </cols>
  <sheetData>
    <row r="1" spans="1:20">
      <c r="A1" s="1" t="s">
        <v>0</v>
      </c>
      <c r="B1" t="s">
        <v>2</v>
      </c>
      <c r="C1" t="s">
        <v>21</v>
      </c>
      <c r="D1" s="5">
        <v>45742</v>
      </c>
      <c r="E1" s="5">
        <v>45743</v>
      </c>
      <c r="F1" s="5">
        <v>45743</v>
      </c>
      <c r="G1" s="5">
        <v>45743</v>
      </c>
      <c r="H1" s="5">
        <v>45743</v>
      </c>
      <c r="I1" s="5">
        <v>45743</v>
      </c>
      <c r="J1" s="5">
        <v>45743</v>
      </c>
      <c r="K1" s="5">
        <v>45743</v>
      </c>
      <c r="L1" s="5">
        <v>45744</v>
      </c>
      <c r="M1" s="5">
        <v>45744</v>
      </c>
      <c r="N1" s="5">
        <v>45744</v>
      </c>
      <c r="O1" s="5">
        <v>45744</v>
      </c>
      <c r="P1" s="139">
        <v>45751</v>
      </c>
      <c r="Q1" s="139">
        <v>45758</v>
      </c>
      <c r="R1" s="139">
        <v>45758</v>
      </c>
      <c r="S1" s="2" t="s">
        <v>33</v>
      </c>
      <c r="T1" s="2" t="s">
        <v>34</v>
      </c>
    </row>
    <row r="2" spans="1:20">
      <c r="D2" s="138" t="s">
        <v>22</v>
      </c>
      <c r="E2" s="138" t="s">
        <v>23</v>
      </c>
      <c r="F2" s="138" t="s">
        <v>24</v>
      </c>
      <c r="G2" s="138" t="s">
        <v>25</v>
      </c>
      <c r="H2" s="138" t="s">
        <v>172</v>
      </c>
      <c r="I2" s="138" t="s">
        <v>27</v>
      </c>
      <c r="J2" s="138" t="s">
        <v>28</v>
      </c>
      <c r="K2" s="138" t="s">
        <v>29</v>
      </c>
      <c r="L2" s="138" t="s">
        <v>30</v>
      </c>
      <c r="M2" s="138" t="s">
        <v>31</v>
      </c>
      <c r="N2" s="138" t="s">
        <v>32</v>
      </c>
      <c r="O2" s="138" t="s">
        <v>35</v>
      </c>
      <c r="P2" s="138" t="s">
        <v>173</v>
      </c>
      <c r="Q2" s="138" t="s">
        <v>174</v>
      </c>
      <c r="R2" s="138" t="s">
        <v>175</v>
      </c>
    </row>
    <row r="3" spans="1:20">
      <c r="A3" s="3" t="s">
        <v>1</v>
      </c>
      <c r="B3" s="4">
        <v>5570</v>
      </c>
      <c r="C3" s="3" t="s">
        <v>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>
        <v>5570</v>
      </c>
      <c r="P3" s="3"/>
      <c r="Q3" s="3"/>
      <c r="R3" s="3"/>
      <c r="S3" s="3">
        <f>+B3</f>
        <v>5570</v>
      </c>
      <c r="T3" s="3">
        <f>+S3-D3-E3-F3-G3-H3-I3-J3-K3-L3-M3-N3-O3-P3-Q3-R3</f>
        <v>0</v>
      </c>
    </row>
    <row r="4" spans="1:20">
      <c r="A4" s="3" t="s">
        <v>4</v>
      </c>
      <c r="B4" s="4">
        <v>6924</v>
      </c>
      <c r="C4" s="3" t="s">
        <v>3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>
        <v>6924</v>
      </c>
      <c r="P4" s="3"/>
      <c r="Q4" s="3"/>
      <c r="R4" s="3"/>
      <c r="S4" s="3">
        <f t="shared" ref="S4:S20" si="0">+B4</f>
        <v>6924</v>
      </c>
      <c r="T4" s="3">
        <f t="shared" ref="T4:T20" si="1">+S4-D4-E4-F4-G4-H4-I4-J4-K4-L4-M4-N4-O4-P4-Q4-R4</f>
        <v>0</v>
      </c>
    </row>
    <row r="5" spans="1:20">
      <c r="A5" s="3" t="s">
        <v>5</v>
      </c>
      <c r="B5" s="4">
        <v>120</v>
      </c>
      <c r="C5" s="3" t="s">
        <v>6</v>
      </c>
      <c r="D5" s="3">
        <v>100</v>
      </c>
      <c r="E5" s="3"/>
      <c r="F5" s="3"/>
      <c r="G5" s="3">
        <v>20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>
        <f t="shared" si="0"/>
        <v>120</v>
      </c>
      <c r="T5" s="3">
        <f t="shared" si="1"/>
        <v>0</v>
      </c>
    </row>
    <row r="6" spans="1:20">
      <c r="A6" s="3" t="s">
        <v>7</v>
      </c>
      <c r="B6" s="4">
        <v>8</v>
      </c>
      <c r="C6" s="3" t="s">
        <v>6</v>
      </c>
      <c r="D6" s="3">
        <v>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>
        <f t="shared" si="0"/>
        <v>8</v>
      </c>
      <c r="T6" s="3">
        <f t="shared" si="1"/>
        <v>0</v>
      </c>
    </row>
    <row r="7" spans="1:20">
      <c r="A7" s="3" t="s">
        <v>8</v>
      </c>
      <c r="B7" s="4">
        <v>895</v>
      </c>
      <c r="C7" s="3" t="s">
        <v>6</v>
      </c>
      <c r="D7" s="3">
        <v>100</v>
      </c>
      <c r="E7" s="3">
        <v>300</v>
      </c>
      <c r="F7" s="3"/>
      <c r="G7" s="3"/>
      <c r="H7" s="3"/>
      <c r="I7" s="3"/>
      <c r="J7" s="3"/>
      <c r="K7" s="3"/>
      <c r="L7" s="3">
        <v>400</v>
      </c>
      <c r="M7" s="3"/>
      <c r="N7" s="3"/>
      <c r="O7" s="3">
        <v>95</v>
      </c>
      <c r="P7" s="3"/>
      <c r="Q7" s="3"/>
      <c r="R7" s="3"/>
      <c r="S7" s="3">
        <f t="shared" si="0"/>
        <v>895</v>
      </c>
      <c r="T7" s="3">
        <f t="shared" si="1"/>
        <v>0</v>
      </c>
    </row>
    <row r="8" spans="1:20">
      <c r="A8" s="3" t="s">
        <v>9</v>
      </c>
      <c r="B8" s="4">
        <v>540</v>
      </c>
      <c r="C8" s="3" t="s">
        <v>6</v>
      </c>
      <c r="D8" s="3">
        <v>100</v>
      </c>
      <c r="E8" s="3"/>
      <c r="F8" s="3"/>
      <c r="G8" s="3">
        <v>150</v>
      </c>
      <c r="H8" s="3"/>
      <c r="I8" s="3"/>
      <c r="J8" s="3"/>
      <c r="K8" s="3"/>
      <c r="L8" s="3"/>
      <c r="M8" s="3"/>
      <c r="N8" s="3">
        <v>290</v>
      </c>
      <c r="O8" s="3"/>
      <c r="P8" s="3"/>
      <c r="Q8" s="3"/>
      <c r="R8" s="3"/>
      <c r="S8" s="3">
        <f t="shared" si="0"/>
        <v>540</v>
      </c>
      <c r="T8" s="3">
        <f t="shared" si="1"/>
        <v>0</v>
      </c>
    </row>
    <row r="9" spans="1:20">
      <c r="A9" s="3" t="s">
        <v>10</v>
      </c>
      <c r="B9" s="4">
        <v>617</v>
      </c>
      <c r="C9" s="3" t="s">
        <v>6</v>
      </c>
      <c r="D9" s="3">
        <v>100</v>
      </c>
      <c r="E9" s="3"/>
      <c r="F9" s="3"/>
      <c r="G9" s="3"/>
      <c r="H9" s="3">
        <v>150</v>
      </c>
      <c r="I9" s="3"/>
      <c r="J9" s="3"/>
      <c r="K9" s="3">
        <v>200</v>
      </c>
      <c r="L9" s="3"/>
      <c r="M9" s="3"/>
      <c r="N9" s="3"/>
      <c r="O9" s="3">
        <v>50</v>
      </c>
      <c r="P9" s="3">
        <v>88</v>
      </c>
      <c r="Q9" s="3"/>
      <c r="R9" s="3">
        <v>29</v>
      </c>
      <c r="S9" s="3">
        <f t="shared" si="0"/>
        <v>617</v>
      </c>
      <c r="T9" s="3">
        <f t="shared" si="1"/>
        <v>0</v>
      </c>
    </row>
    <row r="10" spans="1:20">
      <c r="A10" s="3" t="s">
        <v>11</v>
      </c>
      <c r="B10" s="4">
        <v>40</v>
      </c>
      <c r="C10" s="3" t="s">
        <v>6</v>
      </c>
      <c r="D10" s="3"/>
      <c r="E10" s="3"/>
      <c r="F10" s="3"/>
      <c r="G10" s="3"/>
      <c r="H10" s="3">
        <v>40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>
        <f t="shared" si="0"/>
        <v>40</v>
      </c>
      <c r="T10" s="3">
        <f t="shared" si="1"/>
        <v>0</v>
      </c>
    </row>
    <row r="11" spans="1:20">
      <c r="A11" s="3" t="s">
        <v>12</v>
      </c>
      <c r="B11" s="4">
        <v>60</v>
      </c>
      <c r="C11" s="3" t="s">
        <v>20</v>
      </c>
      <c r="D11" s="3"/>
      <c r="E11" s="3">
        <v>60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>
        <f t="shared" si="0"/>
        <v>60</v>
      </c>
      <c r="T11" s="3">
        <f t="shared" si="1"/>
        <v>0</v>
      </c>
    </row>
    <row r="12" spans="1:20">
      <c r="A12" s="6" t="s">
        <v>26</v>
      </c>
      <c r="B12" s="7">
        <v>173</v>
      </c>
      <c r="C12" s="6" t="s">
        <v>6</v>
      </c>
      <c r="D12" s="6"/>
      <c r="E12" s="6"/>
      <c r="F12" s="6"/>
      <c r="G12" s="6">
        <v>173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3">
        <f t="shared" si="0"/>
        <v>173</v>
      </c>
      <c r="T12" s="3">
        <f t="shared" si="1"/>
        <v>0</v>
      </c>
    </row>
    <row r="13" spans="1:20">
      <c r="A13" s="3" t="s">
        <v>13</v>
      </c>
      <c r="B13" s="4">
        <v>90</v>
      </c>
      <c r="C13" s="3" t="s">
        <v>3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>
        <v>90</v>
      </c>
      <c r="R13" s="3"/>
      <c r="S13" s="3">
        <f t="shared" si="0"/>
        <v>90</v>
      </c>
      <c r="T13" s="3">
        <f t="shared" si="1"/>
        <v>0</v>
      </c>
    </row>
    <row r="14" spans="1:20">
      <c r="A14" s="3" t="s">
        <v>14</v>
      </c>
      <c r="B14" s="4">
        <v>10870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>
        <v>10870</v>
      </c>
      <c r="Q14" s="3"/>
      <c r="R14" s="3"/>
      <c r="S14" s="3">
        <f t="shared" si="0"/>
        <v>10870</v>
      </c>
      <c r="T14" s="3">
        <f t="shared" si="1"/>
        <v>0</v>
      </c>
    </row>
    <row r="15" spans="1:20">
      <c r="A15" s="3" t="s">
        <v>15</v>
      </c>
      <c r="B15" s="4">
        <v>30940</v>
      </c>
      <c r="C15" s="3"/>
      <c r="D15" s="3"/>
      <c r="E15" s="3"/>
      <c r="F15" s="3">
        <v>15470</v>
      </c>
      <c r="G15" s="3"/>
      <c r="H15" s="3"/>
      <c r="I15" s="3"/>
      <c r="J15" s="3">
        <v>15470</v>
      </c>
      <c r="K15" s="3"/>
      <c r="L15" s="3"/>
      <c r="M15" s="3"/>
      <c r="N15" s="3"/>
      <c r="O15" s="3"/>
      <c r="P15" s="3"/>
      <c r="Q15" s="3"/>
      <c r="R15" s="3"/>
      <c r="S15" s="3">
        <f t="shared" si="0"/>
        <v>30940</v>
      </c>
      <c r="T15" s="3">
        <f t="shared" si="1"/>
        <v>0</v>
      </c>
    </row>
    <row r="16" spans="1:20">
      <c r="A16" s="3" t="s">
        <v>16</v>
      </c>
      <c r="B16" s="4">
        <v>20051</v>
      </c>
      <c r="C16" s="3"/>
      <c r="D16" s="3"/>
      <c r="E16" s="3"/>
      <c r="F16" s="3"/>
      <c r="G16" s="3"/>
      <c r="H16" s="3"/>
      <c r="I16" s="3">
        <v>17000</v>
      </c>
      <c r="J16" s="3"/>
      <c r="K16" s="3"/>
      <c r="L16" s="3"/>
      <c r="M16" s="3">
        <v>3051</v>
      </c>
      <c r="N16" s="3"/>
      <c r="O16" s="3"/>
      <c r="P16" s="3"/>
      <c r="Q16" s="3"/>
      <c r="R16" s="3"/>
      <c r="S16" s="3">
        <f t="shared" si="0"/>
        <v>20051</v>
      </c>
      <c r="T16" s="3">
        <f t="shared" si="1"/>
        <v>0</v>
      </c>
    </row>
    <row r="17" spans="1:20">
      <c r="A17" s="3" t="s">
        <v>17</v>
      </c>
      <c r="B17" s="4">
        <v>7947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>
        <v>7947</v>
      </c>
      <c r="N17" s="3"/>
      <c r="O17" s="3"/>
      <c r="P17" s="3"/>
      <c r="Q17" s="3"/>
      <c r="R17" s="3"/>
      <c r="S17" s="3">
        <f t="shared" si="0"/>
        <v>7947</v>
      </c>
      <c r="T17" s="3">
        <f t="shared" si="1"/>
        <v>0</v>
      </c>
    </row>
    <row r="18" spans="1:20">
      <c r="A18" s="3" t="s">
        <v>18</v>
      </c>
      <c r="B18" s="4">
        <v>2570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>
        <v>2570</v>
      </c>
      <c r="N18" s="3"/>
      <c r="O18" s="3"/>
      <c r="P18" s="3"/>
      <c r="Q18" s="3"/>
      <c r="R18" s="3"/>
      <c r="S18" s="3">
        <f t="shared" si="0"/>
        <v>2570</v>
      </c>
      <c r="T18" s="3">
        <f t="shared" si="1"/>
        <v>0</v>
      </c>
    </row>
    <row r="19" spans="1:20">
      <c r="A19" s="3" t="s">
        <v>19</v>
      </c>
      <c r="B19" s="4">
        <v>794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>
        <v>794</v>
      </c>
      <c r="N19" s="3"/>
      <c r="O19" s="3"/>
      <c r="P19" s="3"/>
      <c r="Q19" s="3"/>
      <c r="R19" s="3"/>
      <c r="S19" s="3">
        <f t="shared" si="0"/>
        <v>794</v>
      </c>
      <c r="T19" s="3">
        <f t="shared" si="1"/>
        <v>0</v>
      </c>
    </row>
    <row r="20" spans="1: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>
        <f t="shared" si="0"/>
        <v>0</v>
      </c>
      <c r="T20" s="3">
        <f t="shared" si="1"/>
        <v>0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BF804-865B-4F79-8EA9-61FA21B4133F}">
  <dimension ref="A3:K29"/>
  <sheetViews>
    <sheetView workbookViewId="0">
      <selection activeCell="B12" sqref="B12"/>
    </sheetView>
  </sheetViews>
  <sheetFormatPr baseColWidth="10" defaultRowHeight="14.4"/>
  <sheetData>
    <row r="3" spans="1:11" ht="28.8">
      <c r="A3" t="s">
        <v>36</v>
      </c>
      <c r="B3" t="s">
        <v>37</v>
      </c>
      <c r="C3" t="s">
        <v>38</v>
      </c>
      <c r="D3" t="s">
        <v>39</v>
      </c>
      <c r="E3" s="8" t="s">
        <v>42</v>
      </c>
      <c r="F3" s="8" t="s">
        <v>43</v>
      </c>
    </row>
    <row r="4" spans="1:11">
      <c r="A4" t="s">
        <v>40</v>
      </c>
      <c r="B4">
        <v>1892</v>
      </c>
      <c r="C4">
        <v>2447</v>
      </c>
      <c r="D4">
        <v>11</v>
      </c>
      <c r="E4">
        <f>+B4/D4</f>
        <v>172</v>
      </c>
      <c r="F4" s="9">
        <f>+C4/D4</f>
        <v>222.45454545454547</v>
      </c>
      <c r="G4">
        <v>246</v>
      </c>
      <c r="H4" s="9">
        <f>+F4-G4</f>
        <v>-23.545454545454533</v>
      </c>
      <c r="I4">
        <f>+H4*11</f>
        <v>-258.99999999999989</v>
      </c>
    </row>
    <row r="5" spans="1:11">
      <c r="A5" t="s">
        <v>41</v>
      </c>
      <c r="B5">
        <v>1520</v>
      </c>
      <c r="C5">
        <v>2336</v>
      </c>
      <c r="D5">
        <v>12</v>
      </c>
      <c r="E5">
        <f>+B5/D5</f>
        <v>126.66666666666667</v>
      </c>
      <c r="F5" s="9">
        <f>+C5/D5</f>
        <v>194.66666666666666</v>
      </c>
      <c r="G5">
        <v>246</v>
      </c>
      <c r="H5" s="9">
        <f>+F5-G5</f>
        <v>-51.333333333333343</v>
      </c>
      <c r="I5">
        <f>+H5*12</f>
        <v>-616.00000000000011</v>
      </c>
      <c r="K5">
        <v>246</v>
      </c>
    </row>
    <row r="6" spans="1:11">
      <c r="I6">
        <f>SUM(I4:I5)</f>
        <v>-875</v>
      </c>
    </row>
    <row r="7" spans="1:11">
      <c r="I7">
        <f>+I6/12</f>
        <v>-72.916666666666671</v>
      </c>
    </row>
    <row r="8" spans="1:11">
      <c r="C8">
        <f>1892+1520</f>
        <v>3412</v>
      </c>
    </row>
    <row r="9" spans="1:11">
      <c r="A9" s="137">
        <v>45773</v>
      </c>
      <c r="B9">
        <v>284</v>
      </c>
      <c r="C9">
        <f t="shared" ref="C9:C15" si="0">+C8-B9</f>
        <v>3128</v>
      </c>
    </row>
    <row r="10" spans="1:11">
      <c r="B10">
        <v>1216</v>
      </c>
      <c r="C10">
        <f t="shared" si="0"/>
        <v>1912</v>
      </c>
    </row>
    <row r="11" spans="1:11">
      <c r="B11">
        <v>20</v>
      </c>
      <c r="C11">
        <f t="shared" si="0"/>
        <v>1892</v>
      </c>
    </row>
    <row r="12" spans="1:11">
      <c r="C12">
        <f t="shared" si="0"/>
        <v>1892</v>
      </c>
    </row>
    <row r="13" spans="1:11">
      <c r="C13">
        <f t="shared" si="0"/>
        <v>1892</v>
      </c>
    </row>
    <row r="14" spans="1:11">
      <c r="C14">
        <f t="shared" si="0"/>
        <v>1892</v>
      </c>
    </row>
    <row r="15" spans="1:11">
      <c r="C15">
        <f t="shared" si="0"/>
        <v>1892</v>
      </c>
    </row>
    <row r="18" spans="1:3">
      <c r="C18">
        <f>2447+2336</f>
        <v>4783</v>
      </c>
    </row>
    <row r="19" spans="1:3">
      <c r="A19" s="137">
        <v>45773</v>
      </c>
      <c r="B19">
        <v>600</v>
      </c>
      <c r="C19">
        <f>+C18-B19</f>
        <v>4183</v>
      </c>
    </row>
    <row r="20" spans="1:3">
      <c r="B20">
        <v>1572</v>
      </c>
      <c r="C20">
        <f>+C19-B20</f>
        <v>2611</v>
      </c>
    </row>
    <row r="21" spans="1:3">
      <c r="C21">
        <f t="shared" ref="C21:C29" si="1">+C20-B21</f>
        <v>2611</v>
      </c>
    </row>
    <row r="22" spans="1:3">
      <c r="C22">
        <f t="shared" si="1"/>
        <v>2611</v>
      </c>
    </row>
    <row r="23" spans="1:3">
      <c r="C23">
        <f t="shared" si="1"/>
        <v>2611</v>
      </c>
    </row>
    <row r="24" spans="1:3">
      <c r="C24">
        <f t="shared" si="1"/>
        <v>2611</v>
      </c>
    </row>
    <row r="25" spans="1:3">
      <c r="C25">
        <f t="shared" si="1"/>
        <v>2611</v>
      </c>
    </row>
    <row r="26" spans="1:3">
      <c r="C26">
        <f t="shared" si="1"/>
        <v>2611</v>
      </c>
    </row>
    <row r="27" spans="1:3">
      <c r="C27">
        <f t="shared" si="1"/>
        <v>2611</v>
      </c>
    </row>
    <row r="28" spans="1:3">
      <c r="C28">
        <f t="shared" si="1"/>
        <v>2611</v>
      </c>
    </row>
    <row r="29" spans="1:3">
      <c r="C29">
        <f t="shared" si="1"/>
        <v>2611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15A04-0F8B-439C-A393-2C24D8073746}">
  <dimension ref="A1"/>
  <sheetViews>
    <sheetView workbookViewId="0">
      <selection activeCell="E26" sqref="E26"/>
    </sheetView>
  </sheetViews>
  <sheetFormatPr baseColWidth="10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3</vt:i4>
      </vt:variant>
    </vt:vector>
  </HeadingPairs>
  <TitlesOfParts>
    <vt:vector size="16" baseType="lpstr">
      <vt:lpstr>GRIFERIA 17 viviendas</vt:lpstr>
      <vt:lpstr>GRIFERIA</vt:lpstr>
      <vt:lpstr>FACHADAS</vt:lpstr>
      <vt:lpstr>19 viviendas</vt:lpstr>
      <vt:lpstr>4 CASAS MUESTRA</vt:lpstr>
      <vt:lpstr>PISO 17 viviendas</vt:lpstr>
      <vt:lpstr>PISO casas muesta-19 viv</vt:lpstr>
      <vt:lpstr>PISO Y AZULEJOS costos</vt:lpstr>
      <vt:lpstr>ACCESORIO ELECTRICO</vt:lpstr>
      <vt:lpstr>ACERO 2DA ETAPA</vt:lpstr>
      <vt:lpstr>ACERO</vt:lpstr>
      <vt:lpstr>CASETON</vt:lpstr>
      <vt:lpstr>Hoja1</vt:lpstr>
      <vt:lpstr>'ACCESORIO ELECTRICO'!Área_de_impresión</vt:lpstr>
      <vt:lpstr>'ACCESORIO ELECTRICO'!data10</vt:lpstr>
      <vt:lpstr>'ACCESORIO ELECTRICO'!data4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arq.patty.07@gmail.com</dc:creator>
  <cp:lastModifiedBy>Rosy Lares</cp:lastModifiedBy>
  <dcterms:created xsi:type="dcterms:W3CDTF">2025-03-28T16:37:31Z</dcterms:created>
  <dcterms:modified xsi:type="dcterms:W3CDTF">2026-06-10T23:44:36Z</dcterms:modified>
</cp:coreProperties>
</file>