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DEAPAD 3\OneDrive\Escritorio\Escritorio\TERRA F-11\"/>
    </mc:Choice>
  </mc:AlternateContent>
  <xr:revisionPtr revIDLastSave="0" documentId="13_ncr:1_{F1811827-2C2F-4AF9-B29D-DDBFF9641F89}" xr6:coauthVersionLast="47" xr6:coauthVersionMax="47" xr10:uidLastSave="{00000000-0000-0000-0000-000000000000}"/>
  <bookViews>
    <workbookView xWindow="28680" yWindow="-120" windowWidth="29040" windowHeight="15720" activeTab="3" xr2:uid="{A6F79834-1871-4EEB-8719-B46D1F4E0136}"/>
  </bookViews>
  <sheets>
    <sheet name="ORDEN DE COMPRA" sheetId="2" r:id="rId1"/>
    <sheet name="SEMANA 24" sheetId="7" r:id="rId2"/>
    <sheet name="SEMANA 23" sheetId="6" r:id="rId3"/>
    <sheet name="SEMANA 22" sheetId="5" r:id="rId4"/>
    <sheet name="SEMANA 21" sheetId="4" r:id="rId5"/>
    <sheet name="semana 20" sheetId="3" r:id="rId6"/>
    <sheet name="movimiento entre obras" sheetId="1" r:id="rId7"/>
  </sheets>
  <externalReferences>
    <externalReference r:id="rId8"/>
  </externalReferences>
  <definedNames>
    <definedName name="area">#REF!</definedName>
    <definedName name="_xlnm.Print_Area">#REF!</definedName>
    <definedName name="cargo">#REF!</definedName>
    <definedName name="cargocontacto">#REF!</definedName>
    <definedName name="cargoresponsabledelaobra">#REF!</definedName>
    <definedName name="cargovendedor">#REF!</definedName>
    <definedName name="ciudad">#REF!</definedName>
    <definedName name="ciudadcliente">#REF!</definedName>
    <definedName name="ciudaddelaobra">#REF!</definedName>
    <definedName name="cmic">#REF!</definedName>
    <definedName name="codigodelaobra">#REF!</definedName>
    <definedName name="codigopostalcliente">#REF!</definedName>
    <definedName name="codigopostaldelaobra">#REF!</definedName>
    <definedName name="codigovendedor">#REF!</definedName>
    <definedName name="colonia">#REF!</definedName>
    <definedName name="coloniacliente">#REF!</definedName>
    <definedName name="coloniadelaobra">#REF!</definedName>
    <definedName name="contactocliente">#REF!</definedName>
    <definedName name="decimalesredondeo">#REF!</definedName>
    <definedName name="departamento">#REF!</definedName>
    <definedName name="dflt6">[1]Personalizar!$F$28</definedName>
    <definedName name="dflt7">[1]Personalizar!$E$29</definedName>
    <definedName name="direccioncliente">#REF!</definedName>
    <definedName name="direcciondeconcurso">#REF!</definedName>
    <definedName name="direcciondelaobra">#REF!</definedName>
    <definedName name="domicilio">#REF!</definedName>
    <definedName name="email">#REF!</definedName>
    <definedName name="emailcliente">#REF!</definedName>
    <definedName name="emaildelaobra">#REF!</definedName>
    <definedName name="estado">#REF!</definedName>
    <definedName name="estadodelaobra">#REF!</definedName>
    <definedName name="fechaconvocatoria">#REF!</definedName>
    <definedName name="fechadeconcurso">#REF!</definedName>
    <definedName name="fechainicio">#REF!</definedName>
    <definedName name="fechaterminacion">#REF!</definedName>
    <definedName name="IGNIS">#REF!</definedName>
    <definedName name="imss">#REF!</definedName>
    <definedName name="infonavit">#REF!</definedName>
    <definedName name="mailcontacto">#REF!</definedName>
    <definedName name="mailvendedor">#REF!</definedName>
    <definedName name="MAPLE">#REF!</definedName>
    <definedName name="nombrecliente">#REF!</definedName>
    <definedName name="nombredelaobra">#REF!</definedName>
    <definedName name="nombrevendedor">#REF!</definedName>
    <definedName name="numconvocatoria">#REF!</definedName>
    <definedName name="numerodeconcurso">#REF!</definedName>
    <definedName name="plazocalculado">#REF!</definedName>
    <definedName name="plazoreal">#REF!</definedName>
    <definedName name="porcentajeivapresupuesto">#REF!</definedName>
    <definedName name="primeramoneda">#REF!</definedName>
    <definedName name="Prot." comment="IGNIS">#REF!</definedName>
    <definedName name="razonsocial">#REF!</definedName>
    <definedName name="remateprimeramoneda">#REF!</definedName>
    <definedName name="rematesegundamoneda">#REF!</definedName>
    <definedName name="responsable">#REF!</definedName>
    <definedName name="responsabledelaobra">#REF!</definedName>
    <definedName name="rfc">#REF!</definedName>
    <definedName name="segundamoneda">#REF!</definedName>
    <definedName name="telefono">#REF!</definedName>
    <definedName name="telefonocliente">#REF!</definedName>
    <definedName name="telefonocontacto">#REF!</definedName>
    <definedName name="telefonodelaobra">#REF!</definedName>
    <definedName name="telefonovendedor">#REF!</definedName>
    <definedName name="tipodelicitacion">#REF!</definedName>
    <definedName name="_xlnm.Print_Titles">#REF!</definedName>
    <definedName name="totalpresupuestoprimeramoneda">#REF!</definedName>
    <definedName name="totalpresupuestosegundamoned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11" i="7" l="1"/>
  <c r="F110" i="7"/>
  <c r="F109" i="7"/>
  <c r="F108" i="7"/>
  <c r="F107" i="7"/>
  <c r="F106" i="7"/>
  <c r="F105" i="7"/>
  <c r="F104" i="7"/>
  <c r="F103" i="7"/>
  <c r="F102" i="7"/>
  <c r="F101" i="7"/>
  <c r="F112" i="7" s="1"/>
  <c r="F113" i="7" l="1"/>
  <c r="F114" i="7" s="1"/>
  <c r="F83" i="7" l="1"/>
  <c r="F82" i="7"/>
  <c r="F81" i="7"/>
  <c r="F80" i="7"/>
  <c r="F79" i="7"/>
  <c r="F78" i="7"/>
  <c r="F77" i="7"/>
  <c r="F76" i="7"/>
  <c r="F75" i="7"/>
  <c r="F74" i="7"/>
  <c r="F73" i="7"/>
  <c r="F72" i="7"/>
  <c r="F71" i="7"/>
  <c r="F70" i="7"/>
  <c r="F69" i="7"/>
  <c r="F84" i="7" l="1"/>
  <c r="F85" i="7" s="1"/>
  <c r="F86" i="7" s="1"/>
  <c r="F39" i="7" l="1"/>
  <c r="F53" i="7" s="1"/>
  <c r="F21" i="7"/>
  <c r="F20" i="7"/>
  <c r="F19" i="7"/>
  <c r="F18" i="7"/>
  <c r="F17" i="7"/>
  <c r="F16" i="7"/>
  <c r="F15" i="7"/>
  <c r="F14" i="7"/>
  <c r="F13" i="7"/>
  <c r="F12" i="7"/>
  <c r="F152" i="6"/>
  <c r="F151" i="6"/>
  <c r="F150" i="6"/>
  <c r="F149" i="6"/>
  <c r="F148" i="6"/>
  <c r="F147" i="6"/>
  <c r="F146" i="6"/>
  <c r="F145" i="6"/>
  <c r="F144" i="6"/>
  <c r="F143" i="6"/>
  <c r="F142" i="6"/>
  <c r="F141" i="6"/>
  <c r="F140" i="6"/>
  <c r="F139" i="6"/>
  <c r="F138" i="6"/>
  <c r="F54" i="7" l="1"/>
  <c r="F55" i="7" s="1"/>
  <c r="F22" i="7"/>
  <c r="F23" i="7" s="1"/>
  <c r="F24" i="7" s="1"/>
  <c r="F153" i="6"/>
  <c r="F154" i="6" s="1"/>
  <c r="F155" i="6" s="1"/>
  <c r="F120" i="6" l="1"/>
  <c r="F119" i="6"/>
  <c r="F118" i="6"/>
  <c r="F117" i="6"/>
  <c r="F116" i="6"/>
  <c r="F115" i="6"/>
  <c r="F114" i="6"/>
  <c r="F113" i="6"/>
  <c r="F112" i="6"/>
  <c r="F111" i="6"/>
  <c r="F110" i="6"/>
  <c r="F109" i="6"/>
  <c r="F108" i="6"/>
  <c r="F107" i="6"/>
  <c r="F106" i="6"/>
  <c r="F121" i="6" l="1"/>
  <c r="F122" i="6"/>
  <c r="F123" i="6" s="1"/>
  <c r="F76" i="6" l="1"/>
  <c r="F77" i="6"/>
  <c r="F78" i="6"/>
  <c r="F79" i="6"/>
  <c r="F80" i="6"/>
  <c r="F81" i="6"/>
  <c r="F82" i="6"/>
  <c r="F88" i="6"/>
  <c r="F87" i="6"/>
  <c r="F86" i="6"/>
  <c r="F85" i="6"/>
  <c r="F84" i="6"/>
  <c r="F83" i="6"/>
  <c r="F75" i="6"/>
  <c r="F74" i="6"/>
  <c r="F73" i="6"/>
  <c r="F72" i="6"/>
  <c r="F71" i="6"/>
  <c r="F45" i="6"/>
  <c r="F44" i="6"/>
  <c r="F43" i="6"/>
  <c r="F41" i="6"/>
  <c r="F40" i="6"/>
  <c r="F54" i="6" s="1"/>
  <c r="F89" i="6" l="1"/>
  <c r="F90" i="6" s="1"/>
  <c r="F91" i="6" s="1"/>
  <c r="F55" i="6"/>
  <c r="F56" i="6" s="1"/>
  <c r="F22" i="6" l="1"/>
  <c r="F21" i="6"/>
  <c r="F20" i="6"/>
  <c r="F19" i="6"/>
  <c r="F18" i="6"/>
  <c r="F17" i="6"/>
  <c r="F16" i="6"/>
  <c r="F15" i="6"/>
  <c r="F14" i="6"/>
  <c r="F13" i="6"/>
  <c r="F12" i="6"/>
  <c r="F713" i="5"/>
  <c r="F724" i="5" s="1"/>
  <c r="F714" i="5"/>
  <c r="F715" i="5"/>
  <c r="F716" i="5"/>
  <c r="F717" i="5"/>
  <c r="F718" i="5"/>
  <c r="F719" i="5"/>
  <c r="F720" i="5"/>
  <c r="F721" i="5"/>
  <c r="F722" i="5"/>
  <c r="F723" i="5"/>
  <c r="F23" i="6" l="1"/>
  <c r="F24" i="6" s="1"/>
  <c r="F25" i="6" s="1"/>
  <c r="F725" i="5"/>
  <c r="F726" i="5" s="1"/>
  <c r="F695" i="5" l="1"/>
  <c r="F694" i="5"/>
  <c r="F693" i="5"/>
  <c r="F692" i="5"/>
  <c r="F691" i="5"/>
  <c r="F690" i="5"/>
  <c r="F689" i="5"/>
  <c r="F688" i="5"/>
  <c r="F687" i="5"/>
  <c r="F686" i="5"/>
  <c r="F685" i="5"/>
  <c r="F684" i="5"/>
  <c r="F683" i="5"/>
  <c r="F682" i="5"/>
  <c r="F681" i="5"/>
  <c r="F664" i="5"/>
  <c r="F663" i="5"/>
  <c r="F662" i="5"/>
  <c r="F661" i="5"/>
  <c r="F660" i="5"/>
  <c r="F659" i="5"/>
  <c r="F658" i="5"/>
  <c r="F657" i="5"/>
  <c r="F656" i="5"/>
  <c r="F655" i="5"/>
  <c r="F654" i="5"/>
  <c r="F653" i="5"/>
  <c r="F652" i="5"/>
  <c r="F651" i="5"/>
  <c r="E650" i="5"/>
  <c r="F650" i="5" s="1"/>
  <c r="E629" i="5"/>
  <c r="E628" i="5"/>
  <c r="E627" i="5"/>
  <c r="E626" i="5"/>
  <c r="E625" i="5"/>
  <c r="E624" i="5"/>
  <c r="E623" i="5"/>
  <c r="E622" i="5"/>
  <c r="E621" i="5"/>
  <c r="E620" i="5"/>
  <c r="E619" i="5"/>
  <c r="F665" i="5" l="1"/>
  <c r="E634" i="5"/>
  <c r="F696" i="5"/>
  <c r="F697" i="5" s="1"/>
  <c r="F698" i="5" s="1"/>
  <c r="F666" i="5"/>
  <c r="F667" i="5" s="1"/>
  <c r="E635" i="5"/>
  <c r="E636" i="5" s="1"/>
  <c r="F602" i="5"/>
  <c r="F601" i="5"/>
  <c r="F600" i="5"/>
  <c r="F599" i="5"/>
  <c r="F598" i="5"/>
  <c r="F597" i="5"/>
  <c r="F596" i="5"/>
  <c r="F595" i="5"/>
  <c r="F594" i="5"/>
  <c r="F593" i="5"/>
  <c r="F592" i="5"/>
  <c r="F591" i="5"/>
  <c r="F590" i="5"/>
  <c r="F589" i="5"/>
  <c r="F588" i="5"/>
  <c r="F603" i="5" l="1"/>
  <c r="F604" i="5" s="1"/>
  <c r="F605" i="5" s="1"/>
  <c r="F526" i="5" l="1"/>
  <c r="F527" i="5"/>
  <c r="F528" i="5"/>
  <c r="F529" i="5"/>
  <c r="F530" i="5"/>
  <c r="F531" i="5"/>
  <c r="F532" i="5"/>
  <c r="F533" i="5"/>
  <c r="F534" i="5"/>
  <c r="F535" i="5"/>
  <c r="F536" i="5"/>
  <c r="F537" i="5"/>
  <c r="F538" i="5"/>
  <c r="F571" i="5" l="1"/>
  <c r="F570" i="5"/>
  <c r="F569" i="5"/>
  <c r="F568" i="5"/>
  <c r="F567" i="5"/>
  <c r="F566" i="5"/>
  <c r="F565" i="5"/>
  <c r="F564" i="5"/>
  <c r="F563" i="5"/>
  <c r="F562" i="5"/>
  <c r="F561" i="5"/>
  <c r="F560" i="5"/>
  <c r="F559" i="5"/>
  <c r="F558" i="5"/>
  <c r="F557" i="5"/>
  <c r="F525" i="5"/>
  <c r="F540" i="5" s="1"/>
  <c r="F508" i="5"/>
  <c r="F507" i="5"/>
  <c r="F506" i="5"/>
  <c r="F505" i="5"/>
  <c r="F504" i="5"/>
  <c r="F503" i="5"/>
  <c r="F502" i="5"/>
  <c r="F501" i="5"/>
  <c r="F500" i="5"/>
  <c r="F499" i="5"/>
  <c r="F498" i="5"/>
  <c r="F497" i="5"/>
  <c r="F496" i="5"/>
  <c r="F495" i="5"/>
  <c r="F494" i="5"/>
  <c r="F493" i="5"/>
  <c r="F509" i="5" l="1"/>
  <c r="F510" i="5" s="1"/>
  <c r="F511" i="5" s="1"/>
  <c r="F572" i="5"/>
  <c r="F573" i="5" s="1"/>
  <c r="F574" i="5" s="1"/>
  <c r="F541" i="5"/>
  <c r="F542" i="5" s="1"/>
  <c r="F476" i="5" l="1"/>
  <c r="F475" i="5"/>
  <c r="F474" i="5"/>
  <c r="F473" i="5"/>
  <c r="F472" i="5"/>
  <c r="F471" i="5"/>
  <c r="F470" i="5"/>
  <c r="F469" i="5"/>
  <c r="F468" i="5"/>
  <c r="F467" i="5"/>
  <c r="F466" i="5"/>
  <c r="F465" i="5"/>
  <c r="F464" i="5"/>
  <c r="F463" i="5"/>
  <c r="F462" i="5"/>
  <c r="F444" i="5"/>
  <c r="F443" i="5"/>
  <c r="F442" i="5"/>
  <c r="F441" i="5"/>
  <c r="F440" i="5"/>
  <c r="F439" i="5"/>
  <c r="F438" i="5"/>
  <c r="F437" i="5"/>
  <c r="F436" i="5"/>
  <c r="F435" i="5"/>
  <c r="F434" i="5"/>
  <c r="F433" i="5"/>
  <c r="F432" i="5"/>
  <c r="F431" i="5"/>
  <c r="F430" i="5"/>
  <c r="F277" i="5"/>
  <c r="F445" i="5" l="1"/>
  <c r="F446" i="5" s="1"/>
  <c r="F447" i="5" s="1"/>
  <c r="F477" i="5"/>
  <c r="F478" i="5" s="1"/>
  <c r="F479" i="5" s="1"/>
  <c r="F411" i="5" l="1"/>
  <c r="F410" i="5"/>
  <c r="F409" i="5"/>
  <c r="F408" i="5"/>
  <c r="F407" i="5"/>
  <c r="F406" i="5"/>
  <c r="F405" i="5"/>
  <c r="F404" i="5"/>
  <c r="F403" i="5"/>
  <c r="F402" i="5"/>
  <c r="F401" i="5"/>
  <c r="F400" i="5"/>
  <c r="F399" i="5"/>
  <c r="F398" i="5"/>
  <c r="F381" i="5"/>
  <c r="F380" i="5"/>
  <c r="F379" i="5"/>
  <c r="F378" i="5"/>
  <c r="F377" i="5"/>
  <c r="F376" i="5"/>
  <c r="F375" i="5"/>
  <c r="F374" i="5"/>
  <c r="F373" i="5"/>
  <c r="F372" i="5"/>
  <c r="F371" i="5"/>
  <c r="F370" i="5"/>
  <c r="F369" i="5"/>
  <c r="F368" i="5"/>
  <c r="F367" i="5"/>
  <c r="F349" i="5"/>
  <c r="F348" i="5"/>
  <c r="F347" i="5"/>
  <c r="F346" i="5"/>
  <c r="F345" i="5"/>
  <c r="F344" i="5"/>
  <c r="F343" i="5"/>
  <c r="F342" i="5"/>
  <c r="F341" i="5"/>
  <c r="F339" i="5"/>
  <c r="F338" i="5"/>
  <c r="F337" i="5"/>
  <c r="F336" i="5"/>
  <c r="F335" i="5"/>
  <c r="F334" i="5"/>
  <c r="F333" i="5"/>
  <c r="F332" i="5"/>
  <c r="F315" i="5"/>
  <c r="F314" i="5"/>
  <c r="F313" i="5"/>
  <c r="F312" i="5"/>
  <c r="F311" i="5"/>
  <c r="F310" i="5"/>
  <c r="F309" i="5"/>
  <c r="F308" i="5"/>
  <c r="F307" i="5"/>
  <c r="F306" i="5"/>
  <c r="F305" i="5"/>
  <c r="F304" i="5"/>
  <c r="F303" i="5"/>
  <c r="F302" i="5"/>
  <c r="F301" i="5"/>
  <c r="F282" i="5"/>
  <c r="F281" i="5"/>
  <c r="F280" i="5"/>
  <c r="F279" i="5"/>
  <c r="F278" i="5"/>
  <c r="F276" i="5"/>
  <c r="F275" i="5"/>
  <c r="F274" i="5"/>
  <c r="F273" i="5"/>
  <c r="F272" i="5"/>
  <c r="F271" i="5"/>
  <c r="F270" i="5"/>
  <c r="F269" i="5"/>
  <c r="F268" i="5"/>
  <c r="F267" i="5"/>
  <c r="F266" i="5"/>
  <c r="F265" i="5"/>
  <c r="F264" i="5"/>
  <c r="F263" i="5"/>
  <c r="F246" i="5"/>
  <c r="F245" i="5"/>
  <c r="F244" i="5"/>
  <c r="F243" i="5"/>
  <c r="F242" i="5"/>
  <c r="F241" i="5"/>
  <c r="F240" i="5"/>
  <c r="F239" i="5"/>
  <c r="F238" i="5"/>
  <c r="F237" i="5"/>
  <c r="F236" i="5"/>
  <c r="F235" i="5"/>
  <c r="F234" i="5"/>
  <c r="F233" i="5"/>
  <c r="F232" i="5"/>
  <c r="F214" i="5"/>
  <c r="F213" i="5"/>
  <c r="F212" i="5"/>
  <c r="F211" i="5"/>
  <c r="F210" i="5"/>
  <c r="F209" i="5"/>
  <c r="F208" i="5"/>
  <c r="F207" i="5"/>
  <c r="F206" i="5"/>
  <c r="F205" i="5"/>
  <c r="F204" i="5"/>
  <c r="F203" i="5"/>
  <c r="F202" i="5"/>
  <c r="F201" i="5"/>
  <c r="F200" i="5"/>
  <c r="F182" i="5"/>
  <c r="F181" i="5"/>
  <c r="F180" i="5"/>
  <c r="F179" i="5"/>
  <c r="F178" i="5"/>
  <c r="F177" i="5"/>
  <c r="F176" i="5"/>
  <c r="F175" i="5"/>
  <c r="F174" i="5"/>
  <c r="F173" i="5"/>
  <c r="F172" i="5"/>
  <c r="F171" i="5"/>
  <c r="F170" i="5"/>
  <c r="F169" i="5"/>
  <c r="F168" i="5"/>
  <c r="F138" i="5"/>
  <c r="F152" i="5" s="1"/>
  <c r="F121" i="5"/>
  <c r="F120" i="5"/>
  <c r="F119" i="5"/>
  <c r="F118" i="5"/>
  <c r="F117" i="5"/>
  <c r="F116" i="5"/>
  <c r="F115" i="5"/>
  <c r="F114" i="5"/>
  <c r="F113" i="5"/>
  <c r="F112" i="5"/>
  <c r="F111" i="5"/>
  <c r="F110" i="5"/>
  <c r="F109" i="5"/>
  <c r="F108" i="5"/>
  <c r="F107" i="5"/>
  <c r="F413" i="5" l="1"/>
  <c r="F414" i="5" s="1"/>
  <c r="F415" i="5" s="1"/>
  <c r="F382" i="5"/>
  <c r="F383" i="5" s="1"/>
  <c r="F384" i="5" s="1"/>
  <c r="F183" i="5"/>
  <c r="F215" i="5"/>
  <c r="F216" i="5" s="1"/>
  <c r="F316" i="5"/>
  <c r="F317" i="5" s="1"/>
  <c r="F318" i="5" s="1"/>
  <c r="F283" i="5"/>
  <c r="F284" i="5" s="1"/>
  <c r="F285" i="5" s="1"/>
  <c r="F350" i="5"/>
  <c r="F351" i="5" s="1"/>
  <c r="F247" i="5"/>
  <c r="F248" i="5" s="1"/>
  <c r="F249" i="5" s="1"/>
  <c r="F217" i="5"/>
  <c r="F184" i="5"/>
  <c r="F185" i="5" s="1"/>
  <c r="F153" i="5"/>
  <c r="F154" i="5" s="1"/>
  <c r="F122" i="5"/>
  <c r="F123" i="5" s="1"/>
  <c r="F124" i="5" s="1"/>
  <c r="F352" i="5" l="1"/>
  <c r="F90" i="5" l="1"/>
  <c r="F89" i="5"/>
  <c r="F88" i="5"/>
  <c r="F87" i="5"/>
  <c r="F86" i="5"/>
  <c r="F85" i="5"/>
  <c r="F84" i="5"/>
  <c r="F83" i="5"/>
  <c r="F82" i="5"/>
  <c r="F81" i="5"/>
  <c r="F80" i="5"/>
  <c r="F79" i="5"/>
  <c r="F78" i="5"/>
  <c r="F77" i="5"/>
  <c r="F76" i="5"/>
  <c r="F59" i="5"/>
  <c r="F58" i="5"/>
  <c r="F57" i="5"/>
  <c r="F56" i="5"/>
  <c r="F55" i="5"/>
  <c r="F54" i="5"/>
  <c r="F53" i="5"/>
  <c r="F52" i="5"/>
  <c r="F51" i="5"/>
  <c r="F50" i="5"/>
  <c r="F49" i="5"/>
  <c r="F48" i="5"/>
  <c r="F47" i="5"/>
  <c r="F46" i="5"/>
  <c r="F45" i="5"/>
  <c r="F27" i="5"/>
  <c r="F26" i="5"/>
  <c r="F25" i="5"/>
  <c r="F24" i="5"/>
  <c r="F23" i="5"/>
  <c r="F22" i="5"/>
  <c r="F21" i="5"/>
  <c r="F20" i="5"/>
  <c r="F19" i="5"/>
  <c r="F18" i="5"/>
  <c r="F17" i="5"/>
  <c r="F16" i="5"/>
  <c r="F15" i="5"/>
  <c r="F14" i="5"/>
  <c r="F13" i="5"/>
  <c r="F91" i="5" l="1"/>
  <c r="F92" i="5" s="1"/>
  <c r="F93" i="5" s="1"/>
  <c r="F60" i="5"/>
  <c r="F61" i="5" s="1"/>
  <c r="F62" i="5" s="1"/>
  <c r="F28" i="5"/>
  <c r="F29" i="5" s="1"/>
  <c r="F30" i="5" s="1"/>
  <c r="E223" i="4" l="1"/>
  <c r="F223" i="4" s="1"/>
  <c r="F367" i="4"/>
  <c r="F366" i="4"/>
  <c r="F365" i="4"/>
  <c r="F364" i="4"/>
  <c r="F363" i="4"/>
  <c r="F362" i="4"/>
  <c r="F361" i="4"/>
  <c r="F360" i="4"/>
  <c r="F359" i="4"/>
  <c r="F358" i="4"/>
  <c r="F357" i="4"/>
  <c r="F356" i="4"/>
  <c r="F355" i="4"/>
  <c r="F354" i="4"/>
  <c r="F353" i="4"/>
  <c r="F335" i="4"/>
  <c r="F334" i="4"/>
  <c r="F333" i="4"/>
  <c r="F332" i="4"/>
  <c r="F331" i="4"/>
  <c r="F330" i="4"/>
  <c r="F329" i="4"/>
  <c r="F328" i="4"/>
  <c r="F327" i="4"/>
  <c r="F326" i="4"/>
  <c r="F325" i="4"/>
  <c r="F324" i="4"/>
  <c r="F323" i="4"/>
  <c r="F322" i="4"/>
  <c r="F321" i="4"/>
  <c r="F303" i="4"/>
  <c r="F302" i="4"/>
  <c r="F301" i="4"/>
  <c r="F300" i="4"/>
  <c r="F299" i="4"/>
  <c r="F298" i="4"/>
  <c r="F297" i="4"/>
  <c r="F296" i="4"/>
  <c r="F295" i="4"/>
  <c r="F294" i="4"/>
  <c r="F293" i="4"/>
  <c r="F292" i="4"/>
  <c r="F291" i="4"/>
  <c r="F290" i="4"/>
  <c r="F289" i="4"/>
  <c r="F288" i="4"/>
  <c r="F287" i="4"/>
  <c r="F286" i="4"/>
  <c r="F268" i="4"/>
  <c r="F267" i="4"/>
  <c r="F266" i="4"/>
  <c r="F265" i="4"/>
  <c r="F264" i="4"/>
  <c r="F263" i="4"/>
  <c r="F262" i="4"/>
  <c r="F261" i="4"/>
  <c r="F260" i="4"/>
  <c r="F259" i="4"/>
  <c r="F258" i="4"/>
  <c r="F257" i="4"/>
  <c r="F256" i="4"/>
  <c r="F255" i="4"/>
  <c r="F254" i="4"/>
  <c r="F237" i="4"/>
  <c r="F236" i="4"/>
  <c r="F235" i="4"/>
  <c r="F234" i="4"/>
  <c r="F233" i="4"/>
  <c r="F232" i="4"/>
  <c r="F231" i="4"/>
  <c r="F230" i="4"/>
  <c r="F229" i="4"/>
  <c r="F228" i="4"/>
  <c r="F227" i="4"/>
  <c r="F226" i="4"/>
  <c r="F225" i="4"/>
  <c r="F224" i="4"/>
  <c r="E202" i="4"/>
  <c r="E201" i="4"/>
  <c r="E200" i="4"/>
  <c r="E199" i="4"/>
  <c r="E198" i="4"/>
  <c r="E197" i="4"/>
  <c r="E196" i="4"/>
  <c r="E195" i="4"/>
  <c r="E194" i="4"/>
  <c r="E193" i="4"/>
  <c r="E192" i="4"/>
  <c r="F168" i="4"/>
  <c r="F167" i="4"/>
  <c r="F166" i="4"/>
  <c r="F164" i="4"/>
  <c r="F163" i="4"/>
  <c r="F145" i="4"/>
  <c r="F144" i="4"/>
  <c r="F143" i="4"/>
  <c r="F142" i="4"/>
  <c r="F141" i="4"/>
  <c r="F140" i="4"/>
  <c r="F139" i="4"/>
  <c r="F138" i="4"/>
  <c r="F137" i="4"/>
  <c r="F136" i="4"/>
  <c r="F135" i="4"/>
  <c r="F134" i="4"/>
  <c r="F133" i="4"/>
  <c r="F115" i="4"/>
  <c r="F114" i="4"/>
  <c r="F113" i="4"/>
  <c r="F112" i="4"/>
  <c r="F111" i="4"/>
  <c r="F110" i="4"/>
  <c r="F109" i="4"/>
  <c r="F108" i="4"/>
  <c r="F107" i="4"/>
  <c r="F106" i="4"/>
  <c r="F88" i="4"/>
  <c r="F87" i="4"/>
  <c r="F86" i="4"/>
  <c r="F85" i="4"/>
  <c r="F84" i="4"/>
  <c r="F83" i="4"/>
  <c r="F82" i="4"/>
  <c r="F81" i="4"/>
  <c r="F80" i="4"/>
  <c r="F79" i="4"/>
  <c r="F78" i="4"/>
  <c r="F77" i="4"/>
  <c r="F76" i="4"/>
  <c r="F75" i="4"/>
  <c r="F74" i="4"/>
  <c r="F57" i="4"/>
  <c r="F56" i="4"/>
  <c r="F55" i="4"/>
  <c r="F54" i="4"/>
  <c r="F53" i="4"/>
  <c r="F52" i="4"/>
  <c r="F51" i="4"/>
  <c r="F50" i="4"/>
  <c r="F49" i="4"/>
  <c r="F48" i="4"/>
  <c r="F47" i="4"/>
  <c r="F46" i="4"/>
  <c r="F45" i="4"/>
  <c r="F44" i="4"/>
  <c r="F43" i="4"/>
  <c r="F26" i="4"/>
  <c r="F25" i="4"/>
  <c r="F24" i="4"/>
  <c r="F23" i="4"/>
  <c r="F22" i="4"/>
  <c r="F21" i="4"/>
  <c r="F20" i="4"/>
  <c r="F19" i="4"/>
  <c r="F18" i="4"/>
  <c r="F17" i="4"/>
  <c r="F16" i="4"/>
  <c r="F15" i="4"/>
  <c r="F14" i="4"/>
  <c r="F13" i="4"/>
  <c r="F12" i="4"/>
  <c r="F519" i="3"/>
  <c r="F518" i="3"/>
  <c r="F517" i="3"/>
  <c r="F516" i="3"/>
  <c r="F515" i="3"/>
  <c r="F514" i="3"/>
  <c r="F513" i="3"/>
  <c r="F512" i="3"/>
  <c r="F511" i="3"/>
  <c r="F510" i="3"/>
  <c r="F509" i="3"/>
  <c r="F508" i="3"/>
  <c r="F507" i="3"/>
  <c r="F506" i="3"/>
  <c r="F505" i="3"/>
  <c r="F487" i="3"/>
  <c r="F486" i="3"/>
  <c r="F485" i="3"/>
  <c r="F484" i="3"/>
  <c r="F483" i="3"/>
  <c r="F482" i="3"/>
  <c r="F481" i="3"/>
  <c r="F480" i="3"/>
  <c r="F479" i="3"/>
  <c r="F478" i="3"/>
  <c r="F477" i="3"/>
  <c r="F460" i="3"/>
  <c r="F459" i="3"/>
  <c r="F458" i="3"/>
  <c r="F457" i="3"/>
  <c r="F456" i="3"/>
  <c r="F455" i="3"/>
  <c r="F454" i="3"/>
  <c r="F453" i="3"/>
  <c r="F452" i="3"/>
  <c r="F451" i="3"/>
  <c r="F450" i="3"/>
  <c r="F449" i="3"/>
  <c r="F448" i="3"/>
  <c r="F447" i="3"/>
  <c r="F446" i="3"/>
  <c r="F429" i="3"/>
  <c r="F428" i="3"/>
  <c r="F427" i="3"/>
  <c r="F426" i="3"/>
  <c r="F425" i="3"/>
  <c r="F424" i="3"/>
  <c r="F423" i="3"/>
  <c r="F422" i="3"/>
  <c r="F421" i="3"/>
  <c r="F420" i="3"/>
  <c r="F419" i="3"/>
  <c r="F418" i="3"/>
  <c r="F417" i="3"/>
  <c r="F416" i="3"/>
  <c r="F415" i="3"/>
  <c r="F398" i="3"/>
  <c r="F397" i="3"/>
  <c r="F396" i="3"/>
  <c r="F395" i="3"/>
  <c r="F394" i="3"/>
  <c r="F393" i="3"/>
  <c r="F392" i="3"/>
  <c r="F391" i="3"/>
  <c r="F390" i="3"/>
  <c r="F389" i="3"/>
  <c r="F388" i="3"/>
  <c r="F387" i="3"/>
  <c r="F386" i="3"/>
  <c r="F385" i="3"/>
  <c r="F384" i="3"/>
  <c r="E89" i="1"/>
  <c r="E59" i="1"/>
  <c r="F366" i="3"/>
  <c r="F365" i="3"/>
  <c r="F364" i="3"/>
  <c r="F363" i="3"/>
  <c r="F362" i="3"/>
  <c r="F361" i="3"/>
  <c r="F360" i="3"/>
  <c r="F359" i="3"/>
  <c r="F358" i="3"/>
  <c r="F357" i="3"/>
  <c r="F356" i="3"/>
  <c r="F355" i="3"/>
  <c r="F354" i="3"/>
  <c r="F353" i="3"/>
  <c r="F352" i="3"/>
  <c r="F334" i="3"/>
  <c r="F333" i="3"/>
  <c r="F332" i="3"/>
  <c r="F331" i="3"/>
  <c r="F330" i="3"/>
  <c r="F329" i="3"/>
  <c r="F328" i="3"/>
  <c r="F327" i="3"/>
  <c r="F326" i="3"/>
  <c r="F325" i="3"/>
  <c r="F324" i="3"/>
  <c r="F323" i="3"/>
  <c r="F322" i="3"/>
  <c r="F321" i="3"/>
  <c r="A320" i="3"/>
  <c r="F320" i="3" s="1"/>
  <c r="F301" i="3"/>
  <c r="F300" i="3"/>
  <c r="F299" i="3"/>
  <c r="F298" i="3"/>
  <c r="F297" i="3"/>
  <c r="F296" i="3"/>
  <c r="F295" i="3"/>
  <c r="F294" i="3"/>
  <c r="F293" i="3"/>
  <c r="F292" i="3"/>
  <c r="F291" i="3"/>
  <c r="F290" i="3"/>
  <c r="F289" i="3"/>
  <c r="F288" i="3"/>
  <c r="F287" i="3"/>
  <c r="A286" i="3"/>
  <c r="F286" i="3" s="1"/>
  <c r="A285" i="3"/>
  <c r="F285" i="3" s="1"/>
  <c r="F284" i="3"/>
  <c r="F283" i="3"/>
  <c r="F282" i="3"/>
  <c r="I249" i="3"/>
  <c r="F263" i="3"/>
  <c r="F262" i="3"/>
  <c r="F261" i="3"/>
  <c r="F260" i="3"/>
  <c r="F259" i="3"/>
  <c r="F258" i="3"/>
  <c r="F257" i="3"/>
  <c r="F256" i="3"/>
  <c r="F255" i="3"/>
  <c r="F254" i="3"/>
  <c r="F253" i="3"/>
  <c r="F252" i="3"/>
  <c r="F251" i="3"/>
  <c r="F250" i="3"/>
  <c r="F249" i="3"/>
  <c r="F231" i="3"/>
  <c r="F230" i="3"/>
  <c r="F229" i="3"/>
  <c r="F228" i="3"/>
  <c r="F227" i="3"/>
  <c r="F226" i="3"/>
  <c r="F225" i="3"/>
  <c r="F224" i="3"/>
  <c r="F223" i="3"/>
  <c r="F222" i="3"/>
  <c r="F221" i="3"/>
  <c r="F220" i="3"/>
  <c r="F219" i="3"/>
  <c r="F218" i="3"/>
  <c r="F217" i="3"/>
  <c r="F200" i="3"/>
  <c r="F199" i="3"/>
  <c r="F198" i="3"/>
  <c r="F197" i="3"/>
  <c r="F196" i="3"/>
  <c r="F195" i="3"/>
  <c r="F194" i="3"/>
  <c r="F193" i="3"/>
  <c r="F192" i="3"/>
  <c r="F191" i="3"/>
  <c r="F190" i="3"/>
  <c r="F189" i="3"/>
  <c r="F188" i="3"/>
  <c r="F187" i="3"/>
  <c r="F186" i="3"/>
  <c r="F185" i="3"/>
  <c r="F184" i="3"/>
  <c r="F183" i="3"/>
  <c r="E52" i="3"/>
  <c r="F52" i="3" s="1"/>
  <c r="F166" i="3"/>
  <c r="F165" i="3"/>
  <c r="F164" i="3"/>
  <c r="F163" i="3"/>
  <c r="F162" i="3"/>
  <c r="F161" i="3"/>
  <c r="F160" i="3"/>
  <c r="F159" i="3"/>
  <c r="F158" i="3"/>
  <c r="F157" i="3"/>
  <c r="F156" i="3"/>
  <c r="F155" i="3"/>
  <c r="F154" i="3"/>
  <c r="F153" i="3"/>
  <c r="F152" i="3"/>
  <c r="F151" i="3"/>
  <c r="F150" i="3"/>
  <c r="F149" i="3"/>
  <c r="F132" i="3"/>
  <c r="F131" i="3"/>
  <c r="F130" i="3"/>
  <c r="F129" i="3"/>
  <c r="F128" i="3"/>
  <c r="F127" i="3"/>
  <c r="F126" i="3"/>
  <c r="F125" i="3"/>
  <c r="F124" i="3"/>
  <c r="F123" i="3"/>
  <c r="F122" i="3"/>
  <c r="F121" i="3"/>
  <c r="F120" i="3"/>
  <c r="F119" i="3"/>
  <c r="F118" i="3"/>
  <c r="F117" i="3"/>
  <c r="F116" i="3"/>
  <c r="F115" i="3"/>
  <c r="F97" i="3"/>
  <c r="F96" i="3"/>
  <c r="F95" i="3"/>
  <c r="F94" i="3"/>
  <c r="F93" i="3"/>
  <c r="F92" i="3"/>
  <c r="F91" i="3"/>
  <c r="F90" i="3"/>
  <c r="F89" i="3"/>
  <c r="F88" i="3"/>
  <c r="F87" i="3"/>
  <c r="F86" i="3"/>
  <c r="F85" i="3"/>
  <c r="F84" i="3"/>
  <c r="F83" i="3"/>
  <c r="F82" i="3"/>
  <c r="F81" i="3"/>
  <c r="F80" i="3"/>
  <c r="F15" i="3"/>
  <c r="F16" i="3"/>
  <c r="F17" i="3"/>
  <c r="F18" i="3"/>
  <c r="F19" i="3"/>
  <c r="F20" i="3"/>
  <c r="F21" i="3"/>
  <c r="F22" i="3"/>
  <c r="F23" i="3"/>
  <c r="F24" i="3"/>
  <c r="F25" i="3"/>
  <c r="F26" i="3"/>
  <c r="F27" i="3"/>
  <c r="F50" i="3"/>
  <c r="F51" i="3"/>
  <c r="F53" i="3"/>
  <c r="F54" i="3"/>
  <c r="F55" i="3"/>
  <c r="F56" i="3"/>
  <c r="F57" i="3"/>
  <c r="F58" i="3"/>
  <c r="F59" i="3"/>
  <c r="F60" i="3"/>
  <c r="F61" i="3"/>
  <c r="F62" i="3"/>
  <c r="F64" i="3"/>
  <c r="F63" i="3"/>
  <c r="F49" i="3"/>
  <c r="F48" i="3"/>
  <c r="F47" i="3"/>
  <c r="F29" i="3"/>
  <c r="F28" i="3"/>
  <c r="F14" i="3"/>
  <c r="F13" i="3"/>
  <c r="F12" i="3"/>
  <c r="E1450" i="2"/>
  <c r="E1449" i="2"/>
  <c r="E1448" i="2"/>
  <c r="E1447" i="2"/>
  <c r="E1446" i="2"/>
  <c r="E1445" i="2"/>
  <c r="E1444" i="2"/>
  <c r="E1443" i="2"/>
  <c r="E1442" i="2"/>
  <c r="E1441" i="2"/>
  <c r="E1440" i="2"/>
  <c r="E1439" i="2"/>
  <c r="E1438" i="2"/>
  <c r="E1437" i="2"/>
  <c r="E1354" i="2"/>
  <c r="E1355" i="2"/>
  <c r="E1356" i="2"/>
  <c r="E1357" i="2"/>
  <c r="E1358" i="2"/>
  <c r="E1359" i="2"/>
  <c r="E1360" i="2"/>
  <c r="E1361" i="2"/>
  <c r="E1362" i="2"/>
  <c r="E1363" i="2"/>
  <c r="E1364" i="2"/>
  <c r="E1365" i="2"/>
  <c r="E1366" i="2"/>
  <c r="E1323" i="2"/>
  <c r="E1324" i="2"/>
  <c r="E1325" i="2"/>
  <c r="F1421" i="2"/>
  <c r="F1420" i="2"/>
  <c r="F1419" i="2"/>
  <c r="F1418" i="2"/>
  <c r="F1417" i="2"/>
  <c r="F1416" i="2"/>
  <c r="F1415" i="2"/>
  <c r="F1414" i="2"/>
  <c r="E1385" i="2"/>
  <c r="E1386" i="2"/>
  <c r="E1387" i="2"/>
  <c r="E1388" i="2"/>
  <c r="E1389" i="2"/>
  <c r="E1390" i="2"/>
  <c r="E1391" i="2"/>
  <c r="E1392" i="2"/>
  <c r="E1393" i="2"/>
  <c r="E1394" i="2"/>
  <c r="E1384" i="2"/>
  <c r="E1353" i="2"/>
  <c r="E1336" i="2"/>
  <c r="E1335" i="2"/>
  <c r="E1334" i="2"/>
  <c r="E1333" i="2"/>
  <c r="E1332" i="2"/>
  <c r="E1331" i="2"/>
  <c r="E1330" i="2"/>
  <c r="E1329" i="2"/>
  <c r="E1328" i="2"/>
  <c r="E1327" i="2"/>
  <c r="E1326" i="2"/>
  <c r="E1305" i="2"/>
  <c r="E1304" i="2"/>
  <c r="E1303" i="2"/>
  <c r="E1302" i="2"/>
  <c r="E1301" i="2"/>
  <c r="E1300" i="2"/>
  <c r="E1299" i="2"/>
  <c r="E1298" i="2"/>
  <c r="E1297" i="2"/>
  <c r="E1296" i="2"/>
  <c r="E1295" i="2"/>
  <c r="E1294" i="2"/>
  <c r="E1293" i="2"/>
  <c r="E1292" i="2"/>
  <c r="F1276" i="2"/>
  <c r="F1275" i="2"/>
  <c r="F1274" i="2"/>
  <c r="F1273" i="2"/>
  <c r="F1272" i="2"/>
  <c r="F1271" i="2"/>
  <c r="F1270" i="2"/>
  <c r="F1269" i="2"/>
  <c r="F1268" i="2"/>
  <c r="F1267" i="2"/>
  <c r="F1266" i="2"/>
  <c r="F1265" i="2"/>
  <c r="F1264" i="2"/>
  <c r="F1263" i="2"/>
  <c r="F1262" i="2"/>
  <c r="F1245" i="2"/>
  <c r="F1244" i="2"/>
  <c r="F1243" i="2"/>
  <c r="F1242" i="2"/>
  <c r="F1241" i="2"/>
  <c r="F1240" i="2"/>
  <c r="F1239" i="2"/>
  <c r="F1238" i="2"/>
  <c r="F1237" i="2"/>
  <c r="F1236" i="2"/>
  <c r="F1235" i="2"/>
  <c r="F1234" i="2"/>
  <c r="F1233" i="2"/>
  <c r="F1232" i="2"/>
  <c r="F1231" i="2"/>
  <c r="E1212" i="2"/>
  <c r="E1211" i="2"/>
  <c r="E1210" i="2"/>
  <c r="E1209" i="2"/>
  <c r="E1208" i="2"/>
  <c r="E1207" i="2"/>
  <c r="E1206" i="2"/>
  <c r="E1205" i="2"/>
  <c r="E1204" i="2"/>
  <c r="E1203" i="2"/>
  <c r="E1202" i="2"/>
  <c r="E1201" i="2"/>
  <c r="E1200" i="2"/>
  <c r="F1183" i="2"/>
  <c r="F1182" i="2"/>
  <c r="F1181" i="2"/>
  <c r="F1180" i="2"/>
  <c r="F1179" i="2"/>
  <c r="F1178" i="2"/>
  <c r="F1177" i="2"/>
  <c r="F1176" i="2"/>
  <c r="F1175" i="2"/>
  <c r="F1174" i="2"/>
  <c r="F1173" i="2"/>
  <c r="F1172" i="2"/>
  <c r="F1171" i="2"/>
  <c r="F1170" i="2"/>
  <c r="F1169" i="2"/>
  <c r="E1150" i="2"/>
  <c r="E1149" i="2"/>
  <c r="E1148" i="2"/>
  <c r="E1147" i="2"/>
  <c r="E1146" i="2"/>
  <c r="E1145" i="2"/>
  <c r="E1144" i="2"/>
  <c r="E1143" i="2"/>
  <c r="E1142" i="2"/>
  <c r="E1141" i="2"/>
  <c r="E1140" i="2"/>
  <c r="E1139" i="2"/>
  <c r="E1138" i="2"/>
  <c r="A1105" i="2"/>
  <c r="F1105" i="2" s="1"/>
  <c r="A1106" i="2"/>
  <c r="F1121" i="2"/>
  <c r="F1120" i="2"/>
  <c r="F1119" i="2"/>
  <c r="F1118" i="2"/>
  <c r="F1117" i="2"/>
  <c r="F1116" i="2"/>
  <c r="F1115" i="2"/>
  <c r="F1114" i="2"/>
  <c r="F1113" i="2"/>
  <c r="F1112" i="2"/>
  <c r="F1111" i="2"/>
  <c r="F1110" i="2"/>
  <c r="F1109" i="2"/>
  <c r="F1108" i="2"/>
  <c r="F1107" i="2"/>
  <c r="F1106" i="2"/>
  <c r="F1104" i="2"/>
  <c r="F1103" i="2"/>
  <c r="F1102" i="2"/>
  <c r="A1070" i="2"/>
  <c r="F1084" i="2"/>
  <c r="F1083" i="2"/>
  <c r="F1082" i="2"/>
  <c r="F1081" i="2"/>
  <c r="F1080" i="2"/>
  <c r="F1079" i="2"/>
  <c r="F1078" i="2"/>
  <c r="F1077" i="2"/>
  <c r="F1076" i="2"/>
  <c r="F1075" i="2"/>
  <c r="F1074" i="2"/>
  <c r="F1073" i="2"/>
  <c r="F1072" i="2"/>
  <c r="F1071" i="2"/>
  <c r="F1070" i="2"/>
  <c r="F1052" i="2"/>
  <c r="F1051" i="2"/>
  <c r="F1050" i="2"/>
  <c r="F1049" i="2"/>
  <c r="F1048" i="2"/>
  <c r="F1047" i="2"/>
  <c r="F1046" i="2"/>
  <c r="F1045" i="2"/>
  <c r="F1044" i="2"/>
  <c r="F1043" i="2"/>
  <c r="F1042" i="2"/>
  <c r="F1041" i="2"/>
  <c r="F1040" i="2"/>
  <c r="F1039" i="2"/>
  <c r="F1038" i="2"/>
  <c r="E10" i="2"/>
  <c r="E25" i="2" s="1"/>
  <c r="E40" i="2"/>
  <c r="E55" i="2" s="1"/>
  <c r="E70" i="2"/>
  <c r="E85" i="2" s="1"/>
  <c r="E101" i="2"/>
  <c r="E116" i="2" s="1"/>
  <c r="E131" i="2"/>
  <c r="E146" i="2" s="1"/>
  <c r="E161" i="2"/>
  <c r="E162" i="2"/>
  <c r="E163" i="2"/>
  <c r="E164" i="2"/>
  <c r="E191" i="2"/>
  <c r="E193" i="2"/>
  <c r="E222" i="2"/>
  <c r="E223" i="2"/>
  <c r="E224" i="2"/>
  <c r="E225" i="2"/>
  <c r="E226" i="2"/>
  <c r="E227" i="2"/>
  <c r="E228" i="2"/>
  <c r="E229" i="2"/>
  <c r="E230" i="2"/>
  <c r="E231" i="2"/>
  <c r="E232" i="2"/>
  <c r="E233" i="2"/>
  <c r="E234" i="2"/>
  <c r="E235" i="2"/>
  <c r="E253" i="2"/>
  <c r="E254" i="2"/>
  <c r="E255" i="2"/>
  <c r="E256" i="2"/>
  <c r="E257" i="2"/>
  <c r="E258" i="2"/>
  <c r="E259" i="2"/>
  <c r="E260" i="2"/>
  <c r="E261" i="2"/>
  <c r="E262" i="2"/>
  <c r="E263" i="2"/>
  <c r="E264" i="2"/>
  <c r="E265" i="2"/>
  <c r="E283" i="2"/>
  <c r="E284" i="2"/>
  <c r="E285" i="2"/>
  <c r="E286" i="2"/>
  <c r="E287" i="2"/>
  <c r="E288" i="2"/>
  <c r="E289" i="2"/>
  <c r="E290" i="2"/>
  <c r="E291" i="2"/>
  <c r="E292" i="2"/>
  <c r="E293" i="2"/>
  <c r="E294" i="2"/>
  <c r="E295" i="2"/>
  <c r="E296" i="2"/>
  <c r="D313" i="2"/>
  <c r="E313" i="2" s="1"/>
  <c r="D314"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D356" i="2"/>
  <c r="E356" i="2"/>
  <c r="E357" i="2"/>
  <c r="E358" i="2"/>
  <c r="E359" i="2"/>
  <c r="E371" i="2"/>
  <c r="E386" i="2"/>
  <c r="E401" i="2" s="1"/>
  <c r="E387" i="2"/>
  <c r="E388" i="2"/>
  <c r="E389" i="2"/>
  <c r="E390" i="2"/>
  <c r="E391" i="2"/>
  <c r="E392" i="2"/>
  <c r="E393" i="2"/>
  <c r="E394" i="2"/>
  <c r="E395" i="2"/>
  <c r="E396" i="2"/>
  <c r="E397" i="2"/>
  <c r="E398" i="2"/>
  <c r="E417" i="2"/>
  <c r="E418" i="2"/>
  <c r="E419" i="2"/>
  <c r="E420" i="2"/>
  <c r="E421" i="2"/>
  <c r="E422" i="2"/>
  <c r="E423" i="2"/>
  <c r="E424" i="2"/>
  <c r="E425" i="2"/>
  <c r="E426" i="2"/>
  <c r="E427" i="2"/>
  <c r="E428" i="2"/>
  <c r="E429" i="2"/>
  <c r="E447" i="2"/>
  <c r="E448" i="2"/>
  <c r="E449" i="2"/>
  <c r="E450" i="2"/>
  <c r="E451" i="2"/>
  <c r="E452" i="2"/>
  <c r="E453" i="2"/>
  <c r="E454" i="2"/>
  <c r="E455" i="2"/>
  <c r="E456" i="2"/>
  <c r="E457" i="2"/>
  <c r="E458" i="2"/>
  <c r="E459" i="2"/>
  <c r="E477" i="2"/>
  <c r="E478" i="2"/>
  <c r="E479" i="2"/>
  <c r="E480" i="2"/>
  <c r="E481" i="2"/>
  <c r="E482" i="2"/>
  <c r="E483" i="2"/>
  <c r="E484" i="2"/>
  <c r="E485" i="2"/>
  <c r="E486" i="2"/>
  <c r="E487" i="2"/>
  <c r="E488" i="2"/>
  <c r="E489" i="2"/>
  <c r="E507" i="2"/>
  <c r="E522" i="2" s="1"/>
  <c r="E538" i="2"/>
  <c r="E553" i="2" s="1"/>
  <c r="E568" i="2"/>
  <c r="E583" i="2" s="1"/>
  <c r="E598" i="2"/>
  <c r="E613" i="2" s="1"/>
  <c r="E631" i="2"/>
  <c r="E632" i="2"/>
  <c r="E633" i="2"/>
  <c r="E634" i="2"/>
  <c r="E635" i="2"/>
  <c r="E636" i="2"/>
  <c r="E637" i="2"/>
  <c r="E638" i="2"/>
  <c r="E639" i="2"/>
  <c r="E640" i="2"/>
  <c r="E641" i="2"/>
  <c r="E642" i="2"/>
  <c r="E643" i="2"/>
  <c r="E644" i="2"/>
  <c r="E645" i="2"/>
  <c r="E646" i="2"/>
  <c r="E663" i="2"/>
  <c r="E678" i="2" s="1"/>
  <c r="F694" i="2"/>
  <c r="F695" i="2"/>
  <c r="F697" i="2"/>
  <c r="F698" i="2"/>
  <c r="F699" i="2"/>
  <c r="E724" i="2"/>
  <c r="E739" i="2" s="1"/>
  <c r="E725" i="2"/>
  <c r="F755" i="2"/>
  <c r="F756" i="2"/>
  <c r="F757" i="2"/>
  <c r="F758" i="2"/>
  <c r="F759" i="2"/>
  <c r="F760" i="2"/>
  <c r="F761" i="2"/>
  <c r="F762" i="2"/>
  <c r="F763" i="2"/>
  <c r="F764" i="2"/>
  <c r="F765" i="2"/>
  <c r="F766" i="2"/>
  <c r="F767" i="2"/>
  <c r="F768" i="2"/>
  <c r="F769" i="2"/>
  <c r="E801" i="2"/>
  <c r="E817" i="2"/>
  <c r="E818" i="2"/>
  <c r="E819" i="2"/>
  <c r="E820" i="2"/>
  <c r="E821" i="2"/>
  <c r="E822" i="2"/>
  <c r="E823" i="2"/>
  <c r="E824" i="2"/>
  <c r="E825" i="2"/>
  <c r="E826" i="2"/>
  <c r="E827" i="2"/>
  <c r="E828" i="2"/>
  <c r="E829" i="2"/>
  <c r="E830" i="2"/>
  <c r="F848" i="2"/>
  <c r="F849" i="2"/>
  <c r="F850" i="2"/>
  <c r="F851" i="2"/>
  <c r="F852" i="2"/>
  <c r="F853" i="2"/>
  <c r="F854" i="2"/>
  <c r="F855" i="2"/>
  <c r="F856" i="2"/>
  <c r="F857" i="2"/>
  <c r="F858" i="2"/>
  <c r="F859" i="2"/>
  <c r="F860" i="2"/>
  <c r="F861" i="2"/>
  <c r="F862" i="2"/>
  <c r="E879" i="2"/>
  <c r="E894" i="2" s="1"/>
  <c r="E895" i="2" s="1"/>
  <c r="E896" i="2" s="1"/>
  <c r="E880" i="2"/>
  <c r="E881" i="2"/>
  <c r="E882" i="2"/>
  <c r="E883" i="2"/>
  <c r="E884" i="2"/>
  <c r="E885" i="2"/>
  <c r="E886" i="2"/>
  <c r="E887" i="2"/>
  <c r="E888" i="2"/>
  <c r="E889" i="2"/>
  <c r="E890" i="2"/>
  <c r="E891" i="2"/>
  <c r="F911" i="2"/>
  <c r="F912" i="2"/>
  <c r="F913" i="2"/>
  <c r="F914" i="2"/>
  <c r="F915" i="2"/>
  <c r="F916" i="2"/>
  <c r="F917" i="2"/>
  <c r="F918" i="2"/>
  <c r="F919" i="2"/>
  <c r="F920" i="2"/>
  <c r="F921" i="2"/>
  <c r="F922" i="2"/>
  <c r="F923" i="2"/>
  <c r="F924" i="2"/>
  <c r="F925" i="2"/>
  <c r="F943" i="2"/>
  <c r="F944" i="2"/>
  <c r="F945" i="2"/>
  <c r="F946" i="2"/>
  <c r="F947" i="2"/>
  <c r="F948" i="2"/>
  <c r="F949" i="2"/>
  <c r="F950" i="2"/>
  <c r="F951" i="2"/>
  <c r="F952" i="2"/>
  <c r="F953" i="2"/>
  <c r="F954" i="2"/>
  <c r="F955" i="2"/>
  <c r="F956" i="2"/>
  <c r="F957" i="2"/>
  <c r="F975" i="2"/>
  <c r="F976" i="2"/>
  <c r="F977" i="2"/>
  <c r="F978" i="2"/>
  <c r="F979" i="2"/>
  <c r="F980" i="2"/>
  <c r="F981" i="2"/>
  <c r="F982" i="2"/>
  <c r="F983" i="2"/>
  <c r="F984" i="2"/>
  <c r="F985" i="2"/>
  <c r="F986" i="2"/>
  <c r="F987" i="2"/>
  <c r="F988" i="2"/>
  <c r="F989" i="2"/>
  <c r="E1005" i="2"/>
  <c r="D1006" i="2"/>
  <c r="E1006" i="2"/>
  <c r="E1007" i="2"/>
  <c r="E1008" i="2"/>
  <c r="E1009" i="2"/>
  <c r="E1010" i="2"/>
  <c r="E1011" i="2"/>
  <c r="E1012" i="2"/>
  <c r="E1013" i="2"/>
  <c r="E1014" i="2"/>
  <c r="E1015" i="2"/>
  <c r="E1016" i="2"/>
  <c r="E1017" i="2"/>
  <c r="E1018" i="2"/>
  <c r="E1019" i="2"/>
  <c r="E1020" i="2"/>
  <c r="F863" i="2" l="1"/>
  <c r="E462" i="2"/>
  <c r="E463" i="2" s="1"/>
  <c r="E464" i="2" s="1"/>
  <c r="F1277" i="2"/>
  <c r="E206" i="2"/>
  <c r="F488" i="3"/>
  <c r="F489" i="3" s="1"/>
  <c r="F490" i="3" s="1"/>
  <c r="E832" i="2"/>
  <c r="E833" i="2" s="1"/>
  <c r="E834" i="2" s="1"/>
  <c r="F770" i="2"/>
  <c r="F771" i="2" s="1"/>
  <c r="F772" i="2" s="1"/>
  <c r="E432" i="2"/>
  <c r="E433" i="2" s="1"/>
  <c r="F58" i="4"/>
  <c r="F958" i="2"/>
  <c r="F959" i="2" s="1"/>
  <c r="F960" i="2" s="1"/>
  <c r="E298" i="2"/>
  <c r="E299" i="2" s="1"/>
  <c r="E300" i="2" s="1"/>
  <c r="F89" i="4"/>
  <c r="F90" i="4" s="1"/>
  <c r="F91" i="4" s="1"/>
  <c r="E679" i="2"/>
  <c r="E680" i="2" s="1"/>
  <c r="E117" i="2"/>
  <c r="E118" i="2" s="1"/>
  <c r="E584" i="2"/>
  <c r="E585" i="2"/>
  <c r="E147" i="2"/>
  <c r="E148" i="2" s="1"/>
  <c r="E614" i="2"/>
  <c r="E615" i="2" s="1"/>
  <c r="E740" i="2"/>
  <c r="E741" i="2" s="1"/>
  <c r="F177" i="4"/>
  <c r="F178" i="4" s="1"/>
  <c r="F179" i="4" s="1"/>
  <c r="E1307" i="2"/>
  <c r="E1308" i="2" s="1"/>
  <c r="E1309" i="2" s="1"/>
  <c r="F116" i="4"/>
  <c r="F117" i="4" s="1"/>
  <c r="F118" i="4" s="1"/>
  <c r="F1184" i="2"/>
  <c r="E1399" i="2"/>
  <c r="F167" i="3"/>
  <c r="F1122" i="2"/>
  <c r="F1123" i="2" s="1"/>
  <c r="F1124" i="2" s="1"/>
  <c r="E1215" i="2"/>
  <c r="F430" i="3"/>
  <c r="F335" i="3"/>
  <c r="E176" i="2"/>
  <c r="E177" i="2" s="1"/>
  <c r="F461" i="3"/>
  <c r="F462" i="3" s="1"/>
  <c r="F463" i="3" s="1"/>
  <c r="F238" i="4"/>
  <c r="F239" i="4" s="1"/>
  <c r="F240" i="4" s="1"/>
  <c r="F201" i="3"/>
  <c r="F202" i="3" s="1"/>
  <c r="F203" i="3" s="1"/>
  <c r="F368" i="4"/>
  <c r="F369" i="4" s="1"/>
  <c r="F370" i="4" s="1"/>
  <c r="F336" i="4"/>
  <c r="E207" i="4"/>
  <c r="E208" i="4" s="1"/>
  <c r="E209" i="4" s="1"/>
  <c r="F27" i="4"/>
  <c r="F28" i="4" s="1"/>
  <c r="F146" i="4"/>
  <c r="F147" i="4" s="1"/>
  <c r="F148" i="4" s="1"/>
  <c r="F337" i="4"/>
  <c r="F338" i="4" s="1"/>
  <c r="F304" i="4"/>
  <c r="F305" i="4" s="1"/>
  <c r="F306" i="4" s="1"/>
  <c r="F269" i="4"/>
  <c r="F270" i="4" s="1"/>
  <c r="F271" i="4" s="1"/>
  <c r="F59" i="4"/>
  <c r="F60" i="4" s="1"/>
  <c r="F399" i="3"/>
  <c r="F400" i="3" s="1"/>
  <c r="F401" i="3" s="1"/>
  <c r="F708" i="2"/>
  <c r="F709" i="2" s="1"/>
  <c r="F710" i="2" s="1"/>
  <c r="F367" i="3"/>
  <c r="F368" i="3" s="1"/>
  <c r="F369" i="3" s="1"/>
  <c r="E268" i="2"/>
  <c r="E802" i="2"/>
  <c r="E803" i="2"/>
  <c r="F520" i="3"/>
  <c r="F521" i="3" s="1"/>
  <c r="F522" i="3" s="1"/>
  <c r="F431" i="3"/>
  <c r="F432" i="3" s="1"/>
  <c r="E90" i="1"/>
  <c r="E91" i="1" s="1"/>
  <c r="E60" i="1"/>
  <c r="E61" i="1" s="1"/>
  <c r="F336" i="3"/>
  <c r="F337" i="3" s="1"/>
  <c r="F302" i="3"/>
  <c r="F264" i="3"/>
  <c r="F232" i="3"/>
  <c r="F233" i="3" s="1"/>
  <c r="F234" i="3" s="1"/>
  <c r="F168" i="3"/>
  <c r="F169" i="3" s="1"/>
  <c r="F98" i="3"/>
  <c r="E1452" i="2"/>
  <c r="E1453" i="2" s="1"/>
  <c r="E1454" i="2" s="1"/>
  <c r="F1422" i="2"/>
  <c r="F1423" i="2" s="1"/>
  <c r="F1424" i="2" s="1"/>
  <c r="E492" i="2"/>
  <c r="E493" i="2" s="1"/>
  <c r="E494" i="2" s="1"/>
  <c r="F990" i="2"/>
  <c r="F991" i="2" s="1"/>
  <c r="F992" i="2" s="1"/>
  <c r="F133" i="3"/>
  <c r="F134" i="3" s="1"/>
  <c r="F135" i="3" s="1"/>
  <c r="F99" i="3"/>
  <c r="F100" i="3" s="1"/>
  <c r="F65" i="3"/>
  <c r="F66" i="3" s="1"/>
  <c r="F67" i="3" s="1"/>
  <c r="F30" i="3"/>
  <c r="F31" i="3" s="1"/>
  <c r="F32" i="3" s="1"/>
  <c r="F1246" i="2"/>
  <c r="F1247" i="2" s="1"/>
  <c r="F1248" i="2" s="1"/>
  <c r="E1368" i="2"/>
  <c r="E1369" i="2" s="1"/>
  <c r="E1370" i="2" s="1"/>
  <c r="E1338" i="2"/>
  <c r="E1400" i="2"/>
  <c r="E1401" i="2" s="1"/>
  <c r="F1278" i="2"/>
  <c r="F1279" i="2" s="1"/>
  <c r="E1216" i="2"/>
  <c r="E1217" i="2" s="1"/>
  <c r="F1185" i="2"/>
  <c r="F1186" i="2" s="1"/>
  <c r="E27" i="1"/>
  <c r="E1153" i="2"/>
  <c r="E1154" i="2" s="1"/>
  <c r="E1155" i="2" s="1"/>
  <c r="E237" i="2"/>
  <c r="E341" i="2"/>
  <c r="E1021" i="2"/>
  <c r="F864" i="2"/>
  <c r="F865" i="2" s="1"/>
  <c r="F1053" i="2"/>
  <c r="F1054" i="2" s="1"/>
  <c r="F1055" i="2" s="1"/>
  <c r="E647" i="2"/>
  <c r="E648" i="2" s="1"/>
  <c r="E649" i="2" s="1"/>
  <c r="F926" i="2"/>
  <c r="F927" i="2" s="1"/>
  <c r="F928" i="2" s="1"/>
  <c r="E523" i="2"/>
  <c r="E524" i="2" s="1"/>
  <c r="E554" i="2"/>
  <c r="E555" i="2"/>
  <c r="E1022" i="2"/>
  <c r="E1023" i="2" s="1"/>
  <c r="F1085" i="2"/>
  <c r="F1086" i="2" s="1"/>
  <c r="F1087" i="2" s="1"/>
  <c r="E26" i="2"/>
  <c r="E27" i="2" s="1"/>
  <c r="E56" i="2"/>
  <c r="E57" i="2" s="1"/>
  <c r="E86" i="2"/>
  <c r="E87" i="2" s="1"/>
  <c r="E207" i="2"/>
  <c r="E208" i="2" s="1"/>
  <c r="E372" i="2"/>
  <c r="E373" i="2"/>
  <c r="E402" i="2"/>
  <c r="E403" i="2"/>
  <c r="E178" i="2" l="1"/>
  <c r="E434" i="2"/>
  <c r="F29" i="4"/>
  <c r="E269" i="2"/>
  <c r="E270" i="2"/>
  <c r="F303" i="3"/>
  <c r="F304" i="3" s="1"/>
  <c r="F265" i="3"/>
  <c r="F266" i="3" s="1"/>
  <c r="E28" i="1"/>
  <c r="E29" i="1" s="1"/>
  <c r="E238" i="2"/>
  <c r="E239" i="2" s="1"/>
  <c r="E342" i="2"/>
  <c r="E343" i="2" s="1"/>
  <c r="E1339" i="2"/>
  <c r="E1340" i="2" s="1"/>
</calcChain>
</file>

<file path=xl/sharedStrings.xml><?xml version="1.0" encoding="utf-8"?>
<sst xmlns="http://schemas.openxmlformats.org/spreadsheetml/2006/main" count="4366" uniqueCount="668">
  <si>
    <t>MAZB</t>
  </si>
  <si>
    <t xml:space="preserve">ROSY LARES </t>
  </si>
  <si>
    <t>ING. FRANCISCO RAMOS</t>
  </si>
  <si>
    <t>AUTORIZA</t>
  </si>
  <si>
    <t>ELABORO</t>
  </si>
  <si>
    <t xml:space="preserve">SOLICITA </t>
  </si>
  <si>
    <t>TOTAL</t>
  </si>
  <si>
    <t xml:space="preserve">IVA </t>
  </si>
  <si>
    <t>SUBTOTAL</t>
  </si>
  <si>
    <t>BROCHA 1</t>
  </si>
  <si>
    <t>PZAS</t>
  </si>
  <si>
    <t>BROCHA 2</t>
  </si>
  <si>
    <t>BROCHA 6</t>
  </si>
  <si>
    <t>BROCHA 4</t>
  </si>
  <si>
    <t>FELPA MICRO R</t>
  </si>
  <si>
    <t>FELPA MICRO L</t>
  </si>
  <si>
    <t>PAQUETES C/3 PZAS</t>
  </si>
  <si>
    <t>MANERA 4"</t>
  </si>
  <si>
    <t>MINI ROLL caja con 10 pzas</t>
  </si>
  <si>
    <t>CAJAS</t>
  </si>
  <si>
    <t>LIJA ROJA 150</t>
  </si>
  <si>
    <t>OBSERVACIONES</t>
  </si>
  <si>
    <t>MONTO</t>
  </si>
  <si>
    <t>COSTO UNITARIO</t>
  </si>
  <si>
    <t>DESCRIPCION</t>
  </si>
  <si>
    <t>VOLUMEN</t>
  </si>
  <si>
    <t>CANTIDAD</t>
  </si>
  <si>
    <t>COMEX</t>
  </si>
  <si>
    <t>PROVEEDOR:</t>
  </si>
  <si>
    <t>PARA PINTAR</t>
  </si>
  <si>
    <t xml:space="preserve">MATERIAL </t>
  </si>
  <si>
    <t>SEMANA</t>
  </si>
  <si>
    <t xml:space="preserve">FACTURAR </t>
  </si>
  <si>
    <t>0097-A</t>
  </si>
  <si>
    <t>SOLICITUD NUMERO</t>
  </si>
  <si>
    <t>MAYO 05 2026</t>
  </si>
  <si>
    <t>Fecha de solicitud:</t>
  </si>
  <si>
    <t>ORDEN DE COMPRA</t>
  </si>
  <si>
    <t>OBRA TERRA</t>
  </si>
  <si>
    <t>LIC. MARGARITA LARES</t>
  </si>
  <si>
    <t>CORTADOR AZULEJO 47' (120CM)</t>
  </si>
  <si>
    <t xml:space="preserve">ESCALERA DE TIJERA TIPO III 5 ESCALONES </t>
  </si>
  <si>
    <t>P.U.</t>
  </si>
  <si>
    <t>CODIGO/ MATERIAL</t>
  </si>
  <si>
    <t>COMERCIALIZADORA ECOINTEC</t>
  </si>
  <si>
    <t>CONTRATO CASAS MUESTRA 13 VIVIENDAS</t>
  </si>
  <si>
    <t xml:space="preserve">LOTES: </t>
  </si>
  <si>
    <t>DID</t>
  </si>
  <si>
    <t>FACTURAR:</t>
  </si>
  <si>
    <t>0096</t>
  </si>
  <si>
    <t>NUMERO ORDEN DE COMPRA</t>
  </si>
  <si>
    <t>REQUISICION SEMANA</t>
  </si>
  <si>
    <t>ESMERILADORA 4/1"</t>
  </si>
  <si>
    <t>PZA</t>
  </si>
  <si>
    <t>TALADRO/ ROTOMARTILLO</t>
  </si>
  <si>
    <t>HOME DEPOT</t>
  </si>
  <si>
    <t>0095</t>
  </si>
  <si>
    <t>INDIANA</t>
  </si>
  <si>
    <t>CABLE CAL. 8 NEGRA</t>
  </si>
  <si>
    <t>CABLE CAL. 8 BLANCA</t>
  </si>
  <si>
    <t>CABLE CAL. 10 VERDE</t>
  </si>
  <si>
    <t>CABLE CAL.14  BLANCA</t>
  </si>
  <si>
    <t>CABLE CAL.14  ROJA</t>
  </si>
  <si>
    <t>CABLE CAL.14  NEGRO</t>
  </si>
  <si>
    <t>CABLE CAL.12 ROJA</t>
  </si>
  <si>
    <t>CABLE CAL.12 NEGRO</t>
  </si>
  <si>
    <t>CABLE CAL.12 BLANCA</t>
  </si>
  <si>
    <t>CABLE CAL.12 VERDE</t>
  </si>
  <si>
    <t>LOTES 77,78,79</t>
  </si>
  <si>
    <t>0094</t>
  </si>
  <si>
    <t>MAZ</t>
  </si>
  <si>
    <t>CIMBRAPLAY 18 MM CAFÉ</t>
  </si>
  <si>
    <t>JM MADERERA</t>
  </si>
  <si>
    <t>LOTES</t>
  </si>
  <si>
    <t>0093</t>
  </si>
  <si>
    <t>ING. BRAYAN AQUINO</t>
  </si>
  <si>
    <t>20 X 20 ALBIS GRIS 1.59 MTS</t>
  </si>
  <si>
    <t>AZYCO</t>
  </si>
  <si>
    <t>CONTRATO 19 VIVIENDAS</t>
  </si>
  <si>
    <t>0092</t>
  </si>
  <si>
    <t>MAYO 04 2026</t>
  </si>
  <si>
    <t>ROSA LARES</t>
  </si>
  <si>
    <t>MORTERO SACO 25 KG</t>
  </si>
  <si>
    <t xml:space="preserve">SACOS </t>
  </si>
  <si>
    <t>CEMENTO SACO 25 KG</t>
  </si>
  <si>
    <t>CONTRATO 16 VIVIENDAS Y 28 VIVIENDAS</t>
  </si>
  <si>
    <t>0091-A</t>
  </si>
  <si>
    <t xml:space="preserve">SEMANA </t>
  </si>
  <si>
    <t>WC VENUS Y OVALINES ARAL</t>
  </si>
  <si>
    <t>0090 - A</t>
  </si>
  <si>
    <t>ABRIL 30 2026</t>
  </si>
  <si>
    <t>ROSSY LARES</t>
  </si>
  <si>
    <t>COFLEX PS-C152</t>
  </si>
  <si>
    <t xml:space="preserve">PARA LAVABO </t>
  </si>
  <si>
    <t>KITS</t>
  </si>
  <si>
    <t>COFLEX PS-C250</t>
  </si>
  <si>
    <t>PARA INSTALACIÓN WC</t>
  </si>
  <si>
    <t>TODO PARA EL PLOMERO</t>
  </si>
  <si>
    <t xml:space="preserve">  WC, OVALINES LOTES 77,78,79</t>
  </si>
  <si>
    <t>ABRIL 16 2026</t>
  </si>
  <si>
    <t>OBRA SOLUM</t>
  </si>
  <si>
    <t>LAVABO ARAL P/MONO BLANCO CASTEL</t>
  </si>
  <si>
    <t>SANITARIO UNA PIEZA MOD. VENUS MARCA CASTEL</t>
  </si>
  <si>
    <t>DOMICILIO: FERMIN RIESTRA #1557</t>
  </si>
  <si>
    <t>a la mencionada anteriormente.</t>
  </si>
  <si>
    <t>NOTA: La empresa no se hace responsable por depósitos en otras cuentas ajenas</t>
  </si>
  <si>
    <t>CLABE INTERBANCARIA: 002320025555852369</t>
  </si>
  <si>
    <t>CUENTA: 5585236    SUCURSAL 255</t>
  </si>
  <si>
    <t>BANCO: BANAMEX</t>
  </si>
  <si>
    <t>FAVOR DE DEPOSITAR A LA CUENTA DE ACRILICOS NEWTON SA DE CV</t>
  </si>
  <si>
    <t>EN CASO DE CONFIRMAR PEDIDO Y REQUIERE HACER EL PAGO</t>
  </si>
  <si>
    <t>ENVIO A DOMICILIO</t>
  </si>
  <si>
    <t>DOMO  BURBUJA COLOR PERLA CON VENTILA</t>
  </si>
  <si>
    <t>DOMO 74 X 74</t>
  </si>
  <si>
    <t xml:space="preserve">ACRILICOS NEWTON </t>
  </si>
  <si>
    <t>84,88,89,90</t>
  </si>
  <si>
    <t xml:space="preserve"> </t>
  </si>
  <si>
    <t>0089</t>
  </si>
  <si>
    <t>REQUISICIÓN SEMANA</t>
  </si>
  <si>
    <t>ABRIL 29 2026</t>
  </si>
  <si>
    <t>COMPUESTO STD PLUS SKU 170451</t>
  </si>
  <si>
    <t>COMPRESOR</t>
  </si>
  <si>
    <t>0088 - A</t>
  </si>
  <si>
    <t>ABRIL 27 2026</t>
  </si>
  <si>
    <t>LIJA ROJA</t>
  </si>
  <si>
    <t>LIJA AGUA</t>
  </si>
  <si>
    <t>EXTENCIÓN 6 mts</t>
  </si>
  <si>
    <t>EXTENCIÓN 3 mts</t>
  </si>
  <si>
    <t>FELPA MICROFIBRA</t>
  </si>
  <si>
    <t>PORTA LIJA</t>
  </si>
  <si>
    <t>FELPA RUGOSA (PACHONA)</t>
  </si>
  <si>
    <t>MANERAL REFORZADO</t>
  </si>
  <si>
    <t>BROCHA 2"</t>
  </si>
  <si>
    <t>BROCHA 4"</t>
  </si>
  <si>
    <t>PROMIL JICAMA</t>
  </si>
  <si>
    <t>CUBETAS</t>
  </si>
  <si>
    <t>TOP WALL COLOR JICAMA</t>
  </si>
  <si>
    <t xml:space="preserve">TOP WALL COLOR GALERIA </t>
  </si>
  <si>
    <t>COMEX SELLADOR VINILICO</t>
  </si>
  <si>
    <t>CUÑA CHICA</t>
  </si>
  <si>
    <t xml:space="preserve"> CUÑA GRANDE </t>
  </si>
  <si>
    <t>0087-A</t>
  </si>
  <si>
    <t>COMPRESOR 2.5 HP GALONES             SKU 415188</t>
  </si>
  <si>
    <t>0086-A</t>
  </si>
  <si>
    <t>ABRIL 24 2026</t>
  </si>
  <si>
    <t>ESCALERA DE EXTENCIÓN TIPO  lll 16 PELDAÑOS MARCA TRUPER ESE-16</t>
  </si>
  <si>
    <t>ESCALERA</t>
  </si>
  <si>
    <t>0085-A</t>
  </si>
  <si>
    <t>JUNTEADOR SIN ARENA PERDURA COLOR CAPUCHINO</t>
  </si>
  <si>
    <t>PISO PARA ESCALERA</t>
  </si>
  <si>
    <t>0084-A</t>
  </si>
  <si>
    <t>ABRIL 15 2026</t>
  </si>
  <si>
    <t>PISO YUUN NUEZ 30X120 1.76M2</t>
  </si>
  <si>
    <t>0083-A</t>
  </si>
  <si>
    <t>POLIDUCTO 3/4"</t>
  </si>
  <si>
    <t xml:space="preserve">ROLLOS </t>
  </si>
  <si>
    <t>POLIDUCTO 1/2"</t>
  </si>
  <si>
    <t>QUINZAÑOS</t>
  </si>
  <si>
    <t>CONTRATO 28 VIVIENDAS</t>
  </si>
  <si>
    <t>0082-A</t>
  </si>
  <si>
    <t>ABRIL 10 2026</t>
  </si>
  <si>
    <t xml:space="preserve">CARRETILLA 5 FT3 NEUMATICA </t>
  </si>
  <si>
    <t>LATA DE GAS 220 GR CON VALVULA 1/4" DE VUELTA 11920</t>
  </si>
  <si>
    <t>AZADON MEZCLERO CABEZA FORJADA 10"</t>
  </si>
  <si>
    <t>TU CONSTRUYES</t>
  </si>
  <si>
    <t>PROCESOS OBRA NEGRA</t>
  </si>
  <si>
    <t>0081-A</t>
  </si>
  <si>
    <t>FAJILLA 1X2X10</t>
  </si>
  <si>
    <t>0080-A</t>
  </si>
  <si>
    <t>YEE 4" PVC</t>
  </si>
  <si>
    <t>CODO 2 X 90 PVC</t>
  </si>
  <si>
    <t>CODO 4 X 90 PVC</t>
  </si>
  <si>
    <t>TUBO 4" PVC</t>
  </si>
  <si>
    <t xml:space="preserve">TRAMOS </t>
  </si>
  <si>
    <t>PLOMERIA INDUSTRIAL</t>
  </si>
  <si>
    <t>0079-A</t>
  </si>
  <si>
    <t>TUBO PLUS 1/2"</t>
  </si>
  <si>
    <t>TRAMOS</t>
  </si>
  <si>
    <t>TUBERIA</t>
  </si>
  <si>
    <t>0078-A</t>
  </si>
  <si>
    <t>SOLICITUD DE MATERIAL</t>
  </si>
  <si>
    <t>CONECTOR MACHO 1/2" CPVC BEIGE</t>
  </si>
  <si>
    <t>PEGAMENTO CPVC</t>
  </si>
  <si>
    <t xml:space="preserve">LIMPIADOR PVC </t>
  </si>
  <si>
    <t>PEGAMENTO OATEY ETIQUETA VERDE PARA PVC</t>
  </si>
  <si>
    <t xml:space="preserve"> CINTA TEFLON 1/2" GARLOCK</t>
  </si>
  <si>
    <t>TAPON 1/2" GALVANIZADO</t>
  </si>
  <si>
    <t xml:space="preserve"> REDUCCIÓN BUSHING 3/4" A 1/2" GALVANIZADO</t>
  </si>
  <si>
    <t>CODO 1/2" X 90 GALVANIZADO</t>
  </si>
  <si>
    <t>CODO 3/4" X 90 GALVANIZADO</t>
  </si>
  <si>
    <t>TEE 1/2" TUBO PLUS</t>
  </si>
  <si>
    <t>COPLE 1/2" TUBO PLUS</t>
  </si>
  <si>
    <t xml:space="preserve"> COPLE 3/4" TUBO PLUS</t>
  </si>
  <si>
    <t>TAPON 3/4" TUBO PLUS</t>
  </si>
  <si>
    <t>TEE 3/4" TUBO PLUS</t>
  </si>
  <si>
    <t>CODO 1/2" X 90 TUBO PLUS</t>
  </si>
  <si>
    <t>TUBO 3/4" TUBO PLUS</t>
  </si>
  <si>
    <t>TUBO 1/2" TUBO PLUS</t>
  </si>
  <si>
    <t>SUMINISTROS HIDROSANITARIOS ROKA</t>
  </si>
  <si>
    <t>0077-A</t>
  </si>
  <si>
    <t>ABRIL 09 2026</t>
  </si>
  <si>
    <t xml:space="preserve">CUADRO MEDICIÓN </t>
  </si>
  <si>
    <t xml:space="preserve">CODO COM P/FIERRO RUG-96B-13 </t>
  </si>
  <si>
    <t>NIPLE 1/2" X 8"</t>
  </si>
  <si>
    <t>NIPLE 1/2" X 4"</t>
  </si>
  <si>
    <t>NIPLE 1/2" X 3"</t>
  </si>
  <si>
    <t>NIPLE 1/2" X 5"</t>
  </si>
  <si>
    <t>TEE 1/2  GALVANIZADO</t>
  </si>
  <si>
    <t>LLAVE ESFERA 1/2"</t>
  </si>
  <si>
    <t>INSERTIK 1/2"</t>
  </si>
  <si>
    <t>0076-A</t>
  </si>
  <si>
    <t>COCHERA3</t>
  </si>
  <si>
    <t>CODO 1" X 90 TUBO PLUS</t>
  </si>
  <si>
    <t>COPLE 1" TUBO PLUS</t>
  </si>
  <si>
    <t>EASY PRESS</t>
  </si>
  <si>
    <t>EASY PRESS/ COCHERA</t>
  </si>
  <si>
    <t>CODO 3/4" X 90 TUBO PLUS</t>
  </si>
  <si>
    <t>CONECTO MACHO 3/4" TUBO PLUS</t>
  </si>
  <si>
    <t>TUERCA UNIÓN  3/4 TUBO PLUS</t>
  </si>
  <si>
    <t>VALVULA SHECK VERTICAL 3/4"</t>
  </si>
  <si>
    <t>LLAVE ESFERA 3/4"</t>
  </si>
  <si>
    <t>0075-A</t>
  </si>
  <si>
    <t>IMPAC 5000  BCO  19L</t>
  </si>
  <si>
    <t>CUBETA</t>
  </si>
  <si>
    <t>GUANTE DE NITRILO SKU 133902</t>
  </si>
  <si>
    <t>CHALECO NARANJA CON REFLEJANTES SKU 165175</t>
  </si>
  <si>
    <t>DISCO CORTE DE METAL 14" SKU 240391</t>
  </si>
  <si>
    <t>CEMENTO</t>
  </si>
  <si>
    <t>0074-A</t>
  </si>
  <si>
    <t>PERFIL NEGRO MATE "T" PERDURA</t>
  </si>
  <si>
    <t>CCRINOX.37</t>
  </si>
  <si>
    <t>84,85,86,87</t>
  </si>
  <si>
    <t xml:space="preserve">COLADERA CUADRADA URREA REJILLA NEGRA </t>
  </si>
  <si>
    <t>0073-A</t>
  </si>
  <si>
    <t xml:space="preserve">Junteador con arena gris perla </t>
  </si>
  <si>
    <t>SACOS</t>
  </si>
  <si>
    <t>Junteador sin arena boquichamp color gris perla</t>
  </si>
  <si>
    <t xml:space="preserve">Crest gris plata </t>
  </si>
  <si>
    <t>GRUPO SAR</t>
  </si>
  <si>
    <t>ADHESIVOS</t>
  </si>
  <si>
    <t>0072-A</t>
  </si>
  <si>
    <t>0071-A</t>
  </si>
  <si>
    <t>EXPOCERAMICA</t>
  </si>
  <si>
    <t>Adhesivo Cerámico ADH Económico Viviendero Perdura Gris 20 Kg</t>
  </si>
  <si>
    <t>0070-A</t>
  </si>
  <si>
    <t>LIC. MIGUEL ZARAGOZA</t>
  </si>
  <si>
    <t>ING. GUSTAVO</t>
  </si>
  <si>
    <t>INMEDIATA</t>
  </si>
  <si>
    <t>FECHAS DE ENTRGA</t>
  </si>
  <si>
    <t>MONOMANDO PARA EMPOTRAR PARA REGADERA 4472E.2 MARCA DICA</t>
  </si>
  <si>
    <t>ENTREGAS</t>
  </si>
  <si>
    <t>MONOMANDO PARA REGADERA</t>
  </si>
  <si>
    <t xml:space="preserve">ACLARANDO QUE LAS FECHAS PUEDEN CAMBIAR ESTO DEBIDO A AVANCE DE OBRA Y PROCESOS EN ELLA LA FACTURACIÓN SERÁ DE ACUERDO A PZAS ENTREGADAS EN OBRA </t>
  </si>
  <si>
    <t>DESARROLLADORA INMOBILIARIA DEMING</t>
  </si>
  <si>
    <t>0060</t>
  </si>
  <si>
    <t>DICIEMBRE 17 2025</t>
  </si>
  <si>
    <t>MAYO 06 2026</t>
  </si>
  <si>
    <t>0098</t>
  </si>
  <si>
    <t>ZENDE</t>
  </si>
  <si>
    <t>LUMINARIA SPOT GENERAL EMPOTRADO DLT - 12W</t>
  </si>
  <si>
    <t xml:space="preserve">SPOT DE CORTESIA EN MURO DE ESCALERA  </t>
  </si>
  <si>
    <t>AG-CCO35-3.3W/B</t>
  </si>
  <si>
    <t>CONTRATO CASAS MUESTRA  77,78,79</t>
  </si>
  <si>
    <t>0099-A</t>
  </si>
  <si>
    <t>PLACA DE 1 MÓDULO CON CHASIS DE RESINA, COLOR BLANCO</t>
  </si>
  <si>
    <t>E5N1PTL</t>
  </si>
  <si>
    <t>BTICINO LINEA MODUS COLOR BLANCO</t>
  </si>
  <si>
    <t>PLACA DE 2 MÓDULOS CON CHASIS DE RESINA, COLOR BLANCO</t>
  </si>
  <si>
    <t>E5N2PTL</t>
  </si>
  <si>
    <t>PLACA DE 3 MÓDULOS CON CHASIS DE RESINA, COLOR BLANCO</t>
  </si>
  <si>
    <t>E5N3PTL</t>
  </si>
  <si>
    <t>INTERRUPTOR SENCILLO 16AX, 127-277V~, 1 MÓD.</t>
  </si>
  <si>
    <t>E2001PTL</t>
  </si>
  <si>
    <t>INTERRUPTOR 3 VÍAS 16AX, 127-277V~, 1 MÓD. / APAGADOR ESCALERA</t>
  </si>
  <si>
    <t>E2003PTL</t>
  </si>
  <si>
    <t>PULSADOR 10A, 127-277V~, 1 MÓD.</t>
  </si>
  <si>
    <t>E2005PTL</t>
  </si>
  <si>
    <t>TOMACORRIENTE DUPLEX  2P+T CON , 15A, 127-250V~, 1 MÓD. / CONTACTO SENCILLO</t>
  </si>
  <si>
    <t>E6028NPTLS</t>
  </si>
  <si>
    <t>TOMACORRIENTE DÚPLEX 2P+T CON FALLA TIERRA, 15A, 127-250V~, PLACA BLANCA/ CONTACTO DUPLEX</t>
  </si>
  <si>
    <t>E6028GFG6PTL</t>
  </si>
  <si>
    <t>TOMA DE TELÉFONO 4 HILOS, 1 MÓD.</t>
  </si>
  <si>
    <t>E2082/11PTL</t>
  </si>
  <si>
    <t>TOMA DE T.V. 1 MÓD.</t>
  </si>
  <si>
    <t>E2E52PTL</t>
  </si>
  <si>
    <t>ZUMBADOR 127V~, 1 MÓD.</t>
  </si>
  <si>
    <t>E2046PTL</t>
  </si>
  <si>
    <t>TOMA DE CORRIENTE DUPLEX 2P+T 15 A 127 V~ BLANCO / INTERPERIE</t>
  </si>
  <si>
    <t>3232-W</t>
  </si>
  <si>
    <t>TAPA HORIZONTAL DUPLEX GRIS PARA INTEMPERIE</t>
  </si>
  <si>
    <t>PORTALÁMPARA PARA FOCO TRADICIONAL</t>
  </si>
  <si>
    <t>P21BN</t>
  </si>
  <si>
    <t xml:space="preserve">PLACA CIEGA </t>
  </si>
  <si>
    <t>E5N0PTL</t>
  </si>
  <si>
    <t>INTERRUPTOR TERMOMAGNETICO 1 X 15 AMP 120/240v</t>
  </si>
  <si>
    <t>INTERRUPTOR TERMOMAGNETICO 1 X 20 AMP 120/240v</t>
  </si>
  <si>
    <t>CA8-GH</t>
  </si>
  <si>
    <t xml:space="preserve"> CONTRATO CASAS MUESTRAS 77,78,79</t>
  </si>
  <si>
    <t>0100-A</t>
  </si>
  <si>
    <t>ELECTRO INDUSTRIAL OLIDE</t>
  </si>
  <si>
    <t>CUADRO DE MEDICIÓN</t>
  </si>
  <si>
    <t>CONTRATO 3 CASAS MUESTRA Y 13 VIVIENDAS</t>
  </si>
  <si>
    <t>CODO INSERTOR BRONCE 13 MM</t>
  </si>
  <si>
    <t>NIPLE GALVANIZADO 1/2 X 4"</t>
  </si>
  <si>
    <t>NIPLE GALVANIZADO 1/2 X 8"</t>
  </si>
  <si>
    <t>NIPLE GALVANIZADO 1/2 X 3"</t>
  </si>
  <si>
    <t>NIPLE GALVANIZADO 1/2 X 5"</t>
  </si>
  <si>
    <t>LLAVE ESFERA 1/2</t>
  </si>
  <si>
    <t>VALVULA SHECK VERTICAL 1/2</t>
  </si>
  <si>
    <t>FECHA DE ENVIÓ</t>
  </si>
  <si>
    <t>TERRA</t>
  </si>
  <si>
    <t>ENVÍA</t>
  </si>
  <si>
    <t>MAPLE</t>
  </si>
  <si>
    <t xml:space="preserve">PROCESO </t>
  </si>
  <si>
    <t>MAYO 07 2026</t>
  </si>
  <si>
    <t>TUBO PLUS</t>
  </si>
  <si>
    <t>CODO 1/2" X 90</t>
  </si>
  <si>
    <t>RECIBE</t>
  </si>
  <si>
    <t>YOLANDA ORTEGA</t>
  </si>
  <si>
    <t>0101-A</t>
  </si>
  <si>
    <t xml:space="preserve">SUMINISTROS HIDROSANITARIOS ROKA </t>
  </si>
  <si>
    <t>SIKA GROUT</t>
  </si>
  <si>
    <t>0102 -A</t>
  </si>
  <si>
    <t>FILTRO PARA CUADRO MEDICIÓN</t>
  </si>
  <si>
    <t>CONTRATO CASAS MUESTRAS 3 Y CONTRATO 13 VIVIENDAS</t>
  </si>
  <si>
    <t>FILTRO STD PASO 1 ROTOPLAS</t>
  </si>
  <si>
    <t>0103-A</t>
  </si>
  <si>
    <t>MAYO 08 2026</t>
  </si>
  <si>
    <t>TODO PARA EL CARPINTERO</t>
  </si>
  <si>
    <t>NUMERO "2"</t>
  </si>
  <si>
    <t>NUMERO "1"</t>
  </si>
  <si>
    <t>NUMERO "3"</t>
  </si>
  <si>
    <t>NUMERO "7"</t>
  </si>
  <si>
    <t>NUMERO "8"</t>
  </si>
  <si>
    <t>NUMERO "9"</t>
  </si>
  <si>
    <t>0104-A</t>
  </si>
  <si>
    <t>SIMEX</t>
  </si>
  <si>
    <t>SILLETA PLASTICA 25 MM BOLSA CON 500 PZAS</t>
  </si>
  <si>
    <t>SILLETA PLASTICA 75 MM BOLSA CON 100</t>
  </si>
  <si>
    <t>0105-A</t>
  </si>
  <si>
    <t>MORTERO</t>
  </si>
  <si>
    <t>YESO</t>
  </si>
  <si>
    <t>PAQUETES</t>
  </si>
  <si>
    <t>IMPAC EMULSION FIBRATADA SKU 235681</t>
  </si>
  <si>
    <t>0106-A</t>
  </si>
  <si>
    <t>PEGAMENTO PARA PVC OATEY ETIQUETA VERDE</t>
  </si>
  <si>
    <t>ADHESIVO PEGAPISO CREST PLATA</t>
  </si>
  <si>
    <t>ADHEAZUL PEGAAZULEJO</t>
  </si>
  <si>
    <t xml:space="preserve">CAJAS </t>
  </si>
  <si>
    <t>JUNTEADOR SIN ARENA BOQUICHAMP GRIS PERLA</t>
  </si>
  <si>
    <t>0107-A</t>
  </si>
  <si>
    <t>0108-A</t>
  </si>
  <si>
    <t>0109-A</t>
  </si>
  <si>
    <t xml:space="preserve">PEGAMENTO PARA CPVC OATEY </t>
  </si>
  <si>
    <t>ABRIL 14 2026</t>
  </si>
  <si>
    <t>PARA ENTREPISOS Y CIMENTACIONES</t>
  </si>
  <si>
    <t>ROLLOS</t>
  </si>
  <si>
    <t>ING. EDUARDO AVALOS</t>
  </si>
  <si>
    <t>POLIDUCTO NARANJA 1/2"</t>
  </si>
  <si>
    <t>CARTUCHO DE GAS 275 G TRUPPER SKU 205595</t>
  </si>
  <si>
    <t>CASCO AMARILLO CABEL SKU 126860</t>
  </si>
  <si>
    <t>JUEGO DE 2 SEGUETAS SKU 397509</t>
  </si>
  <si>
    <t>CONTRATO 13 VIVIENDAS</t>
  </si>
  <si>
    <t>TANQUE ESTACIONARIO 120 LTS MARCA CYTSA</t>
  </si>
  <si>
    <t>NIPLE TERMINAL 3X8" X 3/8"</t>
  </si>
  <si>
    <t>NIPLE TERMINAL 3/8" MACHO A 1/2" MACHO</t>
  </si>
  <si>
    <t>TUERCA CONICA  3/8"</t>
  </si>
  <si>
    <t xml:space="preserve">TUBO FLEX </t>
  </si>
  <si>
    <t>TANQUE ESTACIONARIO, CONEXIONES</t>
  </si>
  <si>
    <t xml:space="preserve">GRUPO BAZAN </t>
  </si>
  <si>
    <t>ELECTRICO</t>
  </si>
  <si>
    <t>81,82,83</t>
  </si>
  <si>
    <t>MAYO 11 2026</t>
  </si>
  <si>
    <t>TANQUE ESTACIONARIO</t>
  </si>
  <si>
    <t>ING. FRANCISCO RAMOS GLZ</t>
  </si>
  <si>
    <t xml:space="preserve">PZAS </t>
  </si>
  <si>
    <t>DUELA DE 10</t>
  </si>
  <si>
    <t>BARROTE</t>
  </si>
  <si>
    <t>LOZAS CON ROOF</t>
  </si>
  <si>
    <t>POLIN 4" X 4"</t>
  </si>
  <si>
    <t>0110</t>
  </si>
  <si>
    <t>0111</t>
  </si>
  <si>
    <t>0112-A</t>
  </si>
  <si>
    <t>0113-A</t>
  </si>
  <si>
    <t>0114-A</t>
  </si>
  <si>
    <t>MAYO 12 2026</t>
  </si>
  <si>
    <t>0115-A</t>
  </si>
  <si>
    <t>PARA OBRA EN GENERAL</t>
  </si>
  <si>
    <t>CHALECOS NARANJAS CON REFLEJANTE</t>
  </si>
  <si>
    <t>PARA INSTALACIÓN DE PISO</t>
  </si>
  <si>
    <t>0116-A</t>
  </si>
  <si>
    <t>EXTENCIÓN 3 MTS</t>
  </si>
  <si>
    <t>PAQUETE</t>
  </si>
  <si>
    <t>FELPA MICROFIBRA L</t>
  </si>
  <si>
    <t>FELPA RUGOSA</t>
  </si>
  <si>
    <t>LIJA 150  AGUA</t>
  </si>
  <si>
    <t>BOTES</t>
  </si>
  <si>
    <t>OK COMEX</t>
  </si>
  <si>
    <t>LIJADORAS</t>
  </si>
  <si>
    <t>CUÑA GRANDE</t>
  </si>
  <si>
    <t>TOP WALL JICAMA</t>
  </si>
  <si>
    <t>TOP WALL GALERIA</t>
  </si>
  <si>
    <t>EXTENCION AMARILLA 6 MTS</t>
  </si>
  <si>
    <t>TERMINADOS</t>
  </si>
  <si>
    <t>0117-A</t>
  </si>
  <si>
    <t>AREA DE TERMINADO</t>
  </si>
  <si>
    <t>REDIMIX COMPUESTO</t>
  </si>
  <si>
    <t>PAQUETE PARA INSTALACIÓN DE FREGADERO</t>
  </si>
  <si>
    <t>ARQ. ALEJANDRA GONZALEZ</t>
  </si>
  <si>
    <t>COFLEX PS-C406</t>
  </si>
  <si>
    <t>WC / OVALINES 77, 78, 79</t>
  </si>
  <si>
    <t>LLAVE ANGULAR</t>
  </si>
  <si>
    <t>MASKING AZUL 1"</t>
  </si>
  <si>
    <t>IP-100</t>
  </si>
  <si>
    <t>0118-A</t>
  </si>
  <si>
    <t>MAYO 13 2026</t>
  </si>
  <si>
    <t xml:space="preserve">ROLLO </t>
  </si>
  <si>
    <t>0119-A</t>
  </si>
  <si>
    <t>MABZ</t>
  </si>
  <si>
    <t>ENTREPISOS 28 VIVIENDAS</t>
  </si>
  <si>
    <t xml:space="preserve"> CONTRATO CASAS MUESTRAS 81,82,83</t>
  </si>
  <si>
    <t>0120-A</t>
  </si>
  <si>
    <t>0121-A</t>
  </si>
  <si>
    <t>CONTRATO 13 VIVIENDAS 81, 82,83</t>
  </si>
  <si>
    <t xml:space="preserve">VARILLA COPPER </t>
  </si>
  <si>
    <t>CONECTOR DE VARILLA</t>
  </si>
  <si>
    <t>CONTRATO CASAS MUESTRA 77,78,79</t>
  </si>
  <si>
    <t>BOILER ODP-11 OPTIMUS</t>
  </si>
  <si>
    <t>0122-A</t>
  </si>
  <si>
    <t>TUBO DE PVC SAN 4"</t>
  </si>
  <si>
    <t>TUBO DE PVC SAN 2"</t>
  </si>
  <si>
    <t>TUBO DE PVC SAN 1 1/2"</t>
  </si>
  <si>
    <t>CODO DE PVC SAN 4"x45°</t>
  </si>
  <si>
    <t>CODO DE PVC SAN 4"x90°</t>
  </si>
  <si>
    <t>CODO VENTILA PVC SAN 4" SAL 2" FRONTAL</t>
  </si>
  <si>
    <t>CODO DE PVC SAN 2"x45°</t>
  </si>
  <si>
    <t>CODO DE PVC SAN 2"x90°</t>
  </si>
  <si>
    <t>CODO VENTILA PVC SAN 4" SAL 2" LATERAL</t>
  </si>
  <si>
    <t>CODO DE PVC SAN 1 1/2"x90°</t>
  </si>
  <si>
    <t>YEE DE PVC SAN 4" SALIDA 2"</t>
  </si>
  <si>
    <t>TUBO  1/2"</t>
  </si>
  <si>
    <t>TUBO 3/4"</t>
  </si>
  <si>
    <t>CODO  3/4"x90°</t>
  </si>
  <si>
    <t>CODO  1/2"x90°</t>
  </si>
  <si>
    <t>TEE  3/4"</t>
  </si>
  <si>
    <t>REDUCCION  3/4" A 1/2"</t>
  </si>
  <si>
    <t>TAPON  1/2"</t>
  </si>
  <si>
    <t>COPLE  3/4"</t>
  </si>
  <si>
    <t>COPLE  1/2"</t>
  </si>
  <si>
    <t>TEE  1/2"</t>
  </si>
  <si>
    <t>TUBO DE 1/2"</t>
  </si>
  <si>
    <t>TUBO DE 3/4"</t>
  </si>
  <si>
    <t>CODO 3/4" X 90°</t>
  </si>
  <si>
    <t>CODO 1/2" X 90°</t>
  </si>
  <si>
    <t>TEE 3/4</t>
  </si>
  <si>
    <t>TEE DE 1/2</t>
  </si>
  <si>
    <t>REDUCCION BUSHING 3/4 A 1/2</t>
  </si>
  <si>
    <t>TAPON HEMBRA 3/4</t>
  </si>
  <si>
    <t>TAPON HEMBRA 1/2</t>
  </si>
  <si>
    <t>CHELAK</t>
  </si>
  <si>
    <t>PEGAMENTO PVC</t>
  </si>
  <si>
    <t>GALVANIZADO</t>
  </si>
  <si>
    <t>JM MADEREA</t>
  </si>
  <si>
    <t>0123-A</t>
  </si>
  <si>
    <t xml:space="preserve">CASTILLOS CASAS CON ROOF </t>
  </si>
  <si>
    <t>MAYO  14 2026</t>
  </si>
  <si>
    <t>ENTREPISO GALVANIZADO</t>
  </si>
  <si>
    <t>CINTA TEFLON 1/2</t>
  </si>
  <si>
    <t>MAYO 14 2026</t>
  </si>
  <si>
    <t>0124-A</t>
  </si>
  <si>
    <t>CONECTOR MACHO COBRE 3/4</t>
  </si>
  <si>
    <t>CONECTOR HEMBRA COBRE 3/4</t>
  </si>
  <si>
    <t>CODO COBRE 3/4 X 90</t>
  </si>
  <si>
    <t>TEE COBRE 3/4</t>
  </si>
  <si>
    <t>VALVULA DE CONTROL ANGULAR DE GAS 1/2" X 3/8</t>
  </si>
  <si>
    <t>BOILER</t>
  </si>
  <si>
    <t xml:space="preserve">LLAVE CON ROSCA PARA MANGUERA </t>
  </si>
  <si>
    <t>RUG-21-13</t>
  </si>
  <si>
    <t>NIPLE  3" X 3/4"</t>
  </si>
  <si>
    <t xml:space="preserve">TRAMO </t>
  </si>
  <si>
    <t>NIPLE TERMINAL 3/8" A 1/2"</t>
  </si>
  <si>
    <t>TUBO COBRE  L 3/4</t>
  </si>
  <si>
    <t>MAYO 19 2026</t>
  </si>
  <si>
    <t>PROCESOS</t>
  </si>
  <si>
    <t>CONTRATO CASAS MUESTRAS/ 16 VIVIENDAS</t>
  </si>
  <si>
    <t>MAYO 20 2026</t>
  </si>
  <si>
    <t>0125-A</t>
  </si>
  <si>
    <t>AREA</t>
  </si>
  <si>
    <t xml:space="preserve">COMERCIALIZADORA ECOINTEC </t>
  </si>
  <si>
    <t>YESO SACO 40 KG</t>
  </si>
  <si>
    <t>CONTRATO CASAS MUESTRAS</t>
  </si>
  <si>
    <t xml:space="preserve">MONOMANDO PARA LAVABO </t>
  </si>
  <si>
    <t>9456 QU.2</t>
  </si>
  <si>
    <t xml:space="preserve">CONTRA PUSH NEGRO MATE CON REBOSADERO </t>
  </si>
  <si>
    <t>CESPOL DE LATON SIN CONTRA</t>
  </si>
  <si>
    <t>219 URREa</t>
  </si>
  <si>
    <t>ACCESORIO PARA BAÑO</t>
  </si>
  <si>
    <t>1001 CL.2</t>
  </si>
  <si>
    <t xml:space="preserve">REGADERA CON BRAZO Y CHAPETON </t>
  </si>
  <si>
    <t>4518 C.2</t>
  </si>
  <si>
    <t>0126-A</t>
  </si>
  <si>
    <t xml:space="preserve"> Contrato 16/28 viviendas</t>
  </si>
  <si>
    <t>TUBO 3"</t>
  </si>
  <si>
    <t>PVC</t>
  </si>
  <si>
    <t>CODO 6 X 45</t>
  </si>
  <si>
    <t>TEE 1/2"</t>
  </si>
  <si>
    <t>CONECTOR MACHO 1/2"</t>
  </si>
  <si>
    <t>CONECTOR HEMBRA 1/2"</t>
  </si>
  <si>
    <t xml:space="preserve">TAPA 2" </t>
  </si>
  <si>
    <t>TAPA 4"</t>
  </si>
  <si>
    <t>COPLE 4"</t>
  </si>
  <si>
    <t>MAYO 21 2026</t>
  </si>
  <si>
    <t>VARIOS</t>
  </si>
  <si>
    <t>DOMO 83 X 83</t>
  </si>
  <si>
    <t>77,81,82,83</t>
  </si>
  <si>
    <t>0127-A</t>
  </si>
  <si>
    <t>MAYO 22 2026</t>
  </si>
  <si>
    <t>0128</t>
  </si>
  <si>
    <t>AZULEJO MARTEL GRIS 30X60</t>
  </si>
  <si>
    <t>0129</t>
  </si>
  <si>
    <t>COPLE 1/2"</t>
  </si>
  <si>
    <t>TEE 3"</t>
  </si>
  <si>
    <t xml:space="preserve">REDUCCIÓN 3 A 2 </t>
  </si>
  <si>
    <t>CODO 6" X 45"</t>
  </si>
  <si>
    <t>CODO 1/2" X 45</t>
  </si>
  <si>
    <t xml:space="preserve">TAPON 1/2" HEMBRA </t>
  </si>
  <si>
    <t>POLIMEX</t>
  </si>
  <si>
    <t>TAPA 2"</t>
  </si>
  <si>
    <t>TAPA 1 1/2"</t>
  </si>
  <si>
    <t>TEFLON 3/4 GARLOCK</t>
  </si>
  <si>
    <t>PEGAMENTO OATEY ETIQUETA VERDE</t>
  </si>
  <si>
    <t xml:space="preserve">BOTE INTEGRAL 12 CM REFORZADO </t>
  </si>
  <si>
    <t>JR60</t>
  </si>
  <si>
    <t>0130</t>
  </si>
  <si>
    <t xml:space="preserve">IMPAC EMULSION FIBRATADA </t>
  </si>
  <si>
    <t>DISCO DE CORTE PARA METAL 4 1/2"</t>
  </si>
  <si>
    <t>CINTA CANELA</t>
  </si>
  <si>
    <t>BOLSAS</t>
  </si>
  <si>
    <t>ANCLA NIVELADORA DE 2MM</t>
  </si>
  <si>
    <t>ANCLAJE QUIMICO 300 ML</t>
  </si>
  <si>
    <t>DISCO DIAM CONTINUO</t>
  </si>
  <si>
    <t>JUEGO DE 2 SEGUETAS</t>
  </si>
  <si>
    <t>GUANTE DE NITRILO</t>
  </si>
  <si>
    <t>PARES</t>
  </si>
  <si>
    <t>CHALECO NARANJA C/REFLEJANTE</t>
  </si>
  <si>
    <t>AEROSOL COLOR NEGRO</t>
  </si>
  <si>
    <t>AEROSOL COLOR ROJO</t>
  </si>
  <si>
    <t>PROCESO</t>
  </si>
  <si>
    <t>INSTALACIÓN PISO</t>
  </si>
  <si>
    <t>0131-A</t>
  </si>
  <si>
    <t>0132-A</t>
  </si>
  <si>
    <t>0133-A</t>
  </si>
  <si>
    <t>PROCESOS VARIOS</t>
  </si>
  <si>
    <t>CHALUPA GALVANIZADA 2X4</t>
  </si>
  <si>
    <t>TAPA CIEGA CUADRADA 4X4</t>
  </si>
  <si>
    <t>0134-A</t>
  </si>
  <si>
    <t>CAJA CON 1.62 M2</t>
  </si>
  <si>
    <t>MAYO 26 2026</t>
  </si>
  <si>
    <t>0135-A</t>
  </si>
  <si>
    <t>WC - 81/82</t>
  </si>
  <si>
    <t>TERMINACIÓN VIVIENDA</t>
  </si>
  <si>
    <t>CUELLO DE CERA CON GUIA</t>
  </si>
  <si>
    <t>BARROTES</t>
  </si>
  <si>
    <t>TAPIALES</t>
  </si>
  <si>
    <t>MAYO 27 2026</t>
  </si>
  <si>
    <t>0136-A</t>
  </si>
  <si>
    <t>ARMEX 15-30-4</t>
  </si>
  <si>
    <t>VARILLA 1/2"</t>
  </si>
  <si>
    <t>MURO DE CONTENCION</t>
  </si>
  <si>
    <t>ALAMBRON 1/4"</t>
  </si>
  <si>
    <t>KG</t>
  </si>
  <si>
    <t>MAYO 28 2026</t>
  </si>
  <si>
    <t>0137-A</t>
  </si>
  <si>
    <t>TERMINADO COLOCACION DE CANTERA</t>
  </si>
  <si>
    <t>83,84</t>
  </si>
  <si>
    <t>RUNIKA</t>
  </si>
  <si>
    <t>M2</t>
  </si>
  <si>
    <t>CANTERA LAMINADA TINAJERO 60X10 CM</t>
  </si>
  <si>
    <t>0138-A</t>
  </si>
  <si>
    <t>0139- A</t>
  </si>
  <si>
    <t>CINTA PARA ELECTRICO</t>
  </si>
  <si>
    <t xml:space="preserve"> CONTRATO 13 viviendas lote 84</t>
  </si>
  <si>
    <t>0140-A</t>
  </si>
  <si>
    <t>0141-A</t>
  </si>
  <si>
    <t>0142 -A</t>
  </si>
  <si>
    <t>0143-A</t>
  </si>
  <si>
    <t>0144-A</t>
  </si>
  <si>
    <t>CONTRATO 13 VIVIENDAS 84</t>
  </si>
  <si>
    <t>0145-A</t>
  </si>
  <si>
    <t>INTERRUPTOR TERMOMAGNETICO 2 X 50 AMP 120/240v</t>
  </si>
  <si>
    <t>BROCHA 1"</t>
  </si>
  <si>
    <t>LIJA DE 80.</t>
  </si>
  <si>
    <t>81,82</t>
  </si>
  <si>
    <t>MAYO 29 2026</t>
  </si>
  <si>
    <t>WC VENUS Y OVALINES ARAL    ENTREGAR 05 DE JUNIO</t>
  </si>
  <si>
    <t>CONTRATO CASAS MUESTRA 81,82,83</t>
  </si>
  <si>
    <t>CONTRATO  13 VIVIENDAS</t>
  </si>
  <si>
    <t>ENTREGAR EL 10 JUNIO 2026</t>
  </si>
  <si>
    <t xml:space="preserve">COMPUESTO STD PLUS </t>
  </si>
  <si>
    <t>TANQUE ESTACIONARIO CONEXIONES</t>
  </si>
  <si>
    <t xml:space="preserve">SACO </t>
  </si>
  <si>
    <t>0151-A</t>
  </si>
  <si>
    <t>CHALECO NARANJA CON REFLEJANTE</t>
  </si>
  <si>
    <t>CASCOS</t>
  </si>
  <si>
    <t xml:space="preserve">CEMENTO BLANCO </t>
  </si>
  <si>
    <t>CONTRATO CASAS MUESTRAS 77,78</t>
  </si>
  <si>
    <t>0152-A</t>
  </si>
  <si>
    <t>0150-A</t>
  </si>
  <si>
    <t>0149-A</t>
  </si>
  <si>
    <t>0148-A</t>
  </si>
  <si>
    <t>0147-A</t>
  </si>
  <si>
    <t>0146-A</t>
  </si>
  <si>
    <t>0153-A</t>
  </si>
  <si>
    <t xml:space="preserve">ENTREGAR 10 DE JUNIO </t>
  </si>
  <si>
    <t>ENTREPISOS TUBO PLUS 3 ROJA</t>
  </si>
  <si>
    <t>COPLE 2" PVC</t>
  </si>
  <si>
    <t>por parte de proveedor llega primer semana de junio</t>
  </si>
  <si>
    <t>MAYO 30 2026</t>
  </si>
  <si>
    <t>ENTREPISOS PVC 3 ROJAS</t>
  </si>
  <si>
    <t>JUNIO 01 2026</t>
  </si>
  <si>
    <t>0154-A</t>
  </si>
  <si>
    <t xml:space="preserve">HARMARK </t>
  </si>
  <si>
    <t>0155</t>
  </si>
  <si>
    <t>0156</t>
  </si>
  <si>
    <t>COBRE</t>
  </si>
  <si>
    <t>ARQ. ALEJNDRA GONZALEZ</t>
  </si>
  <si>
    <t>CONEXIONES BOILER</t>
  </si>
  <si>
    <t>CONTRATO CASAS MUESTRA 77,78,79 13 VIVIENDAS 81,82,83</t>
  </si>
  <si>
    <t xml:space="preserve">MAZB </t>
  </si>
  <si>
    <t>VALVULA DE ALIVIO</t>
  </si>
  <si>
    <t>VALVULA DE ALIVIO 3/4" P/ BOILER</t>
  </si>
  <si>
    <t>IP-801C</t>
  </si>
  <si>
    <t>0157-A</t>
  </si>
  <si>
    <t>CURVA CONDUIT PVC  1 1/4"</t>
  </si>
  <si>
    <t>0158-A</t>
  </si>
  <si>
    <t>0159-A</t>
  </si>
  <si>
    <t>JUNIO 03 2026</t>
  </si>
  <si>
    <t>JUNIO 04 2026</t>
  </si>
  <si>
    <t>0160-A</t>
  </si>
  <si>
    <t>PARA ESTRUCTURA</t>
  </si>
  <si>
    <t>SILLETAS PLASTICA PM 25 MM BOLSA CON 500 PZAS</t>
  </si>
  <si>
    <t>0161-A</t>
  </si>
  <si>
    <t>NUMERO 4</t>
  </si>
  <si>
    <t>JUNIO 08 2026</t>
  </si>
  <si>
    <t xml:space="preserve">FLOTA DE ESPONJA 9 1/2 ESPESOR 3/4' </t>
  </si>
  <si>
    <t>LLANA 11' CANTO RECTO 6 REMACHES</t>
  </si>
  <si>
    <t>MARTILLO SEMIPULIDO 16</t>
  </si>
  <si>
    <t>CARRETE CON 100 M HILO PESCA AZUL CALIBRE 0.80 MM HIPE-80</t>
  </si>
  <si>
    <t>CIMENTACIONES</t>
  </si>
  <si>
    <t>0162-A</t>
  </si>
  <si>
    <t>JUNIO 05 2026</t>
  </si>
  <si>
    <t>REQ - 270</t>
  </si>
  <si>
    <t>BOMBA SUMERGIBLE DOMESTICA ACERO INOXIDABLE DE 1/2 HP SSX1ME050F2C</t>
  </si>
  <si>
    <t>CONTROL P/PRESURIZADOR 12A 1HP EVANS- CONTROL PRESS</t>
  </si>
  <si>
    <t>CARTUCHO DE POLIPROPILENO 10 MM MOD. PP-10 EVANS</t>
  </si>
  <si>
    <t>PORTA CARTUCHO ESTANDAR COMPATIBLE CON CARTUCHO DE SEDIMENTOS Y CARBON ACTIVADO CON INSERTO METAL MD. GLUE121-10BR EVANS</t>
  </si>
  <si>
    <t>co</t>
  </si>
  <si>
    <t>PROCESO ELECTRICO</t>
  </si>
  <si>
    <t>CONTRATO CASAS MUESTRA/ 13 VIVIENDAS</t>
  </si>
  <si>
    <t>COMPLEMENTO ELECTRICO</t>
  </si>
  <si>
    <t>TUBO PVC PESADO CONDUIT 1/4</t>
  </si>
  <si>
    <t xml:space="preserve"> Contrato 17 viviendas LOTES  77,78,79,81,82</t>
  </si>
  <si>
    <t>Losa de azotea</t>
  </si>
  <si>
    <t>CONTRATO 28 VIVIENDAS 150-151</t>
  </si>
  <si>
    <t>JUNIO 10 2026</t>
  </si>
  <si>
    <t>0163</t>
  </si>
  <si>
    <t>0164</t>
  </si>
  <si>
    <t>0165-A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</si>
</sst>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F800]dddd\,\ mmmm\ dd\,\ yyyy"/>
  </numFmts>
  <fonts count="23" x14ac:knownFonts="1">
    <font>
      <sz val="11"/>
      <color theme="1"/>
      <name val="Aptos Narrow"/>
      <family val="2"/>
      <scheme val="minor"/>
    </font>
    <font>
      <sz val="12"/>
      <color theme="1"/>
      <name val="Calisto MT"/>
      <family val="1"/>
    </font>
    <font>
      <sz val="14"/>
      <color theme="1"/>
      <name val="Calisto MT"/>
      <family val="1"/>
    </font>
    <font>
      <sz val="12"/>
      <color indexed="8"/>
      <name val="Calisto MT"/>
      <family val="1"/>
    </font>
    <font>
      <b/>
      <sz val="12"/>
      <color theme="0"/>
      <name val="Calisto MT"/>
      <family val="1"/>
    </font>
    <font>
      <sz val="14"/>
      <color theme="1"/>
      <name val="Abadi"/>
      <family val="2"/>
    </font>
    <font>
      <sz val="16"/>
      <color theme="1"/>
      <name val="Calisto MT"/>
      <family val="1"/>
    </font>
    <font>
      <b/>
      <sz val="14"/>
      <color theme="1"/>
      <name val="Calisto MT"/>
      <family val="1"/>
    </font>
    <font>
      <b/>
      <sz val="12"/>
      <color theme="1"/>
      <name val="Calisto MT"/>
      <family val="1"/>
    </font>
    <font>
      <b/>
      <sz val="24"/>
      <color theme="4" tint="-0.249977111117893"/>
      <name val="Calisto MT"/>
      <family val="1"/>
    </font>
    <font>
      <sz val="16"/>
      <color theme="1"/>
      <name val="Aptos Narrow"/>
      <family val="2"/>
      <scheme val="minor"/>
    </font>
    <font>
      <b/>
      <sz val="20"/>
      <color theme="4" tint="-0.249977111117893"/>
      <name val="Calisto MT"/>
      <family val="1"/>
    </font>
    <font>
      <sz val="11"/>
      <color theme="1"/>
      <name val="Calisto MT"/>
      <family val="1"/>
    </font>
    <font>
      <sz val="12"/>
      <color indexed="8"/>
      <name val="Calibri"/>
      <family val="2"/>
    </font>
    <font>
      <sz val="12"/>
      <color indexed="8"/>
      <name val="Arial"/>
      <family val="2"/>
    </font>
    <font>
      <b/>
      <sz val="16"/>
      <color theme="4" tint="-0.249977111117893"/>
      <name val="Calisto MT"/>
      <family val="1"/>
    </font>
    <font>
      <b/>
      <sz val="12"/>
      <color theme="1"/>
      <name val="Aptos Narrow"/>
      <family val="2"/>
      <scheme val="minor"/>
    </font>
    <font>
      <b/>
      <sz val="14"/>
      <color theme="1"/>
      <name val="Aptos Narrow"/>
      <family val="2"/>
      <scheme val="minor"/>
    </font>
    <font>
      <sz val="11"/>
      <name val="Calisto MT"/>
      <family val="1"/>
    </font>
    <font>
      <sz val="12"/>
      <name val="Calisto MT"/>
      <family val="1"/>
    </font>
    <font>
      <sz val="14"/>
      <name val="Calisto MT"/>
      <family val="1"/>
    </font>
    <font>
      <sz val="12"/>
      <color theme="0"/>
      <name val="Calisto MT"/>
      <family val="1"/>
    </font>
    <font>
      <sz val="14"/>
      <color theme="0"/>
      <name val="Calisto MT"/>
      <family val="1"/>
    </font>
  </fonts>
  <fills count="4">
    <fill>
      <patternFill patternType="none"/>
    </fill>
    <fill>
      <patternFill patternType="gray125"/>
    </fill>
    <fill>
      <patternFill patternType="solid">
        <fgColor rgb="FF6699FF"/>
        <bgColor indexed="64"/>
      </patternFill>
    </fill>
    <fill>
      <patternFill patternType="solid">
        <fgColor rgb="FFFFFF00"/>
        <bgColor indexed="64"/>
      </patternFill>
    </fill>
  </fills>
  <borders count="16">
    <border>
      <left/>
      <right/>
      <top/>
      <bottom/>
      <diagonal/>
    </border>
    <border>
      <left/>
      <right style="thin">
        <color indexed="64"/>
      </right>
      <top/>
      <bottom style="thin">
        <color indexed="64"/>
      </bottom>
      <diagonal/>
    </border>
    <border>
      <left/>
      <right/>
      <top/>
      <bottom style="thin">
        <color auto="1"/>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64">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left"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164" fontId="2" fillId="0" borderId="1" xfId="0" applyNumberFormat="1" applyFont="1" applyBorder="1"/>
    <xf numFmtId="4" fontId="2" fillId="0" borderId="2" xfId="0" applyNumberFormat="1" applyFont="1" applyBorder="1" applyAlignment="1">
      <alignment horizontal="center"/>
    </xf>
    <xf numFmtId="0" fontId="2" fillId="0" borderId="5" xfId="0" applyFont="1" applyBorder="1" applyAlignment="1">
      <alignment horizontal="right"/>
    </xf>
    <xf numFmtId="0" fontId="1" fillId="0" borderId="0" xfId="0" applyFont="1"/>
    <xf numFmtId="0" fontId="1" fillId="0" borderId="7" xfId="0" applyFont="1" applyBorder="1"/>
    <xf numFmtId="164" fontId="2" fillId="0" borderId="8" xfId="0" applyNumberFormat="1" applyFont="1" applyBorder="1"/>
    <xf numFmtId="4" fontId="2" fillId="0" borderId="0" xfId="0" applyNumberFormat="1" applyFont="1" applyAlignment="1">
      <alignment horizontal="center"/>
    </xf>
    <xf numFmtId="164" fontId="2" fillId="0" borderId="4" xfId="0" applyNumberFormat="1" applyFont="1" applyBorder="1"/>
    <xf numFmtId="4" fontId="2" fillId="0" borderId="5" xfId="0" applyNumberFormat="1" applyFont="1" applyBorder="1" applyAlignment="1">
      <alignment horizontal="center"/>
    </xf>
    <xf numFmtId="0" fontId="1" fillId="0" borderId="5" xfId="0" applyFont="1" applyBorder="1"/>
    <xf numFmtId="0" fontId="1" fillId="0" borderId="6" xfId="0" applyFont="1" applyBorder="1"/>
    <xf numFmtId="165" fontId="1" fillId="0" borderId="9" xfId="0" applyNumberFormat="1" applyFont="1" applyBorder="1" applyAlignment="1">
      <alignment horizontal="center" vertical="center"/>
    </xf>
    <xf numFmtId="4" fontId="3" fillId="0" borderId="1" xfId="0" applyNumberFormat="1" applyFont="1" applyBorder="1" applyAlignment="1">
      <alignment horizontal="center" wrapText="1"/>
    </xf>
    <xf numFmtId="0" fontId="3" fillId="0" borderId="9" xfId="0" applyFont="1" applyBorder="1" applyAlignment="1">
      <alignment horizontal="left" vertical="center" wrapText="1"/>
    </xf>
    <xf numFmtId="0" fontId="1" fillId="0" borderId="3" xfId="0" applyFont="1" applyBorder="1" applyAlignment="1">
      <alignment horizontal="center" vertical="center"/>
    </xf>
    <xf numFmtId="165" fontId="3" fillId="0" borderId="8" xfId="0" applyNumberFormat="1" applyFont="1" applyBorder="1" applyAlignment="1">
      <alignment horizontal="left" vertical="center" wrapText="1"/>
    </xf>
    <xf numFmtId="4" fontId="3" fillId="0" borderId="10" xfId="0" applyNumberFormat="1" applyFont="1" applyBorder="1" applyAlignment="1">
      <alignment horizontal="center" wrapText="1"/>
    </xf>
    <xf numFmtId="4" fontId="3" fillId="0" borderId="8" xfId="0" applyNumberFormat="1" applyFont="1" applyBorder="1" applyAlignment="1">
      <alignment horizontal="center" wrapText="1"/>
    </xf>
    <xf numFmtId="0" fontId="3" fillId="0" borderId="10" xfId="0" applyFont="1" applyBorder="1" applyAlignment="1">
      <alignment horizontal="left" vertical="center" wrapText="1"/>
    </xf>
    <xf numFmtId="0" fontId="1" fillId="0" borderId="7" xfId="0" applyFont="1" applyBorder="1" applyAlignment="1">
      <alignment horizontal="center" vertical="center"/>
    </xf>
    <xf numFmtId="0" fontId="3" fillId="0" borderId="10" xfId="0" applyFont="1" applyBorder="1" applyAlignment="1">
      <alignment vertical="center" wrapText="1"/>
    </xf>
    <xf numFmtId="165" fontId="3" fillId="0" borderId="10" xfId="0" applyNumberFormat="1" applyFont="1" applyBorder="1" applyAlignment="1">
      <alignment horizontal="left" vertical="center" wrapText="1"/>
    </xf>
    <xf numFmtId="0" fontId="3" fillId="0" borderId="7" xfId="0" applyFont="1" applyBorder="1" applyAlignment="1">
      <alignment horizontal="center" vertical="center" wrapText="1"/>
    </xf>
    <xf numFmtId="4" fontId="3" fillId="0" borderId="11" xfId="0" applyNumberFormat="1" applyFont="1" applyBorder="1" applyAlignment="1">
      <alignment horizontal="center" wrapText="1"/>
    </xf>
    <xf numFmtId="4" fontId="3" fillId="0" borderId="4" xfId="0" applyNumberFormat="1" applyFont="1" applyBorder="1" applyAlignment="1">
      <alignment horizontal="center" wrapText="1"/>
    </xf>
    <xf numFmtId="0" fontId="3" fillId="0" borderId="11" xfId="0" applyFont="1" applyBorder="1" applyAlignment="1">
      <alignment horizontal="left" vertical="center" wrapText="1"/>
    </xf>
    <xf numFmtId="0" fontId="3" fillId="0" borderId="6" xfId="0" applyFont="1" applyBorder="1" applyAlignment="1">
      <alignment horizontal="center" vertical="center" wrapText="1"/>
    </xf>
    <xf numFmtId="0" fontId="4" fillId="2" borderId="12" xfId="0" applyFont="1" applyFill="1" applyBorder="1" applyAlignment="1">
      <alignment horizontal="center" vertical="center" wrapText="1"/>
    </xf>
    <xf numFmtId="0" fontId="5" fillId="0" borderId="1" xfId="0" applyFont="1" applyBorder="1" applyAlignment="1">
      <alignment vertical="center" wrapText="1"/>
    </xf>
    <xf numFmtId="0" fontId="5" fillId="0" borderId="3" xfId="0" applyFont="1" applyBorder="1" applyAlignment="1">
      <alignment vertical="center" wrapText="1"/>
    </xf>
    <xf numFmtId="0" fontId="6" fillId="0" borderId="13" xfId="0" applyFont="1" applyBorder="1" applyAlignment="1">
      <alignment horizontal="left"/>
    </xf>
    <xf numFmtId="0" fontId="6" fillId="0" borderId="14" xfId="0" applyFont="1" applyBorder="1" applyAlignment="1">
      <alignment horizontal="left"/>
    </xf>
    <xf numFmtId="0" fontId="6" fillId="0" borderId="12" xfId="0" applyFont="1" applyBorder="1"/>
    <xf numFmtId="0" fontId="5" fillId="0" borderId="8" xfId="0" applyFont="1" applyBorder="1" applyAlignment="1">
      <alignment vertical="center" wrapText="1"/>
    </xf>
    <xf numFmtId="0" fontId="5" fillId="0" borderId="7" xfId="0" applyFont="1" applyBorder="1" applyAlignment="1">
      <alignment vertical="center" wrapText="1"/>
    </xf>
    <xf numFmtId="0" fontId="6" fillId="0" borderId="13" xfId="0" applyFont="1" applyBorder="1"/>
    <xf numFmtId="0" fontId="6" fillId="0" borderId="14" xfId="0" applyFont="1" applyBorder="1"/>
    <xf numFmtId="0" fontId="5" fillId="0" borderId="12" xfId="0" applyFont="1" applyBorder="1" applyAlignment="1">
      <alignment horizontal="center" vertical="center" wrapText="1"/>
    </xf>
    <xf numFmtId="0" fontId="5" fillId="0" borderId="12" xfId="0" applyFont="1" applyBorder="1" applyAlignment="1">
      <alignment vertical="center" wrapText="1"/>
    </xf>
    <xf numFmtId="0" fontId="7" fillId="0" borderId="1" xfId="0" quotePrefix="1" applyFont="1" applyBorder="1" applyAlignment="1">
      <alignment horizontal="center" vertical="center"/>
    </xf>
    <xf numFmtId="0" fontId="8" fillId="0" borderId="3" xfId="0" applyFont="1" applyBorder="1" applyAlignment="1">
      <alignment horizontal="left" vertical="center" wrapText="1"/>
    </xf>
    <xf numFmtId="0" fontId="9" fillId="0" borderId="2" xfId="0" applyFont="1" applyBorder="1" applyAlignment="1">
      <alignment horizontal="center" vertical="center" wrapText="1"/>
    </xf>
    <xf numFmtId="0" fontId="10" fillId="0" borderId="9" xfId="0" applyFont="1" applyBorder="1"/>
    <xf numFmtId="0" fontId="10" fillId="0" borderId="8" xfId="0" applyFont="1" applyBorder="1" applyAlignment="1">
      <alignment horizontal="center"/>
    </xf>
    <xf numFmtId="0" fontId="10" fillId="0" borderId="7" xfId="0" applyFont="1" applyBorder="1" applyAlignment="1">
      <alignment horizontal="left"/>
    </xf>
    <xf numFmtId="0" fontId="9" fillId="0" borderId="0" xfId="0" applyFont="1" applyAlignment="1">
      <alignment horizontal="center" vertical="center" wrapText="1"/>
    </xf>
    <xf numFmtId="0" fontId="10" fillId="0" borderId="10" xfId="0" applyFont="1" applyBorder="1"/>
    <xf numFmtId="0" fontId="9" fillId="0" borderId="5" xfId="0" applyFont="1" applyBorder="1" applyAlignment="1">
      <alignment horizontal="center" vertical="center" wrapText="1"/>
    </xf>
    <xf numFmtId="0" fontId="10" fillId="0" borderId="11" xfId="0" applyFont="1" applyBorder="1"/>
    <xf numFmtId="0" fontId="1" fillId="0" borderId="1" xfId="0" applyFont="1" applyBorder="1"/>
    <xf numFmtId="164" fontId="2" fillId="0" borderId="2" xfId="0" applyNumberFormat="1" applyFont="1" applyBorder="1" applyAlignment="1">
      <alignment horizontal="center" vertical="center"/>
    </xf>
    <xf numFmtId="164" fontId="2" fillId="0" borderId="2" xfId="0" applyNumberFormat="1" applyFont="1" applyBorder="1"/>
    <xf numFmtId="0" fontId="2" fillId="0" borderId="2" xfId="0" applyFont="1" applyBorder="1" applyAlignment="1">
      <alignment horizontal="right"/>
    </xf>
    <xf numFmtId="0" fontId="1" fillId="0" borderId="8" xfId="0" applyFont="1" applyBorder="1"/>
    <xf numFmtId="164" fontId="2" fillId="0" borderId="0" xfId="0" applyNumberFormat="1" applyFont="1" applyAlignment="1">
      <alignment horizontal="center" vertical="center"/>
    </xf>
    <xf numFmtId="164" fontId="2" fillId="0" borderId="0" xfId="0" applyNumberFormat="1" applyFont="1"/>
    <xf numFmtId="0" fontId="2" fillId="0" borderId="0" xfId="0" applyFont="1" applyAlignment="1">
      <alignment horizontal="right"/>
    </xf>
    <xf numFmtId="0" fontId="1" fillId="0" borderId="4" xfId="0" applyFont="1" applyBorder="1"/>
    <xf numFmtId="164" fontId="2" fillId="0" borderId="5" xfId="0" applyNumberFormat="1" applyFont="1" applyBorder="1" applyAlignment="1">
      <alignment horizontal="center" vertical="center"/>
    </xf>
    <xf numFmtId="164" fontId="2" fillId="0" borderId="5" xfId="0" applyNumberFormat="1" applyFont="1" applyBorder="1"/>
    <xf numFmtId="0" fontId="12" fillId="0" borderId="9" xfId="0" applyFont="1" applyBorder="1"/>
    <xf numFmtId="164" fontId="1" fillId="0" borderId="9" xfId="0" applyNumberFormat="1" applyFont="1" applyBorder="1" applyAlignment="1">
      <alignment horizontal="center" vertical="center"/>
    </xf>
    <xf numFmtId="0" fontId="3" fillId="0" borderId="1" xfId="0" applyFont="1" applyBorder="1" applyAlignment="1">
      <alignment horizontal="left" vertical="center" wrapText="1"/>
    </xf>
    <xf numFmtId="0" fontId="12" fillId="0" borderId="10" xfId="0" applyFont="1" applyBorder="1"/>
    <xf numFmtId="164" fontId="1" fillId="0" borderId="10" xfId="0" applyNumberFormat="1" applyFont="1" applyBorder="1" applyAlignment="1">
      <alignment horizontal="center" vertical="center"/>
    </xf>
    <xf numFmtId="0" fontId="3" fillId="0" borderId="8" xfId="0" applyFont="1" applyBorder="1" applyAlignment="1">
      <alignment horizontal="left" vertical="center" wrapText="1"/>
    </xf>
    <xf numFmtId="0" fontId="3" fillId="0" borderId="8" xfId="0" applyFont="1" applyBorder="1" applyAlignment="1">
      <alignment horizontal="center" vertical="center" wrapText="1"/>
    </xf>
    <xf numFmtId="0" fontId="12" fillId="0" borderId="10" xfId="0" applyFont="1" applyBorder="1" applyAlignment="1">
      <alignment horizontal="center" vertical="center"/>
    </xf>
    <xf numFmtId="164" fontId="1" fillId="0" borderId="11" xfId="0" applyNumberFormat="1" applyFont="1" applyBorder="1" applyAlignment="1">
      <alignment horizontal="center" vertical="center"/>
    </xf>
    <xf numFmtId="0" fontId="3" fillId="0" borderId="4" xfId="0" applyFont="1" applyBorder="1" applyAlignment="1">
      <alignment horizontal="center" vertical="center" wrapText="1"/>
    </xf>
    <xf numFmtId="0" fontId="6" fillId="0" borderId="15" xfId="0" applyFont="1" applyBorder="1" applyAlignment="1">
      <alignment horizontal="left"/>
    </xf>
    <xf numFmtId="0" fontId="6" fillId="0" borderId="1" xfId="0" applyFont="1" applyBorder="1" applyAlignment="1">
      <alignment vertical="center"/>
    </xf>
    <xf numFmtId="0" fontId="6" fillId="0" borderId="2" xfId="0" applyFont="1" applyBorder="1" applyAlignment="1">
      <alignment vertical="center"/>
    </xf>
    <xf numFmtId="0" fontId="6" fillId="0" borderId="3" xfId="0" applyFont="1" applyBorder="1" applyAlignment="1">
      <alignment vertical="center"/>
    </xf>
    <xf numFmtId="0" fontId="6" fillId="0" borderId="8" xfId="0" applyFont="1" applyBorder="1" applyAlignment="1">
      <alignment vertical="center"/>
    </xf>
    <xf numFmtId="0" fontId="6" fillId="0" borderId="0" xfId="0" applyFont="1" applyAlignment="1">
      <alignment vertical="center"/>
    </xf>
    <xf numFmtId="0" fontId="6" fillId="0" borderId="7" xfId="0" applyFont="1" applyBorder="1" applyAlignment="1">
      <alignment vertical="center"/>
    </xf>
    <xf numFmtId="0" fontId="6" fillId="0" borderId="4" xfId="0" applyFont="1" applyBorder="1" applyAlignment="1">
      <alignment vertical="center"/>
    </xf>
    <xf numFmtId="0" fontId="6" fillId="0" borderId="5" xfId="0" applyFont="1" applyBorder="1" applyAlignment="1">
      <alignment vertical="center"/>
    </xf>
    <xf numFmtId="0" fontId="6" fillId="0" borderId="6" xfId="0" applyFont="1" applyBorder="1" applyAlignment="1">
      <alignment vertical="center"/>
    </xf>
    <xf numFmtId="0" fontId="7" fillId="0" borderId="1" xfId="0" applyFont="1" applyBorder="1" applyAlignment="1">
      <alignment horizontal="center" vertical="center"/>
    </xf>
    <xf numFmtId="0" fontId="7" fillId="0" borderId="2" xfId="0" quotePrefix="1" applyFont="1" applyBorder="1" applyAlignment="1">
      <alignment horizontal="center" vertical="center"/>
    </xf>
    <xf numFmtId="0" fontId="10" fillId="0" borderId="0" xfId="0" applyFont="1" applyAlignment="1">
      <alignment horizontal="center"/>
    </xf>
    <xf numFmtId="0" fontId="10" fillId="0" borderId="0" xfId="0" quotePrefix="1" applyFont="1" applyAlignment="1">
      <alignment horizontal="center"/>
    </xf>
    <xf numFmtId="4"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4" fontId="3" fillId="0" borderId="8" xfId="0" applyNumberFormat="1" applyFont="1" applyBorder="1" applyAlignment="1">
      <alignment horizontal="center" vertical="center" wrapText="1"/>
    </xf>
    <xf numFmtId="0" fontId="3" fillId="0" borderId="10" xfId="0" applyFont="1" applyBorder="1" applyAlignment="1">
      <alignment horizontal="center" vertical="center" wrapText="1"/>
    </xf>
    <xf numFmtId="0" fontId="3" fillId="0" borderId="10" xfId="0" applyFont="1" applyBorder="1" applyAlignment="1">
      <alignment horizontal="left" vertical="center"/>
    </xf>
    <xf numFmtId="4" fontId="3" fillId="0" borderId="4" xfId="0" applyNumberFormat="1" applyFont="1" applyBorder="1" applyAlignment="1">
      <alignment horizontal="center" vertical="center" wrapText="1"/>
    </xf>
    <xf numFmtId="0" fontId="5" fillId="0" borderId="4" xfId="0" applyFont="1" applyBorder="1" applyAlignment="1">
      <alignment vertical="center" wrapText="1"/>
    </xf>
    <xf numFmtId="0" fontId="5" fillId="0" borderId="6" xfId="0" applyFont="1" applyBorder="1" applyAlignment="1">
      <alignment vertical="center" wrapText="1"/>
    </xf>
    <xf numFmtId="0" fontId="3" fillId="0" borderId="8" xfId="0" applyFont="1" applyBorder="1" applyAlignment="1">
      <alignment vertical="center" wrapText="1"/>
    </xf>
    <xf numFmtId="4" fontId="3" fillId="0" borderId="10" xfId="0" applyNumberFormat="1" applyFont="1" applyBorder="1" applyAlignment="1">
      <alignment horizontal="center" vertical="center" wrapText="1"/>
    </xf>
    <xf numFmtId="4" fontId="3" fillId="0" borderId="11" xfId="0" applyNumberFormat="1" applyFont="1" applyBorder="1" applyAlignment="1">
      <alignment horizontal="center" vertical="center" wrapText="1"/>
    </xf>
    <xf numFmtId="4" fontId="1" fillId="0" borderId="10" xfId="0" applyNumberFormat="1" applyFont="1" applyBorder="1" applyAlignment="1">
      <alignment horizontal="center" vertical="center"/>
    </xf>
    <xf numFmtId="164" fontId="2" fillId="0" borderId="2" xfId="0" applyNumberFormat="1" applyFont="1" applyBorder="1" applyAlignment="1">
      <alignment vertical="center"/>
    </xf>
    <xf numFmtId="164" fontId="2" fillId="0" borderId="0" xfId="0" applyNumberFormat="1" applyFont="1" applyAlignment="1">
      <alignment vertical="center"/>
    </xf>
    <xf numFmtId="164" fontId="2" fillId="0" borderId="5" xfId="0" applyNumberFormat="1" applyFont="1" applyBorder="1" applyAlignment="1">
      <alignment vertical="center"/>
    </xf>
    <xf numFmtId="0" fontId="6" fillId="0" borderId="15" xfId="0" applyFont="1" applyBorder="1"/>
    <xf numFmtId="0" fontId="12" fillId="0" borderId="0" xfId="0" applyFont="1"/>
    <xf numFmtId="164" fontId="2" fillId="0" borderId="9" xfId="0" applyNumberFormat="1" applyFont="1" applyBorder="1" applyAlignment="1">
      <alignment vertical="center"/>
    </xf>
    <xf numFmtId="164" fontId="2" fillId="0" borderId="10" xfId="0" applyNumberFormat="1" applyFont="1" applyBorder="1" applyAlignment="1">
      <alignment vertical="center"/>
    </xf>
    <xf numFmtId="0" fontId="13" fillId="0" borderId="0" xfId="0" applyFont="1"/>
    <xf numFmtId="0" fontId="13" fillId="0" borderId="0" xfId="0" applyFont="1" applyAlignment="1">
      <alignment horizontal="left" vertical="center"/>
    </xf>
    <xf numFmtId="0" fontId="12" fillId="0" borderId="8" xfId="0" applyFont="1" applyBorder="1"/>
    <xf numFmtId="164" fontId="1" fillId="0" borderId="10" xfId="0" applyNumberFormat="1" applyFont="1" applyBorder="1" applyAlignment="1">
      <alignment vertical="center"/>
    </xf>
    <xf numFmtId="164" fontId="12" fillId="0" borderId="7" xfId="0" applyNumberFormat="1" applyFont="1" applyBorder="1"/>
    <xf numFmtId="4" fontId="13" fillId="0" borderId="10" xfId="0" applyNumberFormat="1" applyFont="1" applyBorder="1" applyAlignment="1">
      <alignment horizontal="left"/>
    </xf>
    <xf numFmtId="0" fontId="14" fillId="0" borderId="0" xfId="0" applyFont="1" applyAlignment="1">
      <alignment horizontal="left"/>
    </xf>
    <xf numFmtId="0" fontId="13" fillId="0" borderId="0" xfId="0" applyFont="1" applyAlignment="1">
      <alignment horizontal="left"/>
    </xf>
    <xf numFmtId="164" fontId="12" fillId="0" borderId="10" xfId="0" applyNumberFormat="1" applyFont="1" applyBorder="1"/>
    <xf numFmtId="0" fontId="13" fillId="0" borderId="0" xfId="0" applyFont="1" applyAlignment="1">
      <alignment horizontal="left" wrapText="1"/>
    </xf>
    <xf numFmtId="164" fontId="1" fillId="0" borderId="8" xfId="0" applyNumberFormat="1" applyFont="1" applyBorder="1" applyAlignment="1">
      <alignment horizontal="center" vertical="center"/>
    </xf>
    <xf numFmtId="4" fontId="3" fillId="0" borderId="0" xfId="0" applyNumberFormat="1" applyFont="1"/>
    <xf numFmtId="4" fontId="3" fillId="0" borderId="10" xfId="0" applyNumberFormat="1" applyFont="1" applyBorder="1" applyAlignment="1">
      <alignment horizontal="center"/>
    </xf>
    <xf numFmtId="0" fontId="1" fillId="0" borderId="0" xfId="0" applyFont="1" applyAlignment="1">
      <alignment vertical="center" wrapText="1"/>
    </xf>
    <xf numFmtId="0" fontId="3" fillId="0" borderId="10" xfId="0" applyFont="1" applyBorder="1" applyAlignment="1">
      <alignment horizontal="center"/>
    </xf>
    <xf numFmtId="0" fontId="3" fillId="0" borderId="0" xfId="0" applyFont="1" applyAlignment="1">
      <alignment horizontal="center"/>
    </xf>
    <xf numFmtId="0" fontId="3" fillId="0" borderId="10" xfId="0" applyFont="1" applyBorder="1" applyAlignment="1">
      <alignment horizontal="center" vertical="center"/>
    </xf>
    <xf numFmtId="0" fontId="3" fillId="0" borderId="0" xfId="0" applyFont="1" applyAlignment="1">
      <alignment horizontal="center" vertical="center"/>
    </xf>
    <xf numFmtId="0" fontId="12" fillId="0" borderId="11" xfId="0" applyFont="1" applyBorder="1"/>
    <xf numFmtId="164" fontId="1" fillId="0" borderId="11" xfId="0" applyNumberFormat="1" applyFont="1" applyBorder="1" applyAlignment="1">
      <alignment vertical="center"/>
    </xf>
    <xf numFmtId="4" fontId="3" fillId="0" borderId="11" xfId="0" applyNumberFormat="1" applyFont="1" applyBorder="1" applyAlignment="1">
      <alignment horizontal="center"/>
    </xf>
    <xf numFmtId="0" fontId="3" fillId="0" borderId="11" xfId="0" applyFont="1" applyBorder="1" applyAlignment="1">
      <alignment horizontal="center" vertical="center"/>
    </xf>
    <xf numFmtId="0" fontId="10" fillId="0" borderId="0" xfId="0" quotePrefix="1" applyFont="1" applyAlignment="1">
      <alignment horizontal="center" vertical="center"/>
    </xf>
    <xf numFmtId="0" fontId="10" fillId="0" borderId="0" xfId="0" applyFont="1" applyAlignment="1">
      <alignment vertical="center"/>
    </xf>
    <xf numFmtId="0" fontId="10" fillId="0" borderId="7" xfId="0" applyFont="1" applyBorder="1" applyAlignment="1">
      <alignment vertical="center"/>
    </xf>
    <xf numFmtId="0" fontId="10" fillId="0" borderId="7" xfId="0" applyFont="1" applyBorder="1"/>
    <xf numFmtId="0" fontId="10" fillId="0" borderId="0" xfId="0" applyFont="1"/>
    <xf numFmtId="0" fontId="12" fillId="0" borderId="10" xfId="0" applyFont="1" applyBorder="1" applyAlignment="1">
      <alignment vertical="center" wrapText="1"/>
    </xf>
    <xf numFmtId="164" fontId="18" fillId="0" borderId="10" xfId="0" applyNumberFormat="1" applyFont="1" applyBorder="1" applyAlignment="1">
      <alignment horizontal="center" vertical="center"/>
    </xf>
    <xf numFmtId="0" fontId="12" fillId="0" borderId="10" xfId="0" applyFont="1" applyBorder="1" applyAlignment="1">
      <alignment wrapText="1"/>
    </xf>
    <xf numFmtId="0" fontId="12" fillId="0" borderId="10" xfId="0" applyFont="1" applyBorder="1" applyAlignment="1">
      <alignment horizontal="center" vertical="center" wrapText="1"/>
    </xf>
    <xf numFmtId="0" fontId="12" fillId="0" borderId="9" xfId="0" applyFont="1" applyBorder="1" applyAlignment="1">
      <alignment horizontal="center" vertical="center"/>
    </xf>
    <xf numFmtId="164" fontId="18" fillId="0" borderId="9" xfId="0" applyNumberFormat="1" applyFont="1" applyBorder="1" applyAlignment="1">
      <alignment horizontal="center" vertical="center"/>
    </xf>
    <xf numFmtId="0" fontId="12" fillId="0" borderId="6" xfId="0" applyFont="1" applyBorder="1"/>
    <xf numFmtId="0" fontId="12" fillId="0" borderId="5" xfId="0" applyFont="1" applyBorder="1"/>
    <xf numFmtId="0" fontId="1" fillId="0" borderId="6" xfId="0" applyFont="1" applyBorder="1" applyAlignment="1">
      <alignment horizontal="right" vertical="center"/>
    </xf>
    <xf numFmtId="164" fontId="19" fillId="0" borderId="5" xfId="0" applyNumberFormat="1" applyFont="1" applyBorder="1" applyAlignment="1">
      <alignment horizontal="center" vertical="center"/>
    </xf>
    <xf numFmtId="0" fontId="12" fillId="0" borderId="4" xfId="0" applyFont="1" applyBorder="1"/>
    <xf numFmtId="0" fontId="12" fillId="0" borderId="7" xfId="0" applyFont="1" applyBorder="1"/>
    <xf numFmtId="0" fontId="1" fillId="0" borderId="7" xfId="0" applyFont="1" applyBorder="1" applyAlignment="1">
      <alignment horizontal="right" vertical="center"/>
    </xf>
    <xf numFmtId="164" fontId="19" fillId="0" borderId="0" xfId="0" applyNumberFormat="1" applyFont="1" applyAlignment="1">
      <alignment horizontal="center" vertical="center"/>
    </xf>
    <xf numFmtId="0" fontId="1" fillId="0" borderId="3" xfId="0" applyFont="1" applyBorder="1" applyAlignment="1">
      <alignment horizontal="right" vertical="center"/>
    </xf>
    <xf numFmtId="0" fontId="1" fillId="0" borderId="2" xfId="0" applyFont="1" applyBorder="1"/>
    <xf numFmtId="164" fontId="19" fillId="0" borderId="2" xfId="0" applyNumberFormat="1" applyFont="1" applyBorder="1" applyAlignment="1">
      <alignment horizontal="center" vertical="center"/>
    </xf>
    <xf numFmtId="0" fontId="12" fillId="0" borderId="1" xfId="0" applyFont="1" applyBorder="1"/>
    <xf numFmtId="0" fontId="12" fillId="0" borderId="5" xfId="0" applyFont="1" applyBorder="1" applyAlignment="1">
      <alignment horizontal="center" vertical="center"/>
    </xf>
    <xf numFmtId="0" fontId="12" fillId="0" borderId="2" xfId="0" applyFont="1" applyBorder="1" applyAlignment="1">
      <alignment horizontal="center" vertical="center"/>
    </xf>
    <xf numFmtId="0" fontId="9" fillId="0" borderId="7" xfId="0" applyFont="1" applyBorder="1" applyAlignment="1">
      <alignment vertical="center" wrapText="1"/>
    </xf>
    <xf numFmtId="0" fontId="9" fillId="0" borderId="8" xfId="0" applyFont="1" applyBorder="1" applyAlignment="1">
      <alignment vertical="center" wrapText="1"/>
    </xf>
    <xf numFmtId="0" fontId="9" fillId="0" borderId="3" xfId="0" applyFont="1" applyBorder="1" applyAlignment="1">
      <alignment vertical="center" wrapText="1"/>
    </xf>
    <xf numFmtId="0" fontId="9" fillId="0" borderId="1" xfId="0" applyFont="1" applyBorder="1" applyAlignment="1">
      <alignment vertical="center" wrapText="1"/>
    </xf>
    <xf numFmtId="0" fontId="3" fillId="0" borderId="11" xfId="0" applyFont="1" applyBorder="1" applyAlignment="1">
      <alignment horizontal="left" vertical="center"/>
    </xf>
    <xf numFmtId="0" fontId="3" fillId="0" borderId="6" xfId="0" applyFont="1" applyBorder="1" applyAlignment="1">
      <alignment horizontal="center" vertical="center"/>
    </xf>
    <xf numFmtId="4" fontId="3" fillId="0" borderId="4" xfId="0" applyNumberFormat="1"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4" fontId="3" fillId="0" borderId="8" xfId="0" applyNumberFormat="1" applyFont="1" applyBorder="1" applyAlignment="1">
      <alignment horizontal="center" vertical="center"/>
    </xf>
    <xf numFmtId="0" fontId="3" fillId="0" borderId="10" xfId="0" applyFont="1" applyBorder="1" applyAlignment="1">
      <alignment vertical="center"/>
    </xf>
    <xf numFmtId="165" fontId="3" fillId="0" borderId="10" xfId="0" applyNumberFormat="1" applyFont="1" applyBorder="1" applyAlignment="1">
      <alignment horizontal="left" vertical="center"/>
    </xf>
    <xf numFmtId="0" fontId="4" fillId="2" borderId="12" xfId="0" applyFont="1" applyFill="1" applyBorder="1" applyAlignment="1">
      <alignment horizontal="center" vertical="center"/>
    </xf>
    <xf numFmtId="0" fontId="1" fillId="0" borderId="2" xfId="0" applyFont="1" applyBorder="1" applyAlignment="1">
      <alignment horizontal="left" vertical="center"/>
    </xf>
    <xf numFmtId="0" fontId="3" fillId="0" borderId="4" xfId="0" applyFont="1" applyBorder="1" applyAlignment="1">
      <alignment horizontal="left" vertical="center" wrapText="1"/>
    </xf>
    <xf numFmtId="164" fontId="1" fillId="0" borderId="4" xfId="0" applyNumberFormat="1" applyFont="1" applyBorder="1" applyAlignment="1">
      <alignment horizontal="center" vertical="center"/>
    </xf>
    <xf numFmtId="0" fontId="1" fillId="0" borderId="7" xfId="0" quotePrefix="1" applyFont="1" applyBorder="1" applyAlignment="1">
      <alignment horizontal="center" vertical="center"/>
    </xf>
    <xf numFmtId="164" fontId="1" fillId="0" borderId="1" xfId="0" applyNumberFormat="1" applyFont="1" applyBorder="1" applyAlignment="1">
      <alignment horizontal="center" vertical="center"/>
    </xf>
    <xf numFmtId="4" fontId="3" fillId="0" borderId="9" xfId="0" applyNumberFormat="1" applyFont="1" applyBorder="1" applyAlignment="1">
      <alignment horizontal="center" vertical="center" wrapText="1"/>
    </xf>
    <xf numFmtId="0" fontId="12" fillId="3" borderId="10" xfId="0" applyFont="1" applyFill="1" applyBorder="1" applyAlignment="1">
      <alignment horizontal="center" vertical="center"/>
    </xf>
    <xf numFmtId="0" fontId="0" fillId="3" borderId="0" xfId="0" applyFill="1"/>
    <xf numFmtId="164" fontId="19" fillId="0" borderId="11" xfId="0" applyNumberFormat="1" applyFont="1" applyBorder="1" applyAlignment="1">
      <alignment horizontal="center" vertical="center"/>
    </xf>
    <xf numFmtId="164" fontId="19" fillId="0" borderId="10" xfId="0" applyNumberFormat="1" applyFont="1" applyBorder="1" applyAlignment="1">
      <alignment horizontal="center" vertical="center"/>
    </xf>
    <xf numFmtId="164" fontId="19" fillId="0" borderId="9" xfId="0" applyNumberFormat="1" applyFont="1" applyBorder="1" applyAlignment="1">
      <alignment horizontal="center" vertical="center"/>
    </xf>
    <xf numFmtId="164" fontId="20" fillId="0" borderId="5" xfId="0" applyNumberFormat="1" applyFont="1" applyBorder="1"/>
    <xf numFmtId="164" fontId="20" fillId="0" borderId="5" xfId="0" applyNumberFormat="1" applyFont="1" applyBorder="1" applyAlignment="1">
      <alignment horizontal="center" vertical="center"/>
    </xf>
    <xf numFmtId="164" fontId="20" fillId="0" borderId="0" xfId="0" applyNumberFormat="1" applyFont="1"/>
    <xf numFmtId="164" fontId="20" fillId="0" borderId="0" xfId="0" applyNumberFormat="1" applyFont="1" applyAlignment="1">
      <alignment horizontal="center" vertical="center"/>
    </xf>
    <xf numFmtId="164" fontId="20" fillId="0" borderId="2" xfId="0" applyNumberFormat="1" applyFont="1" applyBorder="1"/>
    <xf numFmtId="164" fontId="20" fillId="0" borderId="2" xfId="0" applyNumberFormat="1" applyFont="1" applyBorder="1" applyAlignment="1">
      <alignment horizontal="center" vertical="center"/>
    </xf>
    <xf numFmtId="0" fontId="10" fillId="0" borderId="12" xfId="0" applyFont="1" applyBorder="1" applyAlignment="1">
      <alignment horizontal="left"/>
    </xf>
    <xf numFmtId="0" fontId="8" fillId="0" borderId="12" xfId="0" applyFont="1" applyBorder="1" applyAlignment="1">
      <alignment horizontal="left" vertical="center" wrapText="1"/>
    </xf>
    <xf numFmtId="0" fontId="0" fillId="0" borderId="12" xfId="0" applyBorder="1"/>
    <xf numFmtId="0" fontId="5" fillId="0" borderId="12" xfId="0" applyFont="1" applyBorder="1" applyAlignment="1">
      <alignment vertical="center"/>
    </xf>
    <xf numFmtId="0" fontId="4" fillId="2" borderId="3" xfId="0" applyFont="1" applyFill="1" applyBorder="1" applyAlignment="1">
      <alignment horizontal="center" vertical="center" wrapText="1"/>
    </xf>
    <xf numFmtId="4" fontId="3" fillId="0" borderId="6" xfId="0" applyNumberFormat="1" applyFont="1" applyBorder="1" applyAlignment="1">
      <alignment horizontal="center" vertical="center" wrapText="1"/>
    </xf>
    <xf numFmtId="4" fontId="3" fillId="0" borderId="7" xfId="0" applyNumberFormat="1" applyFont="1" applyBorder="1" applyAlignment="1">
      <alignment horizontal="center" vertical="center" wrapText="1"/>
    </xf>
    <xf numFmtId="4" fontId="3" fillId="0" borderId="0" xfId="0" applyNumberFormat="1" applyFont="1" applyAlignment="1">
      <alignment horizontal="center" vertical="center" wrapText="1"/>
    </xf>
    <xf numFmtId="4" fontId="3" fillId="0" borderId="2" xfId="0" applyNumberFormat="1" applyFont="1" applyBorder="1" applyAlignment="1">
      <alignment horizontal="center" vertical="center" wrapText="1"/>
    </xf>
    <xf numFmtId="0" fontId="0" fillId="0" borderId="8" xfId="0" applyBorder="1"/>
    <xf numFmtId="164" fontId="2" fillId="0" borderId="11" xfId="0" applyNumberFormat="1" applyFont="1" applyBorder="1"/>
    <xf numFmtId="164" fontId="2" fillId="0" borderId="10" xfId="0" applyNumberFormat="1" applyFont="1" applyBorder="1"/>
    <xf numFmtId="164" fontId="2" fillId="0" borderId="9" xfId="0" applyNumberFormat="1" applyFont="1" applyBorder="1"/>
    <xf numFmtId="0" fontId="1" fillId="0" borderId="11" xfId="0" applyFont="1" applyBorder="1" applyAlignment="1">
      <alignment horizontal="center" vertical="center"/>
    </xf>
    <xf numFmtId="0" fontId="1" fillId="0" borderId="9" xfId="0" applyFont="1" applyBorder="1" applyAlignment="1">
      <alignment horizontal="center" vertical="center"/>
    </xf>
    <xf numFmtId="0" fontId="0" fillId="0" borderId="1" xfId="0" applyBorder="1"/>
    <xf numFmtId="0" fontId="1" fillId="0" borderId="0" xfId="0" applyFont="1" applyAlignment="1">
      <alignment horizontal="center" vertical="center"/>
    </xf>
    <xf numFmtId="0" fontId="11" fillId="0" borderId="6" xfId="0" applyFont="1" applyBorder="1" applyAlignment="1">
      <alignment vertical="center"/>
    </xf>
    <xf numFmtId="0" fontId="11" fillId="0" borderId="4" xfId="0" applyFont="1" applyBorder="1" applyAlignment="1">
      <alignment vertical="center"/>
    </xf>
    <xf numFmtId="0" fontId="0" fillId="0" borderId="15" xfId="0" applyBorder="1"/>
    <xf numFmtId="0" fontId="8" fillId="0" borderId="7" xfId="0" applyFont="1" applyBorder="1" applyAlignment="1">
      <alignment horizontal="left" vertical="center" wrapText="1"/>
    </xf>
    <xf numFmtId="0" fontId="5" fillId="0" borderId="15" xfId="0" applyFont="1" applyBorder="1" applyAlignment="1">
      <alignment horizontal="left" vertical="center" wrapText="1"/>
    </xf>
    <xf numFmtId="0" fontId="0" fillId="0" borderId="15" xfId="0" applyBorder="1" applyAlignment="1">
      <alignment horizontal="left"/>
    </xf>
    <xf numFmtId="0" fontId="4" fillId="2" borderId="14" xfId="0" applyFont="1" applyFill="1" applyBorder="1" applyAlignment="1">
      <alignment horizontal="center"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7" xfId="0" applyFont="1" applyBorder="1" applyAlignment="1">
      <alignment vertical="center" wrapText="1"/>
    </xf>
    <xf numFmtId="165" fontId="3" fillId="0" borderId="7" xfId="0" applyNumberFormat="1" applyFont="1" applyBorder="1" applyAlignment="1">
      <alignment horizontal="left" vertical="center" wrapText="1"/>
    </xf>
    <xf numFmtId="0" fontId="3" fillId="0" borderId="3" xfId="0" applyFont="1" applyBorder="1" applyAlignment="1">
      <alignment horizontal="left" vertical="center" wrapText="1"/>
    </xf>
    <xf numFmtId="0" fontId="5" fillId="0" borderId="13" xfId="0" applyFont="1" applyBorder="1" applyAlignment="1">
      <alignment horizontal="left" vertical="center" wrapText="1"/>
    </xf>
    <xf numFmtId="0" fontId="4" fillId="2" borderId="15" xfId="0" applyFont="1" applyFill="1" applyBorder="1" applyAlignment="1">
      <alignment horizontal="center" vertical="center" wrapText="1"/>
    </xf>
    <xf numFmtId="0" fontId="6" fillId="0" borderId="12" xfId="0" applyFont="1" applyBorder="1" applyAlignment="1">
      <alignment horizontal="left"/>
    </xf>
    <xf numFmtId="0" fontId="0" fillId="0" borderId="10" xfId="0" applyBorder="1"/>
    <xf numFmtId="0" fontId="0" fillId="0" borderId="4" xfId="0" applyBorder="1"/>
    <xf numFmtId="0" fontId="0" fillId="0" borderId="3" xfId="0" applyBorder="1"/>
    <xf numFmtId="0" fontId="0" fillId="0" borderId="2" xfId="0" applyBorder="1"/>
    <xf numFmtId="0" fontId="0" fillId="0" borderId="11" xfId="0" applyBorder="1"/>
    <xf numFmtId="0" fontId="5" fillId="0" borderId="13" xfId="0" applyFont="1" applyBorder="1" applyAlignment="1">
      <alignment vertical="center" wrapText="1"/>
    </xf>
    <xf numFmtId="0" fontId="1" fillId="0" borderId="8" xfId="0" applyFont="1" applyBorder="1" applyAlignment="1">
      <alignment horizontal="center" vertical="center"/>
    </xf>
    <xf numFmtId="0" fontId="0" fillId="0" borderId="5" xfId="0" applyBorder="1"/>
    <xf numFmtId="0" fontId="1" fillId="0" borderId="3" xfId="0" applyFont="1" applyBorder="1"/>
    <xf numFmtId="4" fontId="3" fillId="0" borderId="9" xfId="0" applyNumberFormat="1" applyFont="1" applyBorder="1" applyAlignment="1">
      <alignment horizontal="center" wrapText="1"/>
    </xf>
    <xf numFmtId="4" fontId="2" fillId="0" borderId="6" xfId="0" applyNumberFormat="1" applyFont="1" applyBorder="1" applyAlignment="1">
      <alignment horizontal="center"/>
    </xf>
    <xf numFmtId="4" fontId="2" fillId="0" borderId="7" xfId="0" applyNumberFormat="1" applyFont="1" applyBorder="1" applyAlignment="1">
      <alignment horizontal="center"/>
    </xf>
    <xf numFmtId="4" fontId="2" fillId="0" borderId="3" xfId="0" applyNumberFormat="1" applyFont="1" applyBorder="1" applyAlignment="1">
      <alignment horizontal="center"/>
    </xf>
    <xf numFmtId="0" fontId="0" fillId="0" borderId="9" xfId="0" applyBorder="1"/>
    <xf numFmtId="4" fontId="3" fillId="0" borderId="5" xfId="0" applyNumberFormat="1"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vertical="center" wrapText="1"/>
    </xf>
    <xf numFmtId="0" fontId="3" fillId="0" borderId="2" xfId="0" applyFont="1" applyBorder="1" applyAlignment="1">
      <alignment horizontal="left" vertical="center" wrapText="1"/>
    </xf>
    <xf numFmtId="0" fontId="3" fillId="0" borderId="0" xfId="0" applyFont="1" applyAlignment="1">
      <alignment horizontal="center" vertical="center" wrapText="1"/>
    </xf>
    <xf numFmtId="0" fontId="5" fillId="0" borderId="0" xfId="0" applyFont="1" applyAlignment="1">
      <alignment vertical="center" wrapText="1"/>
    </xf>
    <xf numFmtId="0" fontId="5" fillId="0" borderId="2" xfId="0" applyFont="1" applyBorder="1" applyAlignment="1">
      <alignment vertical="center" wrapText="1"/>
    </xf>
    <xf numFmtId="0" fontId="0" fillId="0" borderId="14" xfId="0" applyBorder="1"/>
    <xf numFmtId="0" fontId="10" fillId="0" borderId="15" xfId="0" applyFont="1" applyBorder="1" applyAlignment="1">
      <alignment horizontal="center"/>
    </xf>
    <xf numFmtId="0" fontId="7" fillId="0" borderId="13" xfId="0" quotePrefix="1" applyFont="1" applyBorder="1" applyAlignment="1">
      <alignment horizontal="center" vertical="center"/>
    </xf>
    <xf numFmtId="4" fontId="2" fillId="0" borderId="11" xfId="0" applyNumberFormat="1" applyFont="1" applyBorder="1" applyAlignment="1">
      <alignment horizontal="center"/>
    </xf>
    <xf numFmtId="4" fontId="2" fillId="0" borderId="10" xfId="0" applyNumberFormat="1" applyFont="1" applyBorder="1" applyAlignment="1">
      <alignment horizontal="center"/>
    </xf>
    <xf numFmtId="4" fontId="2" fillId="0" borderId="9" xfId="0" applyNumberFormat="1" applyFont="1" applyBorder="1" applyAlignment="1">
      <alignment horizontal="center"/>
    </xf>
    <xf numFmtId="164" fontId="21" fillId="0" borderId="11" xfId="0" applyNumberFormat="1" applyFont="1" applyBorder="1" applyAlignment="1">
      <alignment horizontal="center" vertical="center"/>
    </xf>
    <xf numFmtId="164" fontId="21" fillId="0" borderId="10" xfId="0" applyNumberFormat="1" applyFont="1" applyBorder="1" applyAlignment="1">
      <alignment horizontal="center" vertical="center"/>
    </xf>
    <xf numFmtId="164" fontId="21" fillId="0" borderId="9" xfId="0" applyNumberFormat="1" applyFont="1" applyBorder="1" applyAlignment="1">
      <alignment horizontal="center" vertical="center"/>
    </xf>
    <xf numFmtId="164" fontId="22" fillId="0" borderId="5" xfId="0" applyNumberFormat="1" applyFont="1" applyBorder="1"/>
    <xf numFmtId="164" fontId="22" fillId="0" borderId="0" xfId="0" applyNumberFormat="1" applyFont="1"/>
    <xf numFmtId="164" fontId="22" fillId="0" borderId="2" xfId="0" applyNumberFormat="1" applyFont="1" applyBorder="1"/>
    <xf numFmtId="164" fontId="22" fillId="0" borderId="5" xfId="0" applyNumberFormat="1" applyFont="1" applyBorder="1" applyAlignment="1">
      <alignment horizontal="center" vertical="center"/>
    </xf>
    <xf numFmtId="164" fontId="22" fillId="0" borderId="0" xfId="0" applyNumberFormat="1" applyFont="1" applyAlignment="1">
      <alignment horizontal="center" vertical="center"/>
    </xf>
    <xf numFmtId="164" fontId="22" fillId="0" borderId="2" xfId="0" applyNumberFormat="1" applyFont="1" applyBorder="1" applyAlignment="1">
      <alignment horizontal="center" vertical="center"/>
    </xf>
    <xf numFmtId="4" fontId="21" fillId="0" borderId="1" xfId="0" applyNumberFormat="1" applyFont="1" applyBorder="1" applyAlignment="1">
      <alignment horizontal="center" vertical="center" wrapText="1"/>
    </xf>
    <xf numFmtId="164" fontId="20" fillId="0" borderId="5" xfId="0" applyNumberFormat="1" applyFont="1" applyBorder="1" applyAlignment="1">
      <alignment vertical="center"/>
    </xf>
    <xf numFmtId="164" fontId="20" fillId="0" borderId="0" xfId="0" applyNumberFormat="1" applyFont="1" applyAlignment="1">
      <alignment vertical="center"/>
    </xf>
    <xf numFmtId="164" fontId="20" fillId="0" borderId="2" xfId="0" applyNumberFormat="1" applyFont="1" applyBorder="1" applyAlignment="1">
      <alignment vertical="center"/>
    </xf>
    <xf numFmtId="0" fontId="3" fillId="0" borderId="5" xfId="0" applyFont="1" applyBorder="1" applyAlignment="1">
      <alignment horizontal="center" vertical="center" wrapText="1"/>
    </xf>
    <xf numFmtId="0" fontId="3" fillId="0" borderId="2" xfId="0" applyFont="1" applyBorder="1" applyAlignment="1">
      <alignment horizontal="center" vertical="center" wrapText="1"/>
    </xf>
    <xf numFmtId="164" fontId="0" fillId="0" borderId="0" xfId="0" applyNumberFormat="1"/>
    <xf numFmtId="4" fontId="19" fillId="0" borderId="8" xfId="0" applyNumberFormat="1" applyFont="1" applyBorder="1" applyAlignment="1">
      <alignment horizontal="center" vertical="center" wrapText="1"/>
    </xf>
    <xf numFmtId="4" fontId="19" fillId="0" borderId="8" xfId="0" applyNumberFormat="1" applyFont="1" applyBorder="1" applyAlignment="1">
      <alignment horizontal="center" vertical="center"/>
    </xf>
    <xf numFmtId="165" fontId="19" fillId="0" borderId="8" xfId="0" applyNumberFormat="1" applyFont="1" applyBorder="1" applyAlignment="1">
      <alignment horizontal="left" vertical="center" wrapText="1"/>
    </xf>
    <xf numFmtId="165" fontId="19" fillId="0" borderId="9" xfId="0" applyNumberFormat="1" applyFont="1" applyBorder="1" applyAlignment="1">
      <alignment horizontal="center" vertical="center"/>
    </xf>
    <xf numFmtId="4" fontId="20" fillId="0" borderId="12" xfId="0" applyNumberFormat="1" applyFont="1" applyBorder="1" applyAlignment="1">
      <alignment horizontal="center"/>
    </xf>
    <xf numFmtId="164" fontId="19" fillId="0" borderId="4" xfId="0" applyNumberFormat="1" applyFont="1" applyBorder="1" applyAlignment="1">
      <alignment horizontal="center" vertical="center"/>
    </xf>
    <xf numFmtId="164" fontId="19" fillId="0" borderId="8" xfId="0" applyNumberFormat="1" applyFont="1" applyBorder="1" applyAlignment="1">
      <alignment horizontal="center" vertical="center"/>
    </xf>
    <xf numFmtId="164" fontId="19" fillId="0" borderId="1" xfId="0" applyNumberFormat="1" applyFont="1" applyBorder="1" applyAlignment="1">
      <alignment horizontal="center" vertical="center"/>
    </xf>
    <xf numFmtId="0" fontId="2" fillId="0" borderId="0" xfId="0" applyFont="1" applyAlignment="1">
      <alignment horizontal="right"/>
    </xf>
    <xf numFmtId="0" fontId="9" fillId="0" borderId="6" xfId="0" applyFont="1" applyBorder="1" applyAlignment="1">
      <alignment horizontal="center" vertical="center" wrapText="1"/>
    </xf>
    <xf numFmtId="0" fontId="9" fillId="0" borderId="4" xfId="0" applyFont="1" applyBorder="1" applyAlignment="1">
      <alignment horizontal="center" vertical="center"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9" fillId="0" borderId="3" xfId="0" applyFont="1" applyBorder="1" applyAlignment="1">
      <alignment horizontal="center" vertical="center" wrapText="1"/>
    </xf>
    <xf numFmtId="0" fontId="9" fillId="0" borderId="1" xfId="0" applyFont="1" applyBorder="1" applyAlignment="1">
      <alignment horizontal="center" vertical="center" wrapText="1"/>
    </xf>
    <xf numFmtId="0" fontId="15" fillId="0" borderId="6" xfId="0" applyFont="1" applyBorder="1" applyAlignment="1">
      <alignment horizontal="center" vertical="center"/>
    </xf>
    <xf numFmtId="0" fontId="15" fillId="0" borderId="5" xfId="0" applyFont="1" applyBorder="1" applyAlignment="1">
      <alignment horizontal="center" vertical="center"/>
    </xf>
    <xf numFmtId="0" fontId="15" fillId="0" borderId="4" xfId="0" applyFont="1" applyBorder="1" applyAlignment="1">
      <alignment horizontal="center" vertical="center"/>
    </xf>
    <xf numFmtId="0" fontId="10" fillId="0" borderId="7" xfId="0" applyFont="1" applyBorder="1" applyAlignment="1">
      <alignment horizontal="right"/>
    </xf>
    <xf numFmtId="0" fontId="10" fillId="0" borderId="0" xfId="0" applyFont="1" applyAlignment="1">
      <alignment horizontal="right"/>
    </xf>
    <xf numFmtId="0" fontId="10" fillId="0" borderId="0" xfId="0" applyFont="1" applyAlignment="1">
      <alignment horizontal="center"/>
    </xf>
    <xf numFmtId="0" fontId="10" fillId="0" borderId="8" xfId="0" applyFont="1" applyBorder="1" applyAlignment="1">
      <alignment horizontal="center"/>
    </xf>
    <xf numFmtId="0" fontId="10" fillId="0" borderId="0" xfId="0" quotePrefix="1" applyFont="1" applyAlignment="1">
      <alignment horizontal="center"/>
    </xf>
    <xf numFmtId="0" fontId="8" fillId="0" borderId="3" xfId="0" applyFont="1" applyBorder="1" applyAlignment="1">
      <alignment horizontal="right" vertical="center" wrapText="1"/>
    </xf>
    <xf numFmtId="0" fontId="8" fillId="0" borderId="2" xfId="0" applyFont="1" applyBorder="1" applyAlignment="1">
      <alignment horizontal="right" vertical="center" wrapText="1"/>
    </xf>
    <xf numFmtId="0" fontId="7" fillId="0" borderId="2" xfId="0" quotePrefix="1" applyFont="1" applyBorder="1" applyAlignment="1">
      <alignment horizontal="center" vertical="center"/>
    </xf>
    <xf numFmtId="0" fontId="7" fillId="0" borderId="1" xfId="0" applyFont="1" applyBorder="1" applyAlignment="1">
      <alignment horizontal="center" vertical="center"/>
    </xf>
    <xf numFmtId="0" fontId="6" fillId="0" borderId="13" xfId="0" applyFont="1" applyBorder="1"/>
    <xf numFmtId="0" fontId="6" fillId="0" borderId="15" xfId="0" applyFont="1" applyBorder="1"/>
    <xf numFmtId="0" fontId="6" fillId="0" borderId="14" xfId="0" applyFont="1" applyBorder="1" applyAlignment="1">
      <alignment horizontal="left"/>
    </xf>
    <xf numFmtId="0" fontId="6" fillId="0" borderId="13" xfId="0" applyFont="1" applyBorder="1" applyAlignment="1">
      <alignment horizontal="left"/>
    </xf>
    <xf numFmtId="0" fontId="6" fillId="0" borderId="15" xfId="0" applyFont="1" applyBorder="1" applyAlignment="1">
      <alignment horizontal="left"/>
    </xf>
    <xf numFmtId="0" fontId="2" fillId="0" borderId="5" xfId="0" applyFont="1" applyBorder="1" applyAlignment="1">
      <alignment horizontal="right"/>
    </xf>
    <xf numFmtId="0" fontId="2" fillId="0" borderId="2" xfId="0" applyFont="1" applyBorder="1" applyAlignment="1">
      <alignment horizontal="right"/>
    </xf>
    <xf numFmtId="0" fontId="1" fillId="0" borderId="6" xfId="0" applyFont="1" applyBorder="1" applyAlignment="1">
      <alignment horizontal="center" vertical="center"/>
    </xf>
    <xf numFmtId="0" fontId="1" fillId="0" borderId="5" xfId="0" applyFont="1" applyBorder="1" applyAlignment="1">
      <alignment horizontal="center" vertical="center"/>
    </xf>
    <xf numFmtId="0" fontId="1" fillId="0" borderId="4" xfId="0" applyFont="1" applyBorder="1" applyAlignment="1">
      <alignment horizontal="center" vertical="center"/>
    </xf>
    <xf numFmtId="0" fontId="1" fillId="0" borderId="3" xfId="0" applyFont="1" applyBorder="1" applyAlignment="1">
      <alignment horizontal="center" vertical="center"/>
    </xf>
    <xf numFmtId="0" fontId="1" fillId="0" borderId="2" xfId="0" applyFont="1" applyBorder="1" applyAlignment="1">
      <alignment horizontal="center" vertical="center"/>
    </xf>
    <xf numFmtId="0" fontId="1" fillId="0" borderId="1" xfId="0" applyFont="1" applyBorder="1" applyAlignment="1">
      <alignment horizontal="center" vertical="center"/>
    </xf>
    <xf numFmtId="0" fontId="9" fillId="0" borderId="5" xfId="0" applyFont="1" applyBorder="1" applyAlignment="1">
      <alignment horizontal="center" vertical="center" wrapText="1"/>
    </xf>
    <xf numFmtId="0" fontId="9" fillId="0" borderId="0" xfId="0" applyFont="1" applyAlignment="1">
      <alignment horizontal="center" vertical="center" wrapText="1"/>
    </xf>
    <xf numFmtId="0" fontId="9" fillId="0" borderId="2" xfId="0" applyFont="1" applyBorder="1" applyAlignment="1">
      <alignment horizontal="center" vertical="center" wrapText="1"/>
    </xf>
    <xf numFmtId="0" fontId="11" fillId="0" borderId="6" xfId="0" applyFont="1" applyBorder="1" applyAlignment="1">
      <alignment horizontal="center" vertical="center"/>
    </xf>
    <xf numFmtId="0" fontId="11" fillId="0" borderId="5" xfId="0" applyFont="1" applyBorder="1" applyAlignment="1">
      <alignment horizontal="center" vertical="center"/>
    </xf>
    <xf numFmtId="0" fontId="11" fillId="0" borderId="4" xfId="0" applyFont="1" applyBorder="1" applyAlignment="1">
      <alignment horizontal="center" vertical="center"/>
    </xf>
    <xf numFmtId="17" fontId="10" fillId="0" borderId="0" xfId="0" applyNumberFormat="1" applyFont="1" applyAlignment="1">
      <alignment horizontal="center"/>
    </xf>
    <xf numFmtId="0" fontId="6" fillId="0" borderId="6"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6" fillId="0" borderId="7" xfId="0" applyFont="1" applyBorder="1" applyAlignment="1">
      <alignment horizontal="center" vertical="center"/>
    </xf>
    <xf numFmtId="0" fontId="6" fillId="0" borderId="0" xfId="0" applyFont="1" applyAlignment="1">
      <alignment horizontal="center" vertical="center"/>
    </xf>
    <xf numFmtId="0" fontId="6" fillId="0" borderId="8" xfId="0" applyFont="1" applyBorder="1" applyAlignment="1">
      <alignment horizontal="center" vertical="center"/>
    </xf>
    <xf numFmtId="0" fontId="6" fillId="0" borderId="3" xfId="0" applyFont="1" applyBorder="1" applyAlignment="1">
      <alignment horizontal="center" vertical="center"/>
    </xf>
    <xf numFmtId="0" fontId="6" fillId="0" borderId="2" xfId="0" applyFont="1" applyBorder="1" applyAlignment="1">
      <alignment horizontal="center" vertical="center"/>
    </xf>
    <xf numFmtId="0" fontId="6" fillId="0" borderId="1" xfId="0" applyFont="1" applyBorder="1" applyAlignment="1">
      <alignment horizontal="center" vertical="center"/>
    </xf>
    <xf numFmtId="0" fontId="5" fillId="3" borderId="6" xfId="0" applyFont="1" applyFill="1" applyBorder="1" applyAlignment="1">
      <alignment horizontal="left" vertical="center" wrapText="1"/>
    </xf>
    <xf numFmtId="0" fontId="5" fillId="3" borderId="5" xfId="0" applyFont="1" applyFill="1" applyBorder="1" applyAlignment="1">
      <alignment horizontal="left" vertical="center" wrapText="1"/>
    </xf>
    <xf numFmtId="0" fontId="5" fillId="3" borderId="7" xfId="0" applyFont="1" applyFill="1" applyBorder="1" applyAlignment="1">
      <alignment horizontal="left" vertical="center" wrapText="1"/>
    </xf>
    <xf numFmtId="0" fontId="5" fillId="3" borderId="0" xfId="0" applyFont="1" applyFill="1" applyAlignment="1">
      <alignment horizontal="left" vertical="center" wrapText="1"/>
    </xf>
    <xf numFmtId="0" fontId="5" fillId="3" borderId="3" xfId="0" applyFont="1" applyFill="1" applyBorder="1" applyAlignment="1">
      <alignment horizontal="left" vertical="center" wrapText="1"/>
    </xf>
    <xf numFmtId="0" fontId="5" fillId="3" borderId="2" xfId="0" applyFont="1" applyFill="1" applyBorder="1" applyAlignment="1">
      <alignment horizontal="left" vertical="center" wrapText="1"/>
    </xf>
    <xf numFmtId="3" fontId="6" fillId="0" borderId="14" xfId="0" applyNumberFormat="1" applyFont="1" applyBorder="1" applyAlignment="1">
      <alignment horizontal="left"/>
    </xf>
    <xf numFmtId="0" fontId="1" fillId="0" borderId="0" xfId="0" applyFont="1" applyAlignment="1">
      <alignment horizontal="center" vertical="center"/>
    </xf>
    <xf numFmtId="0" fontId="9" fillId="0" borderId="6" xfId="0" applyFont="1" applyBorder="1" applyAlignment="1">
      <alignment horizontal="center" vertical="center"/>
    </xf>
    <xf numFmtId="0" fontId="9" fillId="0" borderId="4" xfId="0" applyFont="1" applyBorder="1" applyAlignment="1">
      <alignment horizontal="center" vertic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9" fillId="0" borderId="3" xfId="0" applyFont="1" applyBorder="1" applyAlignment="1">
      <alignment horizontal="center" vertical="center"/>
    </xf>
    <xf numFmtId="0" fontId="9" fillId="0" borderId="1" xfId="0" applyFont="1" applyBorder="1" applyAlignment="1">
      <alignment horizontal="center"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12" fillId="0" borderId="1" xfId="0" applyFont="1" applyBorder="1" applyAlignment="1">
      <alignment horizontal="center" vertical="center"/>
    </xf>
    <xf numFmtId="0" fontId="12" fillId="0" borderId="6" xfId="0" applyFont="1" applyBorder="1" applyAlignment="1">
      <alignment horizontal="center" vertical="center"/>
    </xf>
    <xf numFmtId="0" fontId="12" fillId="0" borderId="5" xfId="0" applyFont="1" applyBorder="1" applyAlignment="1">
      <alignment horizontal="center" vertical="center"/>
    </xf>
    <xf numFmtId="0" fontId="12" fillId="0" borderId="4" xfId="0" applyFont="1" applyBorder="1" applyAlignment="1">
      <alignment horizontal="center" vertical="center"/>
    </xf>
    <xf numFmtId="0" fontId="16" fillId="0" borderId="3" xfId="0" applyFont="1" applyBorder="1" applyAlignment="1">
      <alignment horizontal="right" vertical="center"/>
    </xf>
    <xf numFmtId="0" fontId="16" fillId="0" borderId="2" xfId="0" applyFont="1" applyBorder="1" applyAlignment="1">
      <alignment horizontal="right" vertical="center"/>
    </xf>
    <xf numFmtId="0" fontId="17" fillId="0" borderId="2" xfId="0" quotePrefix="1" applyFont="1" applyBorder="1" applyAlignment="1">
      <alignment horizontal="center" vertical="center"/>
    </xf>
    <xf numFmtId="0" fontId="17" fillId="0" borderId="1" xfId="0" applyFont="1" applyBorder="1" applyAlignment="1">
      <alignment horizontal="center" vertical="center"/>
    </xf>
    <xf numFmtId="0" fontId="5" fillId="3" borderId="6"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11" fillId="0" borderId="6" xfId="0" applyFont="1" applyBorder="1" applyAlignment="1">
      <alignment horizontal="left" vertical="center"/>
    </xf>
    <xf numFmtId="0" fontId="11" fillId="0" borderId="4" xfId="0" applyFont="1" applyBorder="1" applyAlignment="1">
      <alignment horizontal="left" vertical="center"/>
    </xf>
    <xf numFmtId="0" fontId="10" fillId="0" borderId="7" xfId="0" applyFont="1" applyBorder="1" applyAlignment="1">
      <alignment horizontal="center"/>
    </xf>
    <xf numFmtId="0" fontId="7" fillId="0" borderId="3" xfId="0" quotePrefix="1" applyFont="1" applyBorder="1" applyAlignment="1">
      <alignment horizontal="center" vertical="center"/>
    </xf>
    <xf numFmtId="0" fontId="7" fillId="0" borderId="1" xfId="0" quotePrefix="1" applyFont="1" applyBorder="1" applyAlignment="1">
      <alignment horizontal="center" vertical="center"/>
    </xf>
    <xf numFmtId="0" fontId="2" fillId="0" borderId="13" xfId="0" applyFont="1" applyBorder="1" applyAlignment="1">
      <alignment horizontal="right"/>
    </xf>
    <xf numFmtId="0" fontId="8" fillId="0" borderId="3" xfId="0" applyFont="1" applyBorder="1" applyAlignment="1">
      <alignment horizontal="center" vertical="center" wrapText="1"/>
    </xf>
    <xf numFmtId="0" fontId="8" fillId="0" borderId="2" xfId="0" applyFont="1" applyBorder="1" applyAlignment="1">
      <alignment horizontal="center" vertical="center" wrapText="1"/>
    </xf>
    <xf numFmtId="0" fontId="7" fillId="0" borderId="0" xfId="0" quotePrefix="1" applyFont="1" applyAlignment="1">
      <alignment horizontal="center" vertical="center"/>
    </xf>
    <xf numFmtId="0" fontId="7" fillId="0" borderId="8" xfId="0" quotePrefix="1" applyFont="1" applyBorder="1" applyAlignment="1">
      <alignment horizontal="center" vertical="center"/>
    </xf>
    <xf numFmtId="0" fontId="2" fillId="0" borderId="12" xfId="0" applyFont="1" applyBorder="1" applyAlignment="1">
      <alignment horizontal="right"/>
    </xf>
    <xf numFmtId="0" fontId="11" fillId="0" borderId="12" xfId="0" applyFont="1" applyBorder="1" applyAlignment="1">
      <alignment horizontal="center" vertical="center"/>
    </xf>
    <xf numFmtId="0" fontId="10" fillId="0" borderId="12" xfId="0" applyFont="1" applyBorder="1" applyAlignment="1">
      <alignment horizontal="center"/>
    </xf>
    <xf numFmtId="0" fontId="7" fillId="0" borderId="12" xfId="0" quotePrefix="1" applyFont="1" applyBorder="1" applyAlignment="1">
      <alignment horizontal="center" vertical="center"/>
    </xf>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xf numFmtId="0" fontId="4" fillId="2" borderId="6" xfId="0" applyFont="1" applyFill="1" applyBorder="1" applyAlignment="1">
      <alignment horizontal="center" vertical="center" wrapText="1"/>
    </xf>
    <xf numFmtId="0" fontId="4"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670560</xdr:colOff>
      <xdr:row>8</xdr:row>
      <xdr:rowOff>259079</xdr:rowOff>
    </xdr:from>
    <xdr:ext cx="5793105" cy="4245465"/>
    <xdr:pic>
      <xdr:nvPicPr>
        <xdr:cNvPr id="2" name="Imagen 1">
          <a:extLst>
            <a:ext uri="{FF2B5EF4-FFF2-40B4-BE49-F238E27FC236}">
              <a16:creationId xmlns:a16="http://schemas.microsoft.com/office/drawing/2014/main" id="{7CE79F20-7478-4347-A1EC-699EDF96CAA9}"/>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457325" y="1628774"/>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670560</xdr:colOff>
      <xdr:row>38</xdr:row>
      <xdr:rowOff>259079</xdr:rowOff>
    </xdr:from>
    <xdr:ext cx="5793105" cy="4245465"/>
    <xdr:pic>
      <xdr:nvPicPr>
        <xdr:cNvPr id="3" name="Imagen 2">
          <a:extLst>
            <a:ext uri="{FF2B5EF4-FFF2-40B4-BE49-F238E27FC236}">
              <a16:creationId xmlns:a16="http://schemas.microsoft.com/office/drawing/2014/main" id="{0DA936C7-7958-43C0-9D4E-C4AE919C6F7D}"/>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457325" y="7058024"/>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670560</xdr:colOff>
      <xdr:row>68</xdr:row>
      <xdr:rowOff>259079</xdr:rowOff>
    </xdr:from>
    <xdr:ext cx="5793105" cy="4245465"/>
    <xdr:pic>
      <xdr:nvPicPr>
        <xdr:cNvPr id="4" name="Imagen 3">
          <a:extLst>
            <a:ext uri="{FF2B5EF4-FFF2-40B4-BE49-F238E27FC236}">
              <a16:creationId xmlns:a16="http://schemas.microsoft.com/office/drawing/2014/main" id="{D0DD6437-13D2-40A4-94C9-57A161715329}"/>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457325" y="12487274"/>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670560</xdr:colOff>
      <xdr:row>99</xdr:row>
      <xdr:rowOff>259079</xdr:rowOff>
    </xdr:from>
    <xdr:ext cx="5793105" cy="4245465"/>
    <xdr:pic>
      <xdr:nvPicPr>
        <xdr:cNvPr id="5" name="Imagen 4">
          <a:extLst>
            <a:ext uri="{FF2B5EF4-FFF2-40B4-BE49-F238E27FC236}">
              <a16:creationId xmlns:a16="http://schemas.microsoft.com/office/drawing/2014/main" id="{0A18E754-1F8E-43AF-9C53-D841C70935FB}"/>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457325" y="18097499"/>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670560</xdr:colOff>
      <xdr:row>129</xdr:row>
      <xdr:rowOff>259079</xdr:rowOff>
    </xdr:from>
    <xdr:ext cx="5793105" cy="4245465"/>
    <xdr:pic>
      <xdr:nvPicPr>
        <xdr:cNvPr id="6" name="Imagen 5">
          <a:extLst>
            <a:ext uri="{FF2B5EF4-FFF2-40B4-BE49-F238E27FC236}">
              <a16:creationId xmlns:a16="http://schemas.microsoft.com/office/drawing/2014/main" id="{8D0CDA5E-430B-4580-A060-189C18123995}"/>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457325" y="23526749"/>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495300</xdr:colOff>
      <xdr:row>156</xdr:row>
      <xdr:rowOff>95249</xdr:rowOff>
    </xdr:from>
    <xdr:ext cx="5793105" cy="4245465"/>
    <xdr:pic>
      <xdr:nvPicPr>
        <xdr:cNvPr id="7" name="Imagen 6">
          <a:extLst>
            <a:ext uri="{FF2B5EF4-FFF2-40B4-BE49-F238E27FC236}">
              <a16:creationId xmlns:a16="http://schemas.microsoft.com/office/drawing/2014/main" id="{76D0DBE1-4706-4BF4-AF64-65D3C623906D}"/>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285875" y="28331159"/>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1428750</xdr:colOff>
      <xdr:row>189</xdr:row>
      <xdr:rowOff>133349</xdr:rowOff>
    </xdr:from>
    <xdr:ext cx="5793105" cy="4245465"/>
    <xdr:pic>
      <xdr:nvPicPr>
        <xdr:cNvPr id="8" name="Imagen 7">
          <a:extLst>
            <a:ext uri="{FF2B5EF4-FFF2-40B4-BE49-F238E27FC236}">
              <a16:creationId xmlns:a16="http://schemas.microsoft.com/office/drawing/2014/main" id="{32217C34-AFA8-43DC-88F7-08D1A76CCBEF}"/>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786765" y="34341434"/>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49530</xdr:colOff>
      <xdr:row>213</xdr:row>
      <xdr:rowOff>85725</xdr:rowOff>
    </xdr:from>
    <xdr:ext cx="1421898" cy="1042035"/>
    <xdr:pic>
      <xdr:nvPicPr>
        <xdr:cNvPr id="9" name="Imagen 8">
          <a:extLst>
            <a:ext uri="{FF2B5EF4-FFF2-40B4-BE49-F238E27FC236}">
              <a16:creationId xmlns:a16="http://schemas.microsoft.com/office/drawing/2014/main" id="{BAA44167-F1D5-4B8E-9754-6EB3A01FBCD9}"/>
            </a:ext>
          </a:extLst>
        </xdr:cNvPr>
        <xdr:cNvPicPr>
          <a:picLocks noChangeAspect="1" noChangeArrowheads="1"/>
        </xdr:cNvPicPr>
      </xdr:nvPicPr>
      <xdr:blipFill>
        <a:blip xmlns:r="http://schemas.openxmlformats.org/officeDocument/2006/relationships" r:embed="rId1" cstate="print">
          <a:alphaModFix/>
          <a:extLst>
            <a:ext uri="{28A0092B-C50C-407E-A947-70E740481C1C}">
              <a14:useLocalDpi xmlns:a14="http://schemas.microsoft.com/office/drawing/2010/main" val="0"/>
            </a:ext>
          </a:extLst>
        </a:blip>
        <a:srcRect/>
        <a:stretch>
          <a:fillRect/>
        </a:stretch>
      </xdr:blipFill>
      <xdr:spPr bwMode="auto">
        <a:xfrm>
          <a:off x="53340" y="38635305"/>
          <a:ext cx="1421898" cy="1042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106680</xdr:colOff>
      <xdr:row>249</xdr:row>
      <xdr:rowOff>22859</xdr:rowOff>
    </xdr:from>
    <xdr:ext cx="5793105" cy="4245465"/>
    <xdr:pic>
      <xdr:nvPicPr>
        <xdr:cNvPr id="10" name="Imagen 9">
          <a:extLst>
            <a:ext uri="{FF2B5EF4-FFF2-40B4-BE49-F238E27FC236}">
              <a16:creationId xmlns:a16="http://schemas.microsoft.com/office/drawing/2014/main" id="{22167D3E-2492-4F7F-A532-1D71DC5C3F70}"/>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895350" y="45081824"/>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200025</xdr:colOff>
      <xdr:row>277</xdr:row>
      <xdr:rowOff>112394</xdr:rowOff>
    </xdr:from>
    <xdr:ext cx="5793105" cy="4245465"/>
    <xdr:pic>
      <xdr:nvPicPr>
        <xdr:cNvPr id="11" name="Imagen 10">
          <a:extLst>
            <a:ext uri="{FF2B5EF4-FFF2-40B4-BE49-F238E27FC236}">
              <a16:creationId xmlns:a16="http://schemas.microsoft.com/office/drawing/2014/main" id="{55BCD3EA-2541-4A48-8451-74A97267D5D4}"/>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992505" y="50242469"/>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1443990</xdr:colOff>
      <xdr:row>308</xdr:row>
      <xdr:rowOff>125729</xdr:rowOff>
    </xdr:from>
    <xdr:ext cx="8164867" cy="5983606"/>
    <xdr:pic>
      <xdr:nvPicPr>
        <xdr:cNvPr id="12" name="Imagen 11">
          <a:extLst>
            <a:ext uri="{FF2B5EF4-FFF2-40B4-BE49-F238E27FC236}">
              <a16:creationId xmlns:a16="http://schemas.microsoft.com/office/drawing/2014/main" id="{EB11F2EA-6715-43CA-BF69-FC46EE69A9D4}"/>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786765" y="55867934"/>
          <a:ext cx="8164867" cy="59836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723900</xdr:colOff>
      <xdr:row>349</xdr:row>
      <xdr:rowOff>318134</xdr:rowOff>
    </xdr:from>
    <xdr:ext cx="5793105" cy="4245465"/>
    <xdr:pic>
      <xdr:nvPicPr>
        <xdr:cNvPr id="13" name="Imagen 12">
          <a:extLst>
            <a:ext uri="{FF2B5EF4-FFF2-40B4-BE49-F238E27FC236}">
              <a16:creationId xmlns:a16="http://schemas.microsoft.com/office/drawing/2014/main" id="{30ADD7D6-F62D-409C-8712-07519C1EF15E}"/>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514475" y="63339344"/>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106680</xdr:colOff>
      <xdr:row>382</xdr:row>
      <xdr:rowOff>22859</xdr:rowOff>
    </xdr:from>
    <xdr:ext cx="5793105" cy="4245465"/>
    <xdr:pic>
      <xdr:nvPicPr>
        <xdr:cNvPr id="14" name="Imagen 13">
          <a:extLst>
            <a:ext uri="{FF2B5EF4-FFF2-40B4-BE49-F238E27FC236}">
              <a16:creationId xmlns:a16="http://schemas.microsoft.com/office/drawing/2014/main" id="{A24B66D7-58E0-4069-9E56-77DADFCCC5F8}"/>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895350" y="69151499"/>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106680</xdr:colOff>
      <xdr:row>413</xdr:row>
      <xdr:rowOff>22859</xdr:rowOff>
    </xdr:from>
    <xdr:ext cx="5793105" cy="4245465"/>
    <xdr:pic>
      <xdr:nvPicPr>
        <xdr:cNvPr id="15" name="Imagen 14">
          <a:extLst>
            <a:ext uri="{FF2B5EF4-FFF2-40B4-BE49-F238E27FC236}">
              <a16:creationId xmlns:a16="http://schemas.microsoft.com/office/drawing/2014/main" id="{2FF6D761-920E-4EA8-BCF6-2C468AB8BACC}"/>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895350" y="74761724"/>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95250</xdr:colOff>
      <xdr:row>443</xdr:row>
      <xdr:rowOff>32384</xdr:rowOff>
    </xdr:from>
    <xdr:ext cx="5793105" cy="4245465"/>
    <xdr:pic>
      <xdr:nvPicPr>
        <xdr:cNvPr id="16" name="Imagen 15">
          <a:extLst>
            <a:ext uri="{FF2B5EF4-FFF2-40B4-BE49-F238E27FC236}">
              <a16:creationId xmlns:a16="http://schemas.microsoft.com/office/drawing/2014/main" id="{FF3F1AA7-3F8F-496F-9E26-529BB71BA0DA}"/>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882015" y="80202404"/>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104775</xdr:colOff>
      <xdr:row>471</xdr:row>
      <xdr:rowOff>41909</xdr:rowOff>
    </xdr:from>
    <xdr:ext cx="5793105" cy="4245465"/>
    <xdr:pic>
      <xdr:nvPicPr>
        <xdr:cNvPr id="17" name="Imagen 16">
          <a:extLst>
            <a:ext uri="{FF2B5EF4-FFF2-40B4-BE49-F238E27FC236}">
              <a16:creationId xmlns:a16="http://schemas.microsoft.com/office/drawing/2014/main" id="{F43A38E9-258F-4107-BDFB-F07CC350A5C9}"/>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893445" y="85281134"/>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390525</xdr:colOff>
      <xdr:row>501</xdr:row>
      <xdr:rowOff>78104</xdr:rowOff>
    </xdr:from>
    <xdr:ext cx="5793105" cy="4245465"/>
    <xdr:pic>
      <xdr:nvPicPr>
        <xdr:cNvPr id="18" name="Imagen 17">
          <a:extLst>
            <a:ext uri="{FF2B5EF4-FFF2-40B4-BE49-F238E27FC236}">
              <a16:creationId xmlns:a16="http://schemas.microsoft.com/office/drawing/2014/main" id="{DF7F0696-F413-445E-A598-790F67337A90}"/>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183005" y="90746579"/>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666750</xdr:colOff>
      <xdr:row>536</xdr:row>
      <xdr:rowOff>161924</xdr:rowOff>
    </xdr:from>
    <xdr:ext cx="5793105" cy="4245465"/>
    <xdr:pic>
      <xdr:nvPicPr>
        <xdr:cNvPr id="19" name="Imagen 18">
          <a:extLst>
            <a:ext uri="{FF2B5EF4-FFF2-40B4-BE49-F238E27FC236}">
              <a16:creationId xmlns:a16="http://schemas.microsoft.com/office/drawing/2014/main" id="{634DCF2A-D451-4BCC-BD78-979FEB7005DA}"/>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453515" y="97166429"/>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666750</xdr:colOff>
      <xdr:row>566</xdr:row>
      <xdr:rowOff>161924</xdr:rowOff>
    </xdr:from>
    <xdr:ext cx="5793105" cy="4245465"/>
    <xdr:pic>
      <xdr:nvPicPr>
        <xdr:cNvPr id="20" name="Imagen 19">
          <a:extLst>
            <a:ext uri="{FF2B5EF4-FFF2-40B4-BE49-F238E27FC236}">
              <a16:creationId xmlns:a16="http://schemas.microsoft.com/office/drawing/2014/main" id="{F15E2278-F78A-4DA1-86E2-9BDCE9075014}"/>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453515" y="102595679"/>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224790</xdr:colOff>
      <xdr:row>595</xdr:row>
      <xdr:rowOff>97154</xdr:rowOff>
    </xdr:from>
    <xdr:ext cx="5793105" cy="4245465"/>
    <xdr:pic>
      <xdr:nvPicPr>
        <xdr:cNvPr id="21" name="Imagen 20">
          <a:extLst>
            <a:ext uri="{FF2B5EF4-FFF2-40B4-BE49-F238E27FC236}">
              <a16:creationId xmlns:a16="http://schemas.microsoft.com/office/drawing/2014/main" id="{CEBEACF7-77F0-401F-BC5C-00C68CBD7311}"/>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015365" y="107773469"/>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300990</xdr:colOff>
      <xdr:row>626</xdr:row>
      <xdr:rowOff>144779</xdr:rowOff>
    </xdr:from>
    <xdr:ext cx="5793105" cy="4245465"/>
    <xdr:pic>
      <xdr:nvPicPr>
        <xdr:cNvPr id="22" name="Imagen 21">
          <a:extLst>
            <a:ext uri="{FF2B5EF4-FFF2-40B4-BE49-F238E27FC236}">
              <a16:creationId xmlns:a16="http://schemas.microsoft.com/office/drawing/2014/main" id="{C2FE6441-FD14-47A3-818A-930FBBCFA2FB}"/>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091565" y="113433224"/>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224790</xdr:colOff>
      <xdr:row>660</xdr:row>
      <xdr:rowOff>97154</xdr:rowOff>
    </xdr:from>
    <xdr:ext cx="5793105" cy="4245465"/>
    <xdr:pic>
      <xdr:nvPicPr>
        <xdr:cNvPr id="23" name="Imagen 22">
          <a:extLst>
            <a:ext uri="{FF2B5EF4-FFF2-40B4-BE49-F238E27FC236}">
              <a16:creationId xmlns:a16="http://schemas.microsoft.com/office/drawing/2014/main" id="{FACD7F22-15C1-4D12-A55B-C110F0E9FFA2}"/>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015365" y="119536844"/>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876300</xdr:colOff>
      <xdr:row>690</xdr:row>
      <xdr:rowOff>139065</xdr:rowOff>
    </xdr:from>
    <xdr:ext cx="4446270" cy="4275702"/>
    <xdr:pic>
      <xdr:nvPicPr>
        <xdr:cNvPr id="24" name="Imagen 23">
          <a:extLst>
            <a:ext uri="{FF2B5EF4-FFF2-40B4-BE49-F238E27FC236}">
              <a16:creationId xmlns:a16="http://schemas.microsoft.com/office/drawing/2014/main" id="{4733A5FD-0CF8-4D88-8221-88DE3A19D668}"/>
            </a:ext>
          </a:extLst>
        </xdr:cNvPr>
        <xdr:cNvPicPr>
          <a:picLocks noChangeAspect="1"/>
        </xdr:cNvPicPr>
      </xdr:nvPicPr>
      <xdr:blipFill>
        <a:blip xmlns:r="http://schemas.openxmlformats.org/officeDocument/2006/relationships" r:embed="rId2">
          <a:alphaModFix amt="20000"/>
          <a:extLst>
            <a:ext uri="{28A0092B-C50C-407E-A947-70E740481C1C}">
              <a14:useLocalDpi xmlns:a14="http://schemas.microsoft.com/office/drawing/2010/main" val="0"/>
            </a:ext>
          </a:extLst>
        </a:blip>
        <a:stretch>
          <a:fillRect/>
        </a:stretch>
      </xdr:blipFill>
      <xdr:spPr>
        <a:xfrm>
          <a:off x="1581150" y="125008005"/>
          <a:ext cx="4446270" cy="4275702"/>
        </a:xfrm>
        <a:prstGeom prst="rect">
          <a:avLst/>
        </a:prstGeom>
      </xdr:spPr>
    </xdr:pic>
    <xdr:clientData/>
  </xdr:oneCellAnchor>
  <xdr:oneCellAnchor>
    <xdr:from>
      <xdr:col>1</xdr:col>
      <xdr:colOff>57150</xdr:colOff>
      <xdr:row>719</xdr:row>
      <xdr:rowOff>89534</xdr:rowOff>
    </xdr:from>
    <xdr:ext cx="5793105" cy="4245465"/>
    <xdr:pic>
      <xdr:nvPicPr>
        <xdr:cNvPr id="25" name="Imagen 24">
          <a:extLst>
            <a:ext uri="{FF2B5EF4-FFF2-40B4-BE49-F238E27FC236}">
              <a16:creationId xmlns:a16="http://schemas.microsoft.com/office/drawing/2014/main" id="{6D6E4AC8-FC64-478A-A3BB-AA4DA28465E0}"/>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843915" y="130214369"/>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535305</xdr:colOff>
      <xdr:row>752</xdr:row>
      <xdr:rowOff>38100</xdr:rowOff>
    </xdr:from>
    <xdr:ext cx="5191125" cy="3804305"/>
    <xdr:pic>
      <xdr:nvPicPr>
        <xdr:cNvPr id="26" name="Imagen 25">
          <a:extLst>
            <a:ext uri="{FF2B5EF4-FFF2-40B4-BE49-F238E27FC236}">
              <a16:creationId xmlns:a16="http://schemas.microsoft.com/office/drawing/2014/main" id="{FC6A9C93-107B-4805-A162-52508EE8DF15}"/>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325880" y="136131300"/>
          <a:ext cx="5191125" cy="38043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57150</xdr:colOff>
      <xdr:row>781</xdr:row>
      <xdr:rowOff>89534</xdr:rowOff>
    </xdr:from>
    <xdr:ext cx="5793105" cy="4245465"/>
    <xdr:pic>
      <xdr:nvPicPr>
        <xdr:cNvPr id="27" name="Imagen 26">
          <a:extLst>
            <a:ext uri="{FF2B5EF4-FFF2-40B4-BE49-F238E27FC236}">
              <a16:creationId xmlns:a16="http://schemas.microsoft.com/office/drawing/2014/main" id="{C595FCDD-BC5D-4774-8030-728EBC2CB90B}"/>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843915" y="141434819"/>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15240</xdr:colOff>
      <xdr:row>807</xdr:row>
      <xdr:rowOff>344805</xdr:rowOff>
    </xdr:from>
    <xdr:ext cx="1421898" cy="1042035"/>
    <xdr:pic>
      <xdr:nvPicPr>
        <xdr:cNvPr id="28" name="Imagen 27">
          <a:extLst>
            <a:ext uri="{FF2B5EF4-FFF2-40B4-BE49-F238E27FC236}">
              <a16:creationId xmlns:a16="http://schemas.microsoft.com/office/drawing/2014/main" id="{784144F9-772A-4F4B-9259-A9EEF974FF0B}"/>
            </a:ext>
          </a:extLst>
        </xdr:cNvPr>
        <xdr:cNvPicPr>
          <a:picLocks noChangeAspect="1" noChangeArrowheads="1"/>
        </xdr:cNvPicPr>
      </xdr:nvPicPr>
      <xdr:blipFill>
        <a:blip xmlns:r="http://schemas.openxmlformats.org/officeDocument/2006/relationships" r:embed="rId1" cstate="print">
          <a:alphaModFix/>
          <a:extLst>
            <a:ext uri="{28A0092B-C50C-407E-A947-70E740481C1C}">
              <a14:useLocalDpi xmlns:a14="http://schemas.microsoft.com/office/drawing/2010/main" val="0"/>
            </a:ext>
          </a:extLst>
        </a:blip>
        <a:srcRect/>
        <a:stretch>
          <a:fillRect/>
        </a:stretch>
      </xdr:blipFill>
      <xdr:spPr bwMode="auto">
        <a:xfrm>
          <a:off x="19050" y="146229705"/>
          <a:ext cx="1421898" cy="1042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95250</xdr:colOff>
      <xdr:row>874</xdr:row>
      <xdr:rowOff>247649</xdr:rowOff>
    </xdr:from>
    <xdr:ext cx="5793105" cy="4245465"/>
    <xdr:pic>
      <xdr:nvPicPr>
        <xdr:cNvPr id="29" name="Imagen 28">
          <a:extLst>
            <a:ext uri="{FF2B5EF4-FFF2-40B4-BE49-F238E27FC236}">
              <a16:creationId xmlns:a16="http://schemas.microsoft.com/office/drawing/2014/main" id="{5EA62ABE-BF3E-45A1-A06F-85F29018E73C}"/>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882015" y="158356934"/>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300990</xdr:colOff>
      <xdr:row>1000</xdr:row>
      <xdr:rowOff>144779</xdr:rowOff>
    </xdr:from>
    <xdr:ext cx="5793105" cy="4245465"/>
    <xdr:pic>
      <xdr:nvPicPr>
        <xdr:cNvPr id="30" name="Imagen 29">
          <a:extLst>
            <a:ext uri="{FF2B5EF4-FFF2-40B4-BE49-F238E27FC236}">
              <a16:creationId xmlns:a16="http://schemas.microsoft.com/office/drawing/2014/main" id="{5CAECA32-1B73-4013-9502-C0CF263A3D9F}"/>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091565" y="181117874"/>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1009650</xdr:colOff>
      <xdr:row>1064</xdr:row>
      <xdr:rowOff>38100</xdr:rowOff>
    </xdr:from>
    <xdr:ext cx="5793105" cy="4245465"/>
    <xdr:pic>
      <xdr:nvPicPr>
        <xdr:cNvPr id="31" name="Imagen 30">
          <a:extLst>
            <a:ext uri="{FF2B5EF4-FFF2-40B4-BE49-F238E27FC236}">
              <a16:creationId xmlns:a16="http://schemas.microsoft.com/office/drawing/2014/main" id="{A2D28EBC-B5E3-4D5F-9013-474FB78CA2C7}"/>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2505075" y="245878350"/>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1322070</xdr:colOff>
      <xdr:row>1105</xdr:row>
      <xdr:rowOff>280035</xdr:rowOff>
    </xdr:from>
    <xdr:ext cx="6137910" cy="4498154"/>
    <xdr:pic>
      <xdr:nvPicPr>
        <xdr:cNvPr id="32" name="Imagen 31">
          <a:extLst>
            <a:ext uri="{FF2B5EF4-FFF2-40B4-BE49-F238E27FC236}">
              <a16:creationId xmlns:a16="http://schemas.microsoft.com/office/drawing/2014/main" id="{DA9DFC71-6529-418C-9686-E939D684852E}"/>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320165" y="79427070"/>
          <a:ext cx="6137910" cy="449815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129540</xdr:colOff>
      <xdr:row>1104</xdr:row>
      <xdr:rowOff>331470</xdr:rowOff>
    </xdr:from>
    <xdr:ext cx="6137910" cy="4498154"/>
    <xdr:pic>
      <xdr:nvPicPr>
        <xdr:cNvPr id="33" name="Imagen 32">
          <a:extLst>
            <a:ext uri="{FF2B5EF4-FFF2-40B4-BE49-F238E27FC236}">
              <a16:creationId xmlns:a16="http://schemas.microsoft.com/office/drawing/2014/main" id="{41A639B8-B746-477F-90A4-826595647C5B}"/>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2758440" y="256277745"/>
          <a:ext cx="6137910" cy="449815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106680</xdr:colOff>
      <xdr:row>1134</xdr:row>
      <xdr:rowOff>22859</xdr:rowOff>
    </xdr:from>
    <xdr:ext cx="5793105" cy="4245465"/>
    <xdr:pic>
      <xdr:nvPicPr>
        <xdr:cNvPr id="34" name="Imagen 33">
          <a:extLst>
            <a:ext uri="{FF2B5EF4-FFF2-40B4-BE49-F238E27FC236}">
              <a16:creationId xmlns:a16="http://schemas.microsoft.com/office/drawing/2014/main" id="{FED5116C-E874-4418-93F1-09A8F356516E}"/>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600200" y="92354399"/>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106680</xdr:colOff>
      <xdr:row>1196</xdr:row>
      <xdr:rowOff>22859</xdr:rowOff>
    </xdr:from>
    <xdr:ext cx="5793105" cy="4245465"/>
    <xdr:pic>
      <xdr:nvPicPr>
        <xdr:cNvPr id="35" name="Imagen 34">
          <a:extLst>
            <a:ext uri="{FF2B5EF4-FFF2-40B4-BE49-F238E27FC236}">
              <a16:creationId xmlns:a16="http://schemas.microsoft.com/office/drawing/2014/main" id="{42584601-519F-49DB-A62C-4D8928F9E8CF}"/>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600200" y="92354399"/>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731519</xdr:colOff>
      <xdr:row>1225</xdr:row>
      <xdr:rowOff>1905</xdr:rowOff>
    </xdr:from>
    <xdr:ext cx="6086475" cy="4667250"/>
    <xdr:pic>
      <xdr:nvPicPr>
        <xdr:cNvPr id="36" name="Imagen 35">
          <a:extLst>
            <a:ext uri="{FF2B5EF4-FFF2-40B4-BE49-F238E27FC236}">
              <a16:creationId xmlns:a16="http://schemas.microsoft.com/office/drawing/2014/main" id="{74D413AB-0617-4CDC-B4CD-0D728F5C1DAB}"/>
            </a:ext>
          </a:extLst>
        </xdr:cNvPr>
        <xdr:cNvPicPr>
          <a:picLocks noChangeAspect="1"/>
        </xdr:cNvPicPr>
      </xdr:nvPicPr>
      <xdr:blipFill>
        <a:blip xmlns:r="http://schemas.openxmlformats.org/officeDocument/2006/relationships" r:embed="rId2">
          <a:alphaModFix amt="11000"/>
          <a:extLst>
            <a:ext uri="{28A0092B-C50C-407E-A947-70E740481C1C}">
              <a14:useLocalDpi xmlns:a14="http://schemas.microsoft.com/office/drawing/2010/main" val="0"/>
            </a:ext>
          </a:extLst>
        </a:blip>
        <a:stretch>
          <a:fillRect/>
        </a:stretch>
      </xdr:blipFill>
      <xdr:spPr>
        <a:xfrm>
          <a:off x="2226944" y="287656905"/>
          <a:ext cx="6086475" cy="4667250"/>
        </a:xfrm>
        <a:prstGeom prst="rect">
          <a:avLst/>
        </a:prstGeom>
      </xdr:spPr>
    </xdr:pic>
    <xdr:clientData/>
  </xdr:oneCellAnchor>
  <xdr:oneCellAnchor>
    <xdr:from>
      <xdr:col>0</xdr:col>
      <xdr:colOff>1304924</xdr:colOff>
      <xdr:row>1257</xdr:row>
      <xdr:rowOff>154305</xdr:rowOff>
    </xdr:from>
    <xdr:ext cx="6086475" cy="4667250"/>
    <xdr:pic>
      <xdr:nvPicPr>
        <xdr:cNvPr id="37" name="Imagen 36">
          <a:extLst>
            <a:ext uri="{FF2B5EF4-FFF2-40B4-BE49-F238E27FC236}">
              <a16:creationId xmlns:a16="http://schemas.microsoft.com/office/drawing/2014/main" id="{CCDC1A38-CE42-401B-A93F-9C2622391B0A}"/>
            </a:ext>
          </a:extLst>
        </xdr:cNvPr>
        <xdr:cNvPicPr>
          <a:picLocks noChangeAspect="1"/>
        </xdr:cNvPicPr>
      </xdr:nvPicPr>
      <xdr:blipFill>
        <a:blip xmlns:r="http://schemas.openxmlformats.org/officeDocument/2006/relationships" r:embed="rId2">
          <a:alphaModFix amt="11000"/>
          <a:extLst>
            <a:ext uri="{28A0092B-C50C-407E-A947-70E740481C1C}">
              <a14:useLocalDpi xmlns:a14="http://schemas.microsoft.com/office/drawing/2010/main" val="0"/>
            </a:ext>
          </a:extLst>
        </a:blip>
        <a:stretch>
          <a:fillRect/>
        </a:stretch>
      </xdr:blipFill>
      <xdr:spPr>
        <a:xfrm>
          <a:off x="1306829" y="288266505"/>
          <a:ext cx="6086475" cy="4667250"/>
        </a:xfrm>
        <a:prstGeom prst="rect">
          <a:avLst/>
        </a:prstGeom>
      </xdr:spPr>
    </xdr:pic>
    <xdr:clientData/>
  </xdr:oneCellAnchor>
  <xdr:oneCellAnchor>
    <xdr:from>
      <xdr:col>0</xdr:col>
      <xdr:colOff>49530</xdr:colOff>
      <xdr:row>1283</xdr:row>
      <xdr:rowOff>85725</xdr:rowOff>
    </xdr:from>
    <xdr:ext cx="1421898" cy="1042035"/>
    <xdr:pic>
      <xdr:nvPicPr>
        <xdr:cNvPr id="38" name="Imagen 37">
          <a:extLst>
            <a:ext uri="{FF2B5EF4-FFF2-40B4-BE49-F238E27FC236}">
              <a16:creationId xmlns:a16="http://schemas.microsoft.com/office/drawing/2014/main" id="{E21935CC-BF68-4E1B-BE08-A26DD12CD599}"/>
            </a:ext>
          </a:extLst>
        </xdr:cNvPr>
        <xdr:cNvPicPr>
          <a:picLocks noChangeAspect="1" noChangeArrowheads="1"/>
        </xdr:cNvPicPr>
      </xdr:nvPicPr>
      <xdr:blipFill>
        <a:blip xmlns:r="http://schemas.openxmlformats.org/officeDocument/2006/relationships" r:embed="rId1" cstate="print">
          <a:alphaModFix/>
          <a:extLst>
            <a:ext uri="{28A0092B-C50C-407E-A947-70E740481C1C}">
              <a14:useLocalDpi xmlns:a14="http://schemas.microsoft.com/office/drawing/2010/main" val="0"/>
            </a:ext>
          </a:extLst>
        </a:blip>
        <a:srcRect/>
        <a:stretch>
          <a:fillRect/>
        </a:stretch>
      </xdr:blipFill>
      <xdr:spPr bwMode="auto">
        <a:xfrm>
          <a:off x="53340" y="50274855"/>
          <a:ext cx="1421898" cy="1042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49530</xdr:colOff>
      <xdr:row>1314</xdr:row>
      <xdr:rowOff>85725</xdr:rowOff>
    </xdr:from>
    <xdr:ext cx="1421898" cy="1042035"/>
    <xdr:pic>
      <xdr:nvPicPr>
        <xdr:cNvPr id="39" name="Imagen 38">
          <a:extLst>
            <a:ext uri="{FF2B5EF4-FFF2-40B4-BE49-F238E27FC236}">
              <a16:creationId xmlns:a16="http://schemas.microsoft.com/office/drawing/2014/main" id="{BEF17305-7E7D-476E-B03A-D80DBB3E1739}"/>
            </a:ext>
          </a:extLst>
        </xdr:cNvPr>
        <xdr:cNvPicPr>
          <a:picLocks noChangeAspect="1" noChangeArrowheads="1"/>
        </xdr:cNvPicPr>
      </xdr:nvPicPr>
      <xdr:blipFill>
        <a:blip xmlns:r="http://schemas.openxmlformats.org/officeDocument/2006/relationships" r:embed="rId1" cstate="print">
          <a:alphaModFix/>
          <a:extLst>
            <a:ext uri="{28A0092B-C50C-407E-A947-70E740481C1C}">
              <a14:useLocalDpi xmlns:a14="http://schemas.microsoft.com/office/drawing/2010/main" val="0"/>
            </a:ext>
          </a:extLst>
        </a:blip>
        <a:srcRect/>
        <a:stretch>
          <a:fillRect/>
        </a:stretch>
      </xdr:blipFill>
      <xdr:spPr bwMode="auto">
        <a:xfrm>
          <a:off x="53340" y="300849030"/>
          <a:ext cx="1421898" cy="1042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38100</xdr:colOff>
      <xdr:row>1344</xdr:row>
      <xdr:rowOff>59055</xdr:rowOff>
    </xdr:from>
    <xdr:ext cx="1481805" cy="1049655"/>
    <xdr:pic>
      <xdr:nvPicPr>
        <xdr:cNvPr id="40" name="Imagen 39">
          <a:extLst>
            <a:ext uri="{FF2B5EF4-FFF2-40B4-BE49-F238E27FC236}">
              <a16:creationId xmlns:a16="http://schemas.microsoft.com/office/drawing/2014/main" id="{F755E234-B1DD-4BF0-8535-9F245334F160}"/>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38100" y="315365130"/>
          <a:ext cx="1481805" cy="104965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960120</xdr:colOff>
      <xdr:row>1375</xdr:row>
      <xdr:rowOff>312419</xdr:rowOff>
    </xdr:from>
    <xdr:ext cx="5793105" cy="4245465"/>
    <xdr:pic>
      <xdr:nvPicPr>
        <xdr:cNvPr id="41" name="Imagen 40">
          <a:extLst>
            <a:ext uri="{FF2B5EF4-FFF2-40B4-BE49-F238E27FC236}">
              <a16:creationId xmlns:a16="http://schemas.microsoft.com/office/drawing/2014/main" id="{FC4519C4-DDBE-4B8A-96A8-E61CA19F2E2E}"/>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1428095" y="322181219"/>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643890</xdr:colOff>
      <xdr:row>1409</xdr:row>
      <xdr:rowOff>78105</xdr:rowOff>
    </xdr:from>
    <xdr:ext cx="4591050" cy="3364541"/>
    <xdr:pic>
      <xdr:nvPicPr>
        <xdr:cNvPr id="42" name="Imagen 41">
          <a:extLst>
            <a:ext uri="{FF2B5EF4-FFF2-40B4-BE49-F238E27FC236}">
              <a16:creationId xmlns:a16="http://schemas.microsoft.com/office/drawing/2014/main" id="{543BEEC5-A510-4EE3-BE9C-E2447CEBD6C1}"/>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2072640" y="1945005"/>
          <a:ext cx="4591050" cy="336454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38100</xdr:colOff>
      <xdr:row>1428</xdr:row>
      <xdr:rowOff>59055</xdr:rowOff>
    </xdr:from>
    <xdr:ext cx="1481805" cy="1049655"/>
    <xdr:pic>
      <xdr:nvPicPr>
        <xdr:cNvPr id="43" name="Imagen 42">
          <a:extLst>
            <a:ext uri="{FF2B5EF4-FFF2-40B4-BE49-F238E27FC236}">
              <a16:creationId xmlns:a16="http://schemas.microsoft.com/office/drawing/2014/main" id="{71C42B84-F21B-4649-8E04-2C17284D9D98}"/>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38100" y="315361320"/>
          <a:ext cx="1481805" cy="104965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1360170</xdr:colOff>
      <xdr:row>35</xdr:row>
      <xdr:rowOff>194309</xdr:rowOff>
    </xdr:from>
    <xdr:ext cx="5793105" cy="4245465"/>
    <xdr:pic>
      <xdr:nvPicPr>
        <xdr:cNvPr id="2" name="Imagen 1">
          <a:extLst>
            <a:ext uri="{FF2B5EF4-FFF2-40B4-BE49-F238E27FC236}">
              <a16:creationId xmlns:a16="http://schemas.microsoft.com/office/drawing/2014/main" id="{9810DE2D-76DB-4B43-A0F2-57A99267970D}"/>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358265" y="30398084"/>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426720</xdr:colOff>
      <xdr:row>63</xdr:row>
      <xdr:rowOff>53340</xdr:rowOff>
    </xdr:from>
    <xdr:ext cx="5793105" cy="4245465"/>
    <xdr:pic>
      <xdr:nvPicPr>
        <xdr:cNvPr id="3" name="Imagen 2">
          <a:extLst>
            <a:ext uri="{FF2B5EF4-FFF2-40B4-BE49-F238E27FC236}">
              <a16:creationId xmlns:a16="http://schemas.microsoft.com/office/drawing/2014/main" id="{C2696FFA-64D5-49EB-BB04-CB7716632047}"/>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895475" y="98555175"/>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969645</xdr:colOff>
      <xdr:row>99</xdr:row>
      <xdr:rowOff>186690</xdr:rowOff>
    </xdr:from>
    <xdr:ext cx="4203307" cy="3080385"/>
    <xdr:pic>
      <xdr:nvPicPr>
        <xdr:cNvPr id="4" name="Imagen 3">
          <a:extLst>
            <a:ext uri="{FF2B5EF4-FFF2-40B4-BE49-F238E27FC236}">
              <a16:creationId xmlns:a16="http://schemas.microsoft.com/office/drawing/2014/main" id="{D4F5FD18-36AE-41E4-8D75-15A2DD469D3D}"/>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2440305" y="113448465"/>
          <a:ext cx="4203307" cy="30803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2</xdr:col>
      <xdr:colOff>78105</xdr:colOff>
      <xdr:row>10</xdr:row>
      <xdr:rowOff>321945</xdr:rowOff>
    </xdr:from>
    <xdr:ext cx="4203307" cy="3080385"/>
    <xdr:pic>
      <xdr:nvPicPr>
        <xdr:cNvPr id="2" name="Imagen 1">
          <a:extLst>
            <a:ext uri="{FF2B5EF4-FFF2-40B4-BE49-F238E27FC236}">
              <a16:creationId xmlns:a16="http://schemas.microsoft.com/office/drawing/2014/main" id="{DDECCEC1-B8B4-49B2-8BD8-202B8C4298E8}"/>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3002280" y="2941320"/>
          <a:ext cx="4203307" cy="30803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876300</xdr:colOff>
      <xdr:row>36</xdr:row>
      <xdr:rowOff>139065</xdr:rowOff>
    </xdr:from>
    <xdr:ext cx="4446270" cy="4275702"/>
    <xdr:pic>
      <xdr:nvPicPr>
        <xdr:cNvPr id="3" name="Imagen 2">
          <a:extLst>
            <a:ext uri="{FF2B5EF4-FFF2-40B4-BE49-F238E27FC236}">
              <a16:creationId xmlns:a16="http://schemas.microsoft.com/office/drawing/2014/main" id="{B2BB3A4F-E41B-4665-AE65-E942A23CD4A5}"/>
            </a:ext>
          </a:extLst>
        </xdr:cNvPr>
        <xdr:cNvPicPr>
          <a:picLocks noChangeAspect="1"/>
        </xdr:cNvPicPr>
      </xdr:nvPicPr>
      <xdr:blipFill>
        <a:blip xmlns:r="http://schemas.openxmlformats.org/officeDocument/2006/relationships" r:embed="rId2">
          <a:alphaModFix amt="20000"/>
          <a:extLst>
            <a:ext uri="{28A0092B-C50C-407E-A947-70E740481C1C}">
              <a14:useLocalDpi xmlns:a14="http://schemas.microsoft.com/office/drawing/2010/main" val="0"/>
            </a:ext>
          </a:extLst>
        </a:blip>
        <a:stretch>
          <a:fillRect/>
        </a:stretch>
      </xdr:blipFill>
      <xdr:spPr>
        <a:xfrm>
          <a:off x="2354580" y="37896165"/>
          <a:ext cx="4446270" cy="4275702"/>
        </a:xfrm>
        <a:prstGeom prst="rect">
          <a:avLst/>
        </a:prstGeom>
      </xdr:spPr>
    </xdr:pic>
    <xdr:clientData/>
  </xdr:oneCellAnchor>
  <xdr:oneCellAnchor>
    <xdr:from>
      <xdr:col>1</xdr:col>
      <xdr:colOff>139065</xdr:colOff>
      <xdr:row>70</xdr:row>
      <xdr:rowOff>59055</xdr:rowOff>
    </xdr:from>
    <xdr:ext cx="4591050" cy="3364541"/>
    <xdr:pic>
      <xdr:nvPicPr>
        <xdr:cNvPr id="4" name="Imagen 3">
          <a:extLst>
            <a:ext uri="{FF2B5EF4-FFF2-40B4-BE49-F238E27FC236}">
              <a16:creationId xmlns:a16="http://schemas.microsoft.com/office/drawing/2014/main" id="{31227C0F-1A88-41E0-AFC5-775C6A74A192}"/>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777365" y="82987515"/>
          <a:ext cx="4591050" cy="336454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634365</xdr:colOff>
      <xdr:row>132</xdr:row>
      <xdr:rowOff>19050</xdr:rowOff>
    </xdr:from>
    <xdr:ext cx="5793105" cy="4245465"/>
    <xdr:pic>
      <xdr:nvPicPr>
        <xdr:cNvPr id="5" name="Imagen 4">
          <a:extLst>
            <a:ext uri="{FF2B5EF4-FFF2-40B4-BE49-F238E27FC236}">
              <a16:creationId xmlns:a16="http://schemas.microsoft.com/office/drawing/2014/main" id="{E0BE6449-92AE-4B7B-830B-B400B6D64810}"/>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2268855" y="37467540"/>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112395</xdr:colOff>
      <xdr:row>12</xdr:row>
      <xdr:rowOff>57150</xdr:rowOff>
    </xdr:from>
    <xdr:ext cx="5191125" cy="3804305"/>
    <xdr:pic>
      <xdr:nvPicPr>
        <xdr:cNvPr id="2" name="Imagen 1">
          <a:extLst>
            <a:ext uri="{FF2B5EF4-FFF2-40B4-BE49-F238E27FC236}">
              <a16:creationId xmlns:a16="http://schemas.microsoft.com/office/drawing/2014/main" id="{8CEB0506-8814-4EB4-BFE8-A2C0F85ED702}"/>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579245" y="49469040"/>
          <a:ext cx="5191125" cy="38043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112395</xdr:colOff>
      <xdr:row>44</xdr:row>
      <xdr:rowOff>57150</xdr:rowOff>
    </xdr:from>
    <xdr:ext cx="5191125" cy="3804305"/>
    <xdr:pic>
      <xdr:nvPicPr>
        <xdr:cNvPr id="3" name="Imagen 2">
          <a:extLst>
            <a:ext uri="{FF2B5EF4-FFF2-40B4-BE49-F238E27FC236}">
              <a16:creationId xmlns:a16="http://schemas.microsoft.com/office/drawing/2014/main" id="{0741AEE7-9B17-4074-A4D9-44558347F3AB}"/>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750695" y="3453765"/>
          <a:ext cx="5191125" cy="38043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112395</xdr:colOff>
      <xdr:row>75</xdr:row>
      <xdr:rowOff>43815</xdr:rowOff>
    </xdr:from>
    <xdr:ext cx="5191125" cy="3804305"/>
    <xdr:pic>
      <xdr:nvPicPr>
        <xdr:cNvPr id="4" name="Imagen 3">
          <a:extLst>
            <a:ext uri="{FF2B5EF4-FFF2-40B4-BE49-F238E27FC236}">
              <a16:creationId xmlns:a16="http://schemas.microsoft.com/office/drawing/2014/main" id="{5F2E0B56-C1D1-44BB-882E-BD8092230374}"/>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750695" y="17617440"/>
          <a:ext cx="5191125" cy="38043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112395</xdr:colOff>
      <xdr:row>106</xdr:row>
      <xdr:rowOff>43815</xdr:rowOff>
    </xdr:from>
    <xdr:ext cx="5191125" cy="3804305"/>
    <xdr:pic>
      <xdr:nvPicPr>
        <xdr:cNvPr id="5" name="Imagen 4">
          <a:extLst>
            <a:ext uri="{FF2B5EF4-FFF2-40B4-BE49-F238E27FC236}">
              <a16:creationId xmlns:a16="http://schemas.microsoft.com/office/drawing/2014/main" id="{3B528E62-A4EC-4093-930C-2A1536942E62}"/>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750695" y="17619345"/>
          <a:ext cx="5191125" cy="38043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1360170</xdr:colOff>
      <xdr:row>134</xdr:row>
      <xdr:rowOff>194309</xdr:rowOff>
    </xdr:from>
    <xdr:ext cx="5793105" cy="4245465"/>
    <xdr:pic>
      <xdr:nvPicPr>
        <xdr:cNvPr id="6" name="Imagen 5">
          <a:extLst>
            <a:ext uri="{FF2B5EF4-FFF2-40B4-BE49-F238E27FC236}">
              <a16:creationId xmlns:a16="http://schemas.microsoft.com/office/drawing/2014/main" id="{9A5FAA55-1434-4335-96B3-A81D0480CA0A}"/>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360170" y="30969584"/>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634365</xdr:colOff>
      <xdr:row>162</xdr:row>
      <xdr:rowOff>19050</xdr:rowOff>
    </xdr:from>
    <xdr:ext cx="5793105" cy="4245465"/>
    <xdr:pic>
      <xdr:nvPicPr>
        <xdr:cNvPr id="7" name="Imagen 6">
          <a:extLst>
            <a:ext uri="{FF2B5EF4-FFF2-40B4-BE49-F238E27FC236}">
              <a16:creationId xmlns:a16="http://schemas.microsoft.com/office/drawing/2014/main" id="{0EC72238-9D14-4652-A443-2727901EC274}"/>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2272665" y="37585650"/>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43815</xdr:colOff>
      <xdr:row>199</xdr:row>
      <xdr:rowOff>43815</xdr:rowOff>
    </xdr:from>
    <xdr:ext cx="4203307" cy="3080385"/>
    <xdr:pic>
      <xdr:nvPicPr>
        <xdr:cNvPr id="8" name="Imagen 7">
          <a:extLst>
            <a:ext uri="{FF2B5EF4-FFF2-40B4-BE49-F238E27FC236}">
              <a16:creationId xmlns:a16="http://schemas.microsoft.com/office/drawing/2014/main" id="{433DA87A-EE06-4EA6-9324-398B82ACC3B2}"/>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2684145" y="3427095"/>
          <a:ext cx="4203307" cy="30803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979170</xdr:colOff>
      <xdr:row>230</xdr:row>
      <xdr:rowOff>121920</xdr:rowOff>
    </xdr:from>
    <xdr:ext cx="4203307" cy="3080385"/>
    <xdr:pic>
      <xdr:nvPicPr>
        <xdr:cNvPr id="9" name="Imagen 8">
          <a:extLst>
            <a:ext uri="{FF2B5EF4-FFF2-40B4-BE49-F238E27FC236}">
              <a16:creationId xmlns:a16="http://schemas.microsoft.com/office/drawing/2014/main" id="{D960C574-6530-4D75-86B5-801FDB79F3D2}"/>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2453640" y="11163300"/>
          <a:ext cx="4203307" cy="30803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1322070</xdr:colOff>
      <xdr:row>266</xdr:row>
      <xdr:rowOff>280035</xdr:rowOff>
    </xdr:from>
    <xdr:ext cx="6137910" cy="4498154"/>
    <xdr:pic>
      <xdr:nvPicPr>
        <xdr:cNvPr id="10" name="Imagen 9">
          <a:extLst>
            <a:ext uri="{FF2B5EF4-FFF2-40B4-BE49-F238E27FC236}">
              <a16:creationId xmlns:a16="http://schemas.microsoft.com/office/drawing/2014/main" id="{792601B2-C8F5-4C4D-A11D-4384FC52BFEC}"/>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320165" y="66339720"/>
          <a:ext cx="6137910" cy="449815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129540</xdr:colOff>
      <xdr:row>265</xdr:row>
      <xdr:rowOff>331470</xdr:rowOff>
    </xdr:from>
    <xdr:ext cx="6137910" cy="4498154"/>
    <xdr:pic>
      <xdr:nvPicPr>
        <xdr:cNvPr id="11" name="Imagen 10">
          <a:extLst>
            <a:ext uri="{FF2B5EF4-FFF2-40B4-BE49-F238E27FC236}">
              <a16:creationId xmlns:a16="http://schemas.microsoft.com/office/drawing/2014/main" id="{8D846C04-2AA7-4207-954C-B4E0F4514F54}"/>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2619375" y="65852040"/>
          <a:ext cx="6137910" cy="449815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1424940</xdr:colOff>
      <xdr:row>298</xdr:row>
      <xdr:rowOff>55245</xdr:rowOff>
    </xdr:from>
    <xdr:ext cx="5793105" cy="4245465"/>
    <xdr:pic>
      <xdr:nvPicPr>
        <xdr:cNvPr id="12" name="Imagen 11">
          <a:extLst>
            <a:ext uri="{FF2B5EF4-FFF2-40B4-BE49-F238E27FC236}">
              <a16:creationId xmlns:a16="http://schemas.microsoft.com/office/drawing/2014/main" id="{296699FA-916A-48A3-A8F5-2DA3BA6DE67D}"/>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424940" y="76540995"/>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139065</xdr:colOff>
      <xdr:row>331</xdr:row>
      <xdr:rowOff>59055</xdr:rowOff>
    </xdr:from>
    <xdr:ext cx="4591050" cy="3364541"/>
    <xdr:pic>
      <xdr:nvPicPr>
        <xdr:cNvPr id="13" name="Imagen 12">
          <a:extLst>
            <a:ext uri="{FF2B5EF4-FFF2-40B4-BE49-F238E27FC236}">
              <a16:creationId xmlns:a16="http://schemas.microsoft.com/office/drawing/2014/main" id="{D433421B-245C-47F9-8FEF-D21E4308EFCE}"/>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602105" y="3408045"/>
          <a:ext cx="4591050" cy="336454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1304924</xdr:colOff>
      <xdr:row>362</xdr:row>
      <xdr:rowOff>154305</xdr:rowOff>
    </xdr:from>
    <xdr:ext cx="6086475" cy="4667250"/>
    <xdr:pic>
      <xdr:nvPicPr>
        <xdr:cNvPr id="14" name="Imagen 13">
          <a:extLst>
            <a:ext uri="{FF2B5EF4-FFF2-40B4-BE49-F238E27FC236}">
              <a16:creationId xmlns:a16="http://schemas.microsoft.com/office/drawing/2014/main" id="{CC5BC627-EAB5-4A34-BD36-4918F559C77A}"/>
            </a:ext>
          </a:extLst>
        </xdr:cNvPr>
        <xdr:cNvPicPr>
          <a:picLocks noChangeAspect="1"/>
        </xdr:cNvPicPr>
      </xdr:nvPicPr>
      <xdr:blipFill>
        <a:blip xmlns:r="http://schemas.openxmlformats.org/officeDocument/2006/relationships" r:embed="rId2">
          <a:alphaModFix amt="11000"/>
          <a:extLst>
            <a:ext uri="{28A0092B-C50C-407E-A947-70E740481C1C}">
              <a14:useLocalDpi xmlns:a14="http://schemas.microsoft.com/office/drawing/2010/main" val="0"/>
            </a:ext>
          </a:extLst>
        </a:blip>
        <a:stretch>
          <a:fillRect/>
        </a:stretch>
      </xdr:blipFill>
      <xdr:spPr>
        <a:xfrm>
          <a:off x="1306829" y="288266505"/>
          <a:ext cx="6086475" cy="4667250"/>
        </a:xfrm>
        <a:prstGeom prst="rect">
          <a:avLst/>
        </a:prstGeom>
      </xdr:spPr>
    </xdr:pic>
    <xdr:clientData/>
  </xdr:oneCellAnchor>
  <xdr:oneCellAnchor>
    <xdr:from>
      <xdr:col>0</xdr:col>
      <xdr:colOff>38100</xdr:colOff>
      <xdr:row>389</xdr:row>
      <xdr:rowOff>59055</xdr:rowOff>
    </xdr:from>
    <xdr:ext cx="1481805" cy="1049655"/>
    <xdr:pic>
      <xdr:nvPicPr>
        <xdr:cNvPr id="15" name="Imagen 14">
          <a:extLst>
            <a:ext uri="{FF2B5EF4-FFF2-40B4-BE49-F238E27FC236}">
              <a16:creationId xmlns:a16="http://schemas.microsoft.com/office/drawing/2014/main" id="{5FBCA76C-DEA3-427B-93A9-49C9910D31A9}"/>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38100" y="315361320"/>
          <a:ext cx="1481805" cy="104965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43815</xdr:colOff>
      <xdr:row>429</xdr:row>
      <xdr:rowOff>43815</xdr:rowOff>
    </xdr:from>
    <xdr:ext cx="4203307" cy="3080385"/>
    <xdr:pic>
      <xdr:nvPicPr>
        <xdr:cNvPr id="16" name="Imagen 15">
          <a:extLst>
            <a:ext uri="{FF2B5EF4-FFF2-40B4-BE49-F238E27FC236}">
              <a16:creationId xmlns:a16="http://schemas.microsoft.com/office/drawing/2014/main" id="{4F66143C-B6F4-402A-8A8F-23E533F5ABA0}"/>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2531745" y="92695395"/>
          <a:ext cx="4203307" cy="30803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459105</xdr:colOff>
      <xdr:row>461</xdr:row>
      <xdr:rowOff>361950</xdr:rowOff>
    </xdr:from>
    <xdr:ext cx="4203307" cy="3080385"/>
    <xdr:pic>
      <xdr:nvPicPr>
        <xdr:cNvPr id="17" name="Imagen 16">
          <a:extLst>
            <a:ext uri="{FF2B5EF4-FFF2-40B4-BE49-F238E27FC236}">
              <a16:creationId xmlns:a16="http://schemas.microsoft.com/office/drawing/2014/main" id="{687BDC07-51BB-4518-88A2-474718D4DEF0}"/>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2097405" y="114642900"/>
          <a:ext cx="4203307" cy="30803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1150620</xdr:colOff>
      <xdr:row>491</xdr:row>
      <xdr:rowOff>47624</xdr:rowOff>
    </xdr:from>
    <xdr:ext cx="5793105" cy="4245465"/>
    <xdr:pic>
      <xdr:nvPicPr>
        <xdr:cNvPr id="18" name="Imagen 17">
          <a:extLst>
            <a:ext uri="{FF2B5EF4-FFF2-40B4-BE49-F238E27FC236}">
              <a16:creationId xmlns:a16="http://schemas.microsoft.com/office/drawing/2014/main" id="{72660808-4955-4A8D-BBEE-0DEF484E1042}"/>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150620" y="121272299"/>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1428750</xdr:colOff>
      <xdr:row>520</xdr:row>
      <xdr:rowOff>200024</xdr:rowOff>
    </xdr:from>
    <xdr:ext cx="5793105" cy="4245465"/>
    <xdr:pic>
      <xdr:nvPicPr>
        <xdr:cNvPr id="19" name="Imagen 18">
          <a:extLst>
            <a:ext uri="{FF2B5EF4-FFF2-40B4-BE49-F238E27FC236}">
              <a16:creationId xmlns:a16="http://schemas.microsoft.com/office/drawing/2014/main" id="{02C124AC-5759-4D30-B7B4-200EA8D76741}"/>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428750" y="127111124"/>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112395</xdr:colOff>
      <xdr:row>556</xdr:row>
      <xdr:rowOff>43815</xdr:rowOff>
    </xdr:from>
    <xdr:ext cx="5191125" cy="3804305"/>
    <xdr:pic>
      <xdr:nvPicPr>
        <xdr:cNvPr id="20" name="Imagen 19">
          <a:extLst>
            <a:ext uri="{FF2B5EF4-FFF2-40B4-BE49-F238E27FC236}">
              <a16:creationId xmlns:a16="http://schemas.microsoft.com/office/drawing/2014/main" id="{055FF0A7-CD11-44FB-854F-F4E20AE46844}"/>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750695" y="17619345"/>
          <a:ext cx="5191125" cy="38043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935355</xdr:colOff>
      <xdr:row>587</xdr:row>
      <xdr:rowOff>167640</xdr:rowOff>
    </xdr:from>
    <xdr:ext cx="4236720" cy="3080385"/>
    <xdr:pic>
      <xdr:nvPicPr>
        <xdr:cNvPr id="21" name="Imagen 20">
          <a:extLst>
            <a:ext uri="{FF2B5EF4-FFF2-40B4-BE49-F238E27FC236}">
              <a16:creationId xmlns:a16="http://schemas.microsoft.com/office/drawing/2014/main" id="{C99CBF57-513F-41E5-81FE-472F2890DA66}"/>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2573655" y="142385415"/>
          <a:ext cx="4236720" cy="30803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535305</xdr:colOff>
      <xdr:row>678</xdr:row>
      <xdr:rowOff>38100</xdr:rowOff>
    </xdr:from>
    <xdr:ext cx="5191125" cy="3804305"/>
    <xdr:pic>
      <xdr:nvPicPr>
        <xdr:cNvPr id="22" name="Imagen 21">
          <a:extLst>
            <a:ext uri="{FF2B5EF4-FFF2-40B4-BE49-F238E27FC236}">
              <a16:creationId xmlns:a16="http://schemas.microsoft.com/office/drawing/2014/main" id="{AAA77596-C397-423B-90C2-E7214779A2E8}"/>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2011680" y="59007375"/>
          <a:ext cx="5191125" cy="38043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969645</xdr:colOff>
      <xdr:row>711</xdr:row>
      <xdr:rowOff>186690</xdr:rowOff>
    </xdr:from>
    <xdr:ext cx="4203307" cy="3080385"/>
    <xdr:pic>
      <xdr:nvPicPr>
        <xdr:cNvPr id="23" name="Imagen 22">
          <a:extLst>
            <a:ext uri="{FF2B5EF4-FFF2-40B4-BE49-F238E27FC236}">
              <a16:creationId xmlns:a16="http://schemas.microsoft.com/office/drawing/2014/main" id="{8B82A74D-01E9-4DFF-87B3-F15BC7CF31CC}"/>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2440305" y="126735840"/>
          <a:ext cx="4203307" cy="30803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2</xdr:col>
      <xdr:colOff>43815</xdr:colOff>
      <xdr:row>11</xdr:row>
      <xdr:rowOff>43815</xdr:rowOff>
    </xdr:from>
    <xdr:ext cx="4203307" cy="3080385"/>
    <xdr:pic>
      <xdr:nvPicPr>
        <xdr:cNvPr id="2" name="Imagen 1">
          <a:extLst>
            <a:ext uri="{FF2B5EF4-FFF2-40B4-BE49-F238E27FC236}">
              <a16:creationId xmlns:a16="http://schemas.microsoft.com/office/drawing/2014/main" id="{1ECA4733-D95C-4631-8ADC-88D5360034A4}"/>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2531745" y="121337070"/>
          <a:ext cx="4203307" cy="30803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979170</xdr:colOff>
      <xdr:row>41</xdr:row>
      <xdr:rowOff>121920</xdr:rowOff>
    </xdr:from>
    <xdr:ext cx="4203307" cy="3080385"/>
    <xdr:pic>
      <xdr:nvPicPr>
        <xdr:cNvPr id="3" name="Imagen 2">
          <a:extLst>
            <a:ext uri="{FF2B5EF4-FFF2-40B4-BE49-F238E27FC236}">
              <a16:creationId xmlns:a16="http://schemas.microsoft.com/office/drawing/2014/main" id="{3CDC8513-CEF3-4753-AFAF-2E351BC0DCEA}"/>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2444115" y="121224675"/>
          <a:ext cx="4203307" cy="30803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920115</xdr:colOff>
      <xdr:row>73</xdr:row>
      <xdr:rowOff>314325</xdr:rowOff>
    </xdr:from>
    <xdr:ext cx="4203307" cy="3080385"/>
    <xdr:pic>
      <xdr:nvPicPr>
        <xdr:cNvPr id="4" name="Imagen 3">
          <a:extLst>
            <a:ext uri="{FF2B5EF4-FFF2-40B4-BE49-F238E27FC236}">
              <a16:creationId xmlns:a16="http://schemas.microsoft.com/office/drawing/2014/main" id="{B7203F3D-7A80-461D-BEF8-F97377B9C961}"/>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2396490" y="19202400"/>
          <a:ext cx="4203307" cy="30803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836295</xdr:colOff>
      <xdr:row>132</xdr:row>
      <xdr:rowOff>293370</xdr:rowOff>
    </xdr:from>
    <xdr:ext cx="4203307" cy="3080385"/>
    <xdr:pic>
      <xdr:nvPicPr>
        <xdr:cNvPr id="5" name="Imagen 4">
          <a:extLst>
            <a:ext uri="{FF2B5EF4-FFF2-40B4-BE49-F238E27FC236}">
              <a16:creationId xmlns:a16="http://schemas.microsoft.com/office/drawing/2014/main" id="{C120F5A8-89F6-4127-9613-E7E5B282696B}"/>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2303145" y="113743740"/>
          <a:ext cx="4203307" cy="30803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876300</xdr:colOff>
      <xdr:row>159</xdr:row>
      <xdr:rowOff>139065</xdr:rowOff>
    </xdr:from>
    <xdr:ext cx="4446270" cy="4275702"/>
    <xdr:pic>
      <xdr:nvPicPr>
        <xdr:cNvPr id="6" name="Imagen 5">
          <a:extLst>
            <a:ext uri="{FF2B5EF4-FFF2-40B4-BE49-F238E27FC236}">
              <a16:creationId xmlns:a16="http://schemas.microsoft.com/office/drawing/2014/main" id="{19B05046-4392-4911-AD42-FBE8373B7D9A}"/>
            </a:ext>
          </a:extLst>
        </xdr:cNvPr>
        <xdr:cNvPicPr>
          <a:picLocks noChangeAspect="1"/>
        </xdr:cNvPicPr>
      </xdr:nvPicPr>
      <xdr:blipFill>
        <a:blip xmlns:r="http://schemas.openxmlformats.org/officeDocument/2006/relationships" r:embed="rId2">
          <a:alphaModFix amt="20000"/>
          <a:extLst>
            <a:ext uri="{28A0092B-C50C-407E-A947-70E740481C1C}">
              <a14:useLocalDpi xmlns:a14="http://schemas.microsoft.com/office/drawing/2010/main" val="0"/>
            </a:ext>
          </a:extLst>
        </a:blip>
        <a:stretch>
          <a:fillRect/>
        </a:stretch>
      </xdr:blipFill>
      <xdr:spPr>
        <a:xfrm>
          <a:off x="2371725" y="161679255"/>
          <a:ext cx="4446270" cy="4275702"/>
        </a:xfrm>
        <a:prstGeom prst="rect">
          <a:avLst/>
        </a:prstGeom>
      </xdr:spPr>
    </xdr:pic>
    <xdr:clientData/>
  </xdr:oneCellAnchor>
  <xdr:oneCellAnchor>
    <xdr:from>
      <xdr:col>1</xdr:col>
      <xdr:colOff>535305</xdr:colOff>
      <xdr:row>251</xdr:row>
      <xdr:rowOff>38100</xdr:rowOff>
    </xdr:from>
    <xdr:ext cx="5191125" cy="3804305"/>
    <xdr:pic>
      <xdr:nvPicPr>
        <xdr:cNvPr id="7" name="Imagen 6">
          <a:extLst>
            <a:ext uri="{FF2B5EF4-FFF2-40B4-BE49-F238E27FC236}">
              <a16:creationId xmlns:a16="http://schemas.microsoft.com/office/drawing/2014/main" id="{8E24A4EB-262E-433C-9337-EF68376885FB}"/>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2030730" y="175869600"/>
          <a:ext cx="5191125" cy="38043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83819</xdr:colOff>
      <xdr:row>285</xdr:row>
      <xdr:rowOff>304800</xdr:rowOff>
    </xdr:from>
    <xdr:ext cx="5046345" cy="3364541"/>
    <xdr:pic>
      <xdr:nvPicPr>
        <xdr:cNvPr id="8" name="Imagen 7">
          <a:extLst>
            <a:ext uri="{FF2B5EF4-FFF2-40B4-BE49-F238E27FC236}">
              <a16:creationId xmlns:a16="http://schemas.microsoft.com/office/drawing/2014/main" id="{599099E6-5745-4BC5-9F42-61C48AEA5FAD}"/>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552574" y="42100500"/>
          <a:ext cx="5046345" cy="336454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83819</xdr:colOff>
      <xdr:row>320</xdr:row>
      <xdr:rowOff>304800</xdr:rowOff>
    </xdr:from>
    <xdr:ext cx="5046345" cy="3364541"/>
    <xdr:pic>
      <xdr:nvPicPr>
        <xdr:cNvPr id="9" name="Imagen 8">
          <a:extLst>
            <a:ext uri="{FF2B5EF4-FFF2-40B4-BE49-F238E27FC236}">
              <a16:creationId xmlns:a16="http://schemas.microsoft.com/office/drawing/2014/main" id="{17123CB8-7BAB-4FB7-B0D7-63A0E4F23CE0}"/>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562099" y="67208400"/>
          <a:ext cx="5046345" cy="336454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133349</xdr:colOff>
      <xdr:row>352</xdr:row>
      <xdr:rowOff>152400</xdr:rowOff>
    </xdr:from>
    <xdr:ext cx="5046345" cy="3364541"/>
    <xdr:pic>
      <xdr:nvPicPr>
        <xdr:cNvPr id="10" name="Imagen 9">
          <a:extLst>
            <a:ext uri="{FF2B5EF4-FFF2-40B4-BE49-F238E27FC236}">
              <a16:creationId xmlns:a16="http://schemas.microsoft.com/office/drawing/2014/main" id="{B42E57E0-02D7-436F-81F6-583C4FC08BF0}"/>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609724" y="81629250"/>
          <a:ext cx="5046345" cy="336454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563880</xdr:colOff>
      <xdr:row>11</xdr:row>
      <xdr:rowOff>169545</xdr:rowOff>
    </xdr:from>
    <xdr:ext cx="4591050" cy="3364541"/>
    <xdr:pic>
      <xdr:nvPicPr>
        <xdr:cNvPr id="2" name="Imagen 1">
          <a:extLst>
            <a:ext uri="{FF2B5EF4-FFF2-40B4-BE49-F238E27FC236}">
              <a16:creationId xmlns:a16="http://schemas.microsoft.com/office/drawing/2014/main" id="{4AE01889-F632-4089-B583-5A007C5473E7}"/>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2030730" y="3522345"/>
          <a:ext cx="4591050" cy="336454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643890</xdr:colOff>
      <xdr:row>42</xdr:row>
      <xdr:rowOff>78105</xdr:rowOff>
    </xdr:from>
    <xdr:ext cx="4591050" cy="3364541"/>
    <xdr:pic>
      <xdr:nvPicPr>
        <xdr:cNvPr id="4" name="Imagen 3">
          <a:extLst>
            <a:ext uri="{FF2B5EF4-FFF2-40B4-BE49-F238E27FC236}">
              <a16:creationId xmlns:a16="http://schemas.microsoft.com/office/drawing/2014/main" id="{EEFA9DC7-30DE-423F-AC64-A3F9F4F3606C}"/>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2110740" y="1897380"/>
          <a:ext cx="4591050" cy="336454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453390</xdr:colOff>
      <xdr:row>79</xdr:row>
      <xdr:rowOff>68580</xdr:rowOff>
    </xdr:from>
    <xdr:ext cx="4591050" cy="3364541"/>
    <xdr:pic>
      <xdr:nvPicPr>
        <xdr:cNvPr id="6" name="Imagen 5">
          <a:extLst>
            <a:ext uri="{FF2B5EF4-FFF2-40B4-BE49-F238E27FC236}">
              <a16:creationId xmlns:a16="http://schemas.microsoft.com/office/drawing/2014/main" id="{4B4E815F-DF80-4942-8168-90F2924C015A}"/>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920240" y="18413730"/>
          <a:ext cx="4591050" cy="336454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83819</xdr:colOff>
      <xdr:row>114</xdr:row>
      <xdr:rowOff>304800</xdr:rowOff>
    </xdr:from>
    <xdr:ext cx="5046345" cy="3364541"/>
    <xdr:pic>
      <xdr:nvPicPr>
        <xdr:cNvPr id="3" name="Imagen 2">
          <a:extLst>
            <a:ext uri="{FF2B5EF4-FFF2-40B4-BE49-F238E27FC236}">
              <a16:creationId xmlns:a16="http://schemas.microsoft.com/office/drawing/2014/main" id="{8E80D201-4B28-41AF-8EE1-12D6BC0715ED}"/>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550669" y="26603325"/>
          <a:ext cx="5046345" cy="336454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83819</xdr:colOff>
      <xdr:row>148</xdr:row>
      <xdr:rowOff>304800</xdr:rowOff>
    </xdr:from>
    <xdr:ext cx="5046345" cy="3364541"/>
    <xdr:pic>
      <xdr:nvPicPr>
        <xdr:cNvPr id="8" name="Imagen 7">
          <a:extLst>
            <a:ext uri="{FF2B5EF4-FFF2-40B4-BE49-F238E27FC236}">
              <a16:creationId xmlns:a16="http://schemas.microsoft.com/office/drawing/2014/main" id="{3E4820EB-6376-455D-9927-E14CBE87AD44}"/>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552574" y="26603325"/>
          <a:ext cx="5046345" cy="336454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83819</xdr:colOff>
      <xdr:row>182</xdr:row>
      <xdr:rowOff>304800</xdr:rowOff>
    </xdr:from>
    <xdr:ext cx="5046345" cy="3364541"/>
    <xdr:pic>
      <xdr:nvPicPr>
        <xdr:cNvPr id="9" name="Imagen 8">
          <a:extLst>
            <a:ext uri="{FF2B5EF4-FFF2-40B4-BE49-F238E27FC236}">
              <a16:creationId xmlns:a16="http://schemas.microsoft.com/office/drawing/2014/main" id="{510FF9FF-EBDD-4043-886D-9D569F604ECA}"/>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552574" y="27012900"/>
          <a:ext cx="5046345" cy="336454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112395</xdr:colOff>
      <xdr:row>216</xdr:row>
      <xdr:rowOff>57150</xdr:rowOff>
    </xdr:from>
    <xdr:ext cx="5191125" cy="3804305"/>
    <xdr:pic>
      <xdr:nvPicPr>
        <xdr:cNvPr id="10" name="Imagen 9">
          <a:extLst>
            <a:ext uri="{FF2B5EF4-FFF2-40B4-BE49-F238E27FC236}">
              <a16:creationId xmlns:a16="http://schemas.microsoft.com/office/drawing/2014/main" id="{61DA6B2D-D75F-4AFD-A033-CFA432CC0FA9}"/>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579245" y="50615850"/>
          <a:ext cx="5191125" cy="38043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112395</xdr:colOff>
      <xdr:row>248</xdr:row>
      <xdr:rowOff>57150</xdr:rowOff>
    </xdr:from>
    <xdr:ext cx="5191125" cy="3804305"/>
    <xdr:pic>
      <xdr:nvPicPr>
        <xdr:cNvPr id="7" name="Imagen 6">
          <a:extLst>
            <a:ext uri="{FF2B5EF4-FFF2-40B4-BE49-F238E27FC236}">
              <a16:creationId xmlns:a16="http://schemas.microsoft.com/office/drawing/2014/main" id="{EE76A30D-1AE7-4768-8760-2BC16B174610}"/>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579245" y="50612040"/>
          <a:ext cx="5191125" cy="38043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1322070</xdr:colOff>
      <xdr:row>285</xdr:row>
      <xdr:rowOff>280035</xdr:rowOff>
    </xdr:from>
    <xdr:ext cx="6137910" cy="4498154"/>
    <xdr:pic>
      <xdr:nvPicPr>
        <xdr:cNvPr id="11" name="Imagen 10">
          <a:extLst>
            <a:ext uri="{FF2B5EF4-FFF2-40B4-BE49-F238E27FC236}">
              <a16:creationId xmlns:a16="http://schemas.microsoft.com/office/drawing/2014/main" id="{07EA6085-E182-4FD0-A3C1-FB762F70586C}"/>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320165" y="256763520"/>
          <a:ext cx="6137910" cy="449815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129540</xdr:colOff>
      <xdr:row>284</xdr:row>
      <xdr:rowOff>331470</xdr:rowOff>
    </xdr:from>
    <xdr:ext cx="6137910" cy="4498154"/>
    <xdr:pic>
      <xdr:nvPicPr>
        <xdr:cNvPr id="12" name="Imagen 11">
          <a:extLst>
            <a:ext uri="{FF2B5EF4-FFF2-40B4-BE49-F238E27FC236}">
              <a16:creationId xmlns:a16="http://schemas.microsoft.com/office/drawing/2014/main" id="{CA4A5A2D-0F48-4DFD-8B9E-C63818E310D1}"/>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2762250" y="256275840"/>
          <a:ext cx="6137910" cy="449815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1009650</xdr:colOff>
      <xdr:row>314</xdr:row>
      <xdr:rowOff>38100</xdr:rowOff>
    </xdr:from>
    <xdr:ext cx="5793105" cy="4245465"/>
    <xdr:pic>
      <xdr:nvPicPr>
        <xdr:cNvPr id="13" name="Imagen 12">
          <a:extLst>
            <a:ext uri="{FF2B5EF4-FFF2-40B4-BE49-F238E27FC236}">
              <a16:creationId xmlns:a16="http://schemas.microsoft.com/office/drawing/2014/main" id="{D8B52667-6883-43C1-8AF3-1DCB2BACA024}"/>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2501265" y="245878350"/>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676275</xdr:colOff>
      <xdr:row>346</xdr:row>
      <xdr:rowOff>11430</xdr:rowOff>
    </xdr:from>
    <xdr:ext cx="5793105" cy="4245465"/>
    <xdr:pic>
      <xdr:nvPicPr>
        <xdr:cNvPr id="14" name="Imagen 13">
          <a:extLst>
            <a:ext uri="{FF2B5EF4-FFF2-40B4-BE49-F238E27FC236}">
              <a16:creationId xmlns:a16="http://schemas.microsoft.com/office/drawing/2014/main" id="{1D412863-3142-4C24-86B4-1626A8417A50}"/>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2143125" y="86498430"/>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43815</xdr:colOff>
      <xdr:row>383</xdr:row>
      <xdr:rowOff>43815</xdr:rowOff>
    </xdr:from>
    <xdr:ext cx="4203307" cy="3080385"/>
    <xdr:pic>
      <xdr:nvPicPr>
        <xdr:cNvPr id="15" name="Imagen 14">
          <a:extLst>
            <a:ext uri="{FF2B5EF4-FFF2-40B4-BE49-F238E27FC236}">
              <a16:creationId xmlns:a16="http://schemas.microsoft.com/office/drawing/2014/main" id="{475D1872-6C22-4744-A6D2-14397B8E7A40}"/>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2529840" y="92693490"/>
          <a:ext cx="4203307" cy="30803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426720</xdr:colOff>
      <xdr:row>409</xdr:row>
      <xdr:rowOff>53340</xdr:rowOff>
    </xdr:from>
    <xdr:ext cx="5793105" cy="4245465"/>
    <xdr:pic>
      <xdr:nvPicPr>
        <xdr:cNvPr id="17" name="Imagen 16">
          <a:extLst>
            <a:ext uri="{FF2B5EF4-FFF2-40B4-BE49-F238E27FC236}">
              <a16:creationId xmlns:a16="http://schemas.microsoft.com/office/drawing/2014/main" id="{59D17758-A987-46C1-BDE7-2882312186F3}"/>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895475" y="93592650"/>
          <a:ext cx="5793105" cy="42454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969645</xdr:colOff>
      <xdr:row>475</xdr:row>
      <xdr:rowOff>186690</xdr:rowOff>
    </xdr:from>
    <xdr:ext cx="4203307" cy="3080385"/>
    <xdr:pic>
      <xdr:nvPicPr>
        <xdr:cNvPr id="5" name="Imagen 4">
          <a:extLst>
            <a:ext uri="{FF2B5EF4-FFF2-40B4-BE49-F238E27FC236}">
              <a16:creationId xmlns:a16="http://schemas.microsoft.com/office/drawing/2014/main" id="{62AE18D8-CD14-4AC4-8A81-E7997CF420CC}"/>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2436495" y="113448465"/>
          <a:ext cx="4203307" cy="30803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967740</xdr:colOff>
      <xdr:row>503</xdr:row>
      <xdr:rowOff>76200</xdr:rowOff>
    </xdr:from>
    <xdr:ext cx="4203307" cy="3080385"/>
    <xdr:pic>
      <xdr:nvPicPr>
        <xdr:cNvPr id="16" name="Imagen 15">
          <a:extLst>
            <a:ext uri="{FF2B5EF4-FFF2-40B4-BE49-F238E27FC236}">
              <a16:creationId xmlns:a16="http://schemas.microsoft.com/office/drawing/2014/main" id="{0CADC8FA-7346-4797-B9C4-63EDD9A0D4A0}"/>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2434590" y="121177050"/>
          <a:ext cx="4203307" cy="30803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180976</xdr:colOff>
      <xdr:row>3</xdr:row>
      <xdr:rowOff>47624</xdr:rowOff>
    </xdr:from>
    <xdr:ext cx="1451610" cy="1063809"/>
    <xdr:pic>
      <xdr:nvPicPr>
        <xdr:cNvPr id="2" name="Imagen 1">
          <a:extLst>
            <a:ext uri="{FF2B5EF4-FFF2-40B4-BE49-F238E27FC236}">
              <a16:creationId xmlns:a16="http://schemas.microsoft.com/office/drawing/2014/main" id="{1D4E1F5A-EEE9-4992-98CB-A1C0EF697F00}"/>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80976" y="590549"/>
          <a:ext cx="1451610" cy="10638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150496</xdr:colOff>
      <xdr:row>35</xdr:row>
      <xdr:rowOff>40004</xdr:rowOff>
    </xdr:from>
    <xdr:ext cx="1451610" cy="1063809"/>
    <xdr:pic>
      <xdr:nvPicPr>
        <xdr:cNvPr id="3" name="Imagen 2">
          <a:extLst>
            <a:ext uri="{FF2B5EF4-FFF2-40B4-BE49-F238E27FC236}">
              <a16:creationId xmlns:a16="http://schemas.microsoft.com/office/drawing/2014/main" id="{321210ED-30F8-4BCA-B48B-6493ED732E29}"/>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50496" y="7726679"/>
          <a:ext cx="1451610" cy="10638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150496</xdr:colOff>
      <xdr:row>65</xdr:row>
      <xdr:rowOff>40004</xdr:rowOff>
    </xdr:from>
    <xdr:ext cx="1451610" cy="1063809"/>
    <xdr:pic>
      <xdr:nvPicPr>
        <xdr:cNvPr id="4" name="Imagen 3">
          <a:extLst>
            <a:ext uri="{FF2B5EF4-FFF2-40B4-BE49-F238E27FC236}">
              <a16:creationId xmlns:a16="http://schemas.microsoft.com/office/drawing/2014/main" id="{771E03AF-7672-4F43-873F-B7370C5E1EE3}"/>
            </a:ext>
          </a:extLst>
        </xdr:cNvPr>
        <xdr:cNvPicPr>
          <a:picLocks noChangeAspect="1" noChangeArrowheads="1"/>
        </xdr:cNvPicPr>
      </xdr:nvPicPr>
      <xdr:blipFill>
        <a:blip xmlns:r="http://schemas.openxmlformats.org/officeDocument/2006/relationships" r:embed="rId1" cstate="print">
          <a:alphaModFix amt="20000"/>
          <a:extLst>
            <a:ext uri="{28A0092B-C50C-407E-A947-70E740481C1C}">
              <a14:useLocalDpi xmlns:a14="http://schemas.microsoft.com/office/drawing/2010/main" val="0"/>
            </a:ext>
          </a:extLst>
        </a:blip>
        <a:srcRect/>
        <a:stretch>
          <a:fillRect/>
        </a:stretch>
      </xdr:blipFill>
      <xdr:spPr bwMode="auto">
        <a:xfrm>
          <a:off x="150496" y="7726679"/>
          <a:ext cx="1451610" cy="10638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usuarios\Documents%20and%20Settings\Usuario\Datos%20de%20programa\Microsoft\Excel\Mis%20documentos\COMPRAS\ORDENES%20DE%20COMPRA\FLORESTA%20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Open Stub Data"/>
      <sheetName val="199"/>
      <sheetName val="198"/>
      <sheetName val="197"/>
      <sheetName val="196"/>
      <sheetName val="195"/>
      <sheetName val="194"/>
      <sheetName val="193"/>
      <sheetName val=" 119-2"/>
      <sheetName val="192"/>
      <sheetName val="191"/>
      <sheetName val="190"/>
      <sheetName val="189"/>
      <sheetName val="188"/>
      <sheetName val="187"/>
      <sheetName val="186"/>
      <sheetName val="185"/>
      <sheetName val="184"/>
      <sheetName val="183"/>
      <sheetName val="182"/>
      <sheetName val="181"/>
      <sheetName val="180"/>
      <sheetName val="179"/>
      <sheetName val="178"/>
      <sheetName val="177"/>
      <sheetName val="176"/>
      <sheetName val="175"/>
      <sheetName val="174"/>
      <sheetName val="173"/>
      <sheetName val="172"/>
      <sheetName val="171"/>
      <sheetName val="170"/>
      <sheetName val="169"/>
      <sheetName val="168"/>
      <sheetName val="167"/>
      <sheetName val="166"/>
      <sheetName val="165"/>
      <sheetName val="164"/>
      <sheetName val="163"/>
      <sheetName val="162"/>
      <sheetName val="161"/>
      <sheetName val="160"/>
      <sheetName val="159"/>
      <sheetName val="158"/>
      <sheetName val="157"/>
      <sheetName val="156"/>
      <sheetName val="155"/>
      <sheetName val="154"/>
      <sheetName val="153"/>
      <sheetName val="152"/>
      <sheetName val="151"/>
      <sheetName val="150"/>
      <sheetName val="149"/>
      <sheetName val="148"/>
      <sheetName val="147"/>
      <sheetName val="146"/>
      <sheetName val="145"/>
      <sheetName val="144"/>
      <sheetName val="143"/>
      <sheetName val="142"/>
      <sheetName val="141"/>
      <sheetName val="140"/>
      <sheetName val="139"/>
      <sheetName val="138"/>
      <sheetName val="137"/>
      <sheetName val="136"/>
      <sheetName val="135"/>
      <sheetName val="134"/>
      <sheetName val="133"/>
      <sheetName val="132"/>
      <sheetName val="131"/>
      <sheetName val="130"/>
      <sheetName val="129"/>
      <sheetName val="128"/>
      <sheetName val="127"/>
      <sheetName val="126"/>
      <sheetName val="125"/>
      <sheetName val="124"/>
      <sheetName val="123"/>
      <sheetName val="122"/>
      <sheetName val="121"/>
      <sheetName val="120"/>
      <sheetName val="119"/>
      <sheetName val="Personalizar"/>
      <sheetName val="Macros"/>
      <sheetName val="ATW"/>
      <sheetName val="Lock"/>
      <sheetName val="TemplateInformation"/>
      <sheetName val="FLORESTA 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row r="23">
          <cell r="H23" t="str">
            <v>Tarjeta 1</v>
          </cell>
        </row>
        <row r="29">
          <cell r="E29" t="b">
            <v>0</v>
          </cell>
        </row>
      </sheetData>
      <sheetData sheetId="84" refreshError="1"/>
      <sheetData sheetId="85" refreshError="1"/>
      <sheetData sheetId="86" refreshError="1"/>
      <sheetData sheetId="87" refreshError="1"/>
      <sheetData sheetId="88"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4CFCF-2C03-4045-AB85-305C0AF95AE5}">
  <sheetPr>
    <pageSetUpPr fitToPage="1"/>
  </sheetPr>
  <dimension ref="A2:J1456"/>
  <sheetViews>
    <sheetView topLeftCell="A1025" workbookViewId="0">
      <selection activeCell="A1230" sqref="A1230:C1243"/>
    </sheetView>
  </sheetViews>
  <sheetFormatPr baseColWidth="10" defaultRowHeight="14.4" x14ac:dyDescent="0.3"/>
  <cols>
    <col min="1" max="1" width="21.77734375" customWidth="1"/>
    <col min="2" max="2" width="16.5546875" customWidth="1"/>
    <col min="3" max="3" width="36.5546875" customWidth="1"/>
    <col min="4" max="4" width="27.44140625" customWidth="1"/>
    <col min="5" max="5" width="22.44140625" customWidth="1"/>
    <col min="6" max="6" width="28.6640625" customWidth="1"/>
    <col min="7" max="7" width="23" customWidth="1"/>
  </cols>
  <sheetData>
    <row r="2" spans="1:6" ht="30" x14ac:dyDescent="0.4">
      <c r="A2" s="55"/>
      <c r="B2" s="271" t="s">
        <v>38</v>
      </c>
      <c r="C2" s="272"/>
      <c r="D2" s="54"/>
      <c r="E2" s="305" t="s">
        <v>180</v>
      </c>
      <c r="F2" s="306"/>
    </row>
    <row r="3" spans="1:6" ht="30" x14ac:dyDescent="0.4">
      <c r="A3" s="53"/>
      <c r="B3" s="273"/>
      <c r="C3" s="274"/>
      <c r="D3" s="52"/>
      <c r="E3" s="51" t="s">
        <v>36</v>
      </c>
      <c r="F3" s="89" t="s">
        <v>255</v>
      </c>
    </row>
    <row r="4" spans="1:6" ht="30" x14ac:dyDescent="0.4">
      <c r="A4" s="49"/>
      <c r="B4" s="275"/>
      <c r="C4" s="276"/>
      <c r="D4" s="48"/>
      <c r="E4" s="47" t="s">
        <v>34</v>
      </c>
      <c r="F4" s="88" t="s">
        <v>254</v>
      </c>
    </row>
    <row r="5" spans="1:6" ht="20.399999999999999" x14ac:dyDescent="0.35">
      <c r="A5" s="39" t="s">
        <v>5</v>
      </c>
      <c r="B5" s="43" t="s">
        <v>253</v>
      </c>
      <c r="C5" s="42"/>
      <c r="D5" s="42"/>
      <c r="E5" s="318" t="s">
        <v>252</v>
      </c>
      <c r="F5" s="319"/>
    </row>
    <row r="6" spans="1:6" ht="20.399999999999999" x14ac:dyDescent="0.35">
      <c r="A6" s="39" t="s">
        <v>30</v>
      </c>
      <c r="B6" s="43" t="s">
        <v>251</v>
      </c>
      <c r="C6" s="42"/>
      <c r="D6" s="42"/>
      <c r="E6" s="320"/>
      <c r="F6" s="321"/>
    </row>
    <row r="7" spans="1:6" ht="20.399999999999999" x14ac:dyDescent="0.35">
      <c r="A7" s="39"/>
      <c r="B7" s="38"/>
      <c r="C7" s="37"/>
      <c r="D7" s="37"/>
      <c r="E7" s="320"/>
      <c r="F7" s="321"/>
    </row>
    <row r="8" spans="1:6" ht="20.399999999999999" x14ac:dyDescent="0.35">
      <c r="A8" s="39" t="s">
        <v>28</v>
      </c>
      <c r="B8" s="38" t="s">
        <v>77</v>
      </c>
      <c r="C8" s="37"/>
      <c r="D8" s="37"/>
      <c r="E8" s="322"/>
      <c r="F8" s="323"/>
    </row>
    <row r="9" spans="1:6" ht="15" x14ac:dyDescent="0.3">
      <c r="A9" s="34" t="s">
        <v>26</v>
      </c>
      <c r="B9" s="34" t="s">
        <v>25</v>
      </c>
      <c r="C9" s="34" t="s">
        <v>24</v>
      </c>
      <c r="D9" s="34" t="s">
        <v>23</v>
      </c>
      <c r="E9" s="34" t="s">
        <v>22</v>
      </c>
      <c r="F9" s="34" t="s">
        <v>250</v>
      </c>
    </row>
    <row r="10" spans="1:6" ht="46.8" x14ac:dyDescent="0.3">
      <c r="A10" s="33">
        <v>43</v>
      </c>
      <c r="B10" s="32" t="s">
        <v>10</v>
      </c>
      <c r="C10" s="32" t="s">
        <v>249</v>
      </c>
      <c r="D10" s="96">
        <v>431.5</v>
      </c>
      <c r="E10" s="96">
        <f>+A10*D10</f>
        <v>18554.5</v>
      </c>
      <c r="F10" s="22"/>
    </row>
    <row r="11" spans="1:6" ht="15.6" x14ac:dyDescent="0.3">
      <c r="A11" s="29"/>
      <c r="B11" s="25"/>
      <c r="C11" s="25"/>
      <c r="D11" s="72"/>
      <c r="E11" s="93"/>
      <c r="F11" s="22"/>
    </row>
    <row r="12" spans="1:6" ht="15.6" x14ac:dyDescent="0.3">
      <c r="A12" s="29"/>
      <c r="B12" s="25"/>
      <c r="C12" s="25" t="s">
        <v>248</v>
      </c>
      <c r="D12" s="72"/>
      <c r="E12" s="93"/>
      <c r="F12" s="22"/>
    </row>
    <row r="13" spans="1:6" ht="15.6" x14ac:dyDescent="0.3">
      <c r="A13" s="29">
        <v>10</v>
      </c>
      <c r="B13" s="27" t="s">
        <v>10</v>
      </c>
      <c r="C13" s="27" t="s">
        <v>247</v>
      </c>
      <c r="D13" s="99"/>
      <c r="E13" s="93"/>
      <c r="F13" s="22"/>
    </row>
    <row r="14" spans="1:6" ht="15.6" x14ac:dyDescent="0.3">
      <c r="A14" s="29">
        <v>11</v>
      </c>
      <c r="B14" s="27" t="s">
        <v>10</v>
      </c>
      <c r="C14" s="28">
        <v>46037</v>
      </c>
      <c r="D14" s="99"/>
      <c r="E14" s="93"/>
      <c r="F14" s="22"/>
    </row>
    <row r="15" spans="1:6" ht="15.6" x14ac:dyDescent="0.3">
      <c r="A15" s="29">
        <v>10</v>
      </c>
      <c r="B15" s="27" t="s">
        <v>10</v>
      </c>
      <c r="C15" s="28">
        <v>46051</v>
      </c>
      <c r="D15" s="99"/>
      <c r="E15" s="93"/>
      <c r="F15" s="22"/>
    </row>
    <row r="16" spans="1:6" ht="15.6" x14ac:dyDescent="0.3">
      <c r="A16" s="29">
        <v>12</v>
      </c>
      <c r="B16" s="27" t="s">
        <v>10</v>
      </c>
      <c r="C16" s="28">
        <v>46065</v>
      </c>
      <c r="D16" s="27"/>
      <c r="E16" s="102"/>
      <c r="F16" s="22"/>
    </row>
    <row r="17" spans="1:6" ht="15.6" x14ac:dyDescent="0.3">
      <c r="A17" s="26"/>
      <c r="B17" s="27"/>
      <c r="C17" s="27"/>
      <c r="D17" s="99"/>
      <c r="E17" s="93"/>
      <c r="F17" s="22"/>
    </row>
    <row r="18" spans="1:6" ht="15.6" x14ac:dyDescent="0.3">
      <c r="A18" s="26"/>
      <c r="B18" s="27"/>
      <c r="C18" s="27"/>
      <c r="D18" s="99"/>
      <c r="E18" s="93"/>
      <c r="F18" s="22"/>
    </row>
    <row r="19" spans="1:6" ht="15.6" x14ac:dyDescent="0.3">
      <c r="A19" s="26"/>
      <c r="B19" s="25"/>
      <c r="C19" s="25"/>
      <c r="D19" s="72"/>
      <c r="E19" s="93"/>
      <c r="F19" s="22"/>
    </row>
    <row r="20" spans="1:6" ht="15.6" x14ac:dyDescent="0.3">
      <c r="A20" s="26"/>
      <c r="B20" s="25"/>
      <c r="C20" s="25"/>
      <c r="D20" s="72"/>
      <c r="E20" s="93"/>
      <c r="F20" s="22"/>
    </row>
    <row r="21" spans="1:6" ht="15.6" x14ac:dyDescent="0.3">
      <c r="A21" s="26"/>
      <c r="B21" s="25"/>
      <c r="C21" s="25"/>
      <c r="D21" s="72"/>
      <c r="E21" s="93"/>
      <c r="F21" s="22"/>
    </row>
    <row r="22" spans="1:6" ht="15.6" x14ac:dyDescent="0.3">
      <c r="A22" s="26"/>
      <c r="B22" s="25"/>
      <c r="C22" s="25"/>
      <c r="D22" s="72"/>
      <c r="E22" s="93"/>
      <c r="F22" s="22"/>
    </row>
    <row r="23" spans="1:6" ht="15.6" x14ac:dyDescent="0.3">
      <c r="A23" s="26"/>
      <c r="B23" s="25"/>
      <c r="C23" s="25"/>
      <c r="D23" s="72"/>
      <c r="E23" s="93"/>
      <c r="F23" s="22"/>
    </row>
    <row r="24" spans="1:6" ht="15.6" x14ac:dyDescent="0.3">
      <c r="A24" s="21"/>
      <c r="B24" s="20"/>
      <c r="C24" s="20"/>
      <c r="D24" s="69"/>
      <c r="E24" s="91"/>
      <c r="F24" s="18"/>
    </row>
    <row r="25" spans="1:6" ht="17.399999999999999" x14ac:dyDescent="0.3">
      <c r="A25" s="17"/>
      <c r="B25" s="16"/>
      <c r="C25" s="294" t="s">
        <v>8</v>
      </c>
      <c r="D25" s="294"/>
      <c r="E25" s="15">
        <f>+E10</f>
        <v>18554.5</v>
      </c>
      <c r="F25" s="66"/>
    </row>
    <row r="26" spans="1:6" ht="17.399999999999999" x14ac:dyDescent="0.3">
      <c r="A26" s="11"/>
      <c r="B26" s="10"/>
      <c r="C26" s="294" t="s">
        <v>7</v>
      </c>
      <c r="D26" s="294"/>
      <c r="E26" s="13">
        <f>+E25*0.16</f>
        <v>2968.7200000000003</v>
      </c>
      <c r="F26" s="62"/>
    </row>
    <row r="27" spans="1:6" ht="17.399999999999999" x14ac:dyDescent="0.3">
      <c r="A27" s="11"/>
      <c r="B27" s="10"/>
      <c r="C27" s="294" t="s">
        <v>6</v>
      </c>
      <c r="D27" s="294"/>
      <c r="E27" s="8">
        <f>+E25+E26</f>
        <v>21523.22</v>
      </c>
      <c r="F27" s="58"/>
    </row>
    <row r="28" spans="1:6" ht="15.6" x14ac:dyDescent="0.3">
      <c r="A28" s="6" t="s">
        <v>5</v>
      </c>
      <c r="B28" s="5"/>
      <c r="C28" s="5" t="s">
        <v>4</v>
      </c>
      <c r="D28" s="5"/>
      <c r="E28" s="5"/>
      <c r="F28" s="5" t="s">
        <v>3</v>
      </c>
    </row>
    <row r="29" spans="1:6" ht="15.6" x14ac:dyDescent="0.3">
      <c r="A29" s="3" t="s">
        <v>246</v>
      </c>
      <c r="B29" s="2"/>
      <c r="C29" s="2" t="s">
        <v>39</v>
      </c>
      <c r="D29" s="2"/>
      <c r="E29" s="2"/>
      <c r="F29" s="2" t="s">
        <v>245</v>
      </c>
    </row>
    <row r="32" spans="1:6" ht="30" x14ac:dyDescent="0.4">
      <c r="A32" s="55"/>
      <c r="B32" s="271" t="s">
        <v>38</v>
      </c>
      <c r="C32" s="272"/>
      <c r="D32" s="54"/>
      <c r="E32" s="305" t="s">
        <v>180</v>
      </c>
      <c r="F32" s="306"/>
    </row>
    <row r="33" spans="1:6" ht="30" x14ac:dyDescent="0.4">
      <c r="A33" s="53"/>
      <c r="B33" s="273"/>
      <c r="C33" s="274"/>
      <c r="D33" s="52"/>
      <c r="E33" s="51" t="s">
        <v>36</v>
      </c>
      <c r="F33" s="89" t="s">
        <v>255</v>
      </c>
    </row>
    <row r="34" spans="1:6" ht="30" x14ac:dyDescent="0.4">
      <c r="A34" s="49"/>
      <c r="B34" s="275"/>
      <c r="C34" s="276"/>
      <c r="D34" s="48"/>
      <c r="E34" s="47" t="s">
        <v>34</v>
      </c>
      <c r="F34" s="88" t="s">
        <v>254</v>
      </c>
    </row>
    <row r="35" spans="1:6" ht="20.399999999999999" x14ac:dyDescent="0.35">
      <c r="A35" s="39" t="s">
        <v>5</v>
      </c>
      <c r="B35" s="43" t="s">
        <v>253</v>
      </c>
      <c r="C35" s="42"/>
      <c r="D35" s="42"/>
      <c r="E35" s="318" t="s">
        <v>252</v>
      </c>
      <c r="F35" s="319"/>
    </row>
    <row r="36" spans="1:6" ht="20.399999999999999" x14ac:dyDescent="0.35">
      <c r="A36" s="39" t="s">
        <v>30</v>
      </c>
      <c r="B36" s="43" t="s">
        <v>251</v>
      </c>
      <c r="C36" s="42"/>
      <c r="D36" s="42"/>
      <c r="E36" s="320"/>
      <c r="F36" s="321"/>
    </row>
    <row r="37" spans="1:6" ht="20.399999999999999" x14ac:dyDescent="0.35">
      <c r="A37" s="39"/>
      <c r="B37" s="38"/>
      <c r="C37" s="37"/>
      <c r="D37" s="37"/>
      <c r="E37" s="320"/>
      <c r="F37" s="321"/>
    </row>
    <row r="38" spans="1:6" ht="20.399999999999999" x14ac:dyDescent="0.35">
      <c r="A38" s="39" t="s">
        <v>28</v>
      </c>
      <c r="B38" s="38" t="s">
        <v>77</v>
      </c>
      <c r="C38" s="37"/>
      <c r="D38" s="37"/>
      <c r="E38" s="322"/>
      <c r="F38" s="323"/>
    </row>
    <row r="39" spans="1:6" ht="15" x14ac:dyDescent="0.3">
      <c r="A39" s="34" t="s">
        <v>26</v>
      </c>
      <c r="B39" s="34" t="s">
        <v>25</v>
      </c>
      <c r="C39" s="34" t="s">
        <v>24</v>
      </c>
      <c r="D39" s="34" t="s">
        <v>23</v>
      </c>
      <c r="E39" s="34" t="s">
        <v>22</v>
      </c>
      <c r="F39" s="34" t="s">
        <v>250</v>
      </c>
    </row>
    <row r="40" spans="1:6" ht="46.8" x14ac:dyDescent="0.3">
      <c r="A40" s="33">
        <v>43</v>
      </c>
      <c r="B40" s="32" t="s">
        <v>10</v>
      </c>
      <c r="C40" s="32" t="s">
        <v>249</v>
      </c>
      <c r="D40" s="96">
        <v>431.5</v>
      </c>
      <c r="E40" s="96">
        <f>+A40*D40</f>
        <v>18554.5</v>
      </c>
      <c r="F40" s="22"/>
    </row>
    <row r="41" spans="1:6" ht="15.6" x14ac:dyDescent="0.3">
      <c r="A41" s="29"/>
      <c r="B41" s="25"/>
      <c r="C41" s="25"/>
      <c r="D41" s="72"/>
      <c r="E41" s="93"/>
      <c r="F41" s="22"/>
    </row>
    <row r="42" spans="1:6" ht="15.6" x14ac:dyDescent="0.3">
      <c r="A42" s="29"/>
      <c r="B42" s="25"/>
      <c r="C42" s="25" t="s">
        <v>248</v>
      </c>
      <c r="D42" s="72"/>
      <c r="E42" s="93"/>
      <c r="F42" s="22"/>
    </row>
    <row r="43" spans="1:6" ht="15.6" x14ac:dyDescent="0.3">
      <c r="A43" s="29">
        <v>10</v>
      </c>
      <c r="B43" s="27" t="s">
        <v>10</v>
      </c>
      <c r="C43" s="27" t="s">
        <v>247</v>
      </c>
      <c r="D43" s="99"/>
      <c r="E43" s="93"/>
      <c r="F43" s="22"/>
    </row>
    <row r="44" spans="1:6" ht="15.6" x14ac:dyDescent="0.3">
      <c r="A44" s="29">
        <v>11</v>
      </c>
      <c r="B44" s="27" t="s">
        <v>10</v>
      </c>
      <c r="C44" s="28">
        <v>46037</v>
      </c>
      <c r="D44" s="99"/>
      <c r="E44" s="93"/>
      <c r="F44" s="22"/>
    </row>
    <row r="45" spans="1:6" ht="15.6" x14ac:dyDescent="0.3">
      <c r="A45" s="29">
        <v>10</v>
      </c>
      <c r="B45" s="27" t="s">
        <v>10</v>
      </c>
      <c r="C45" s="28">
        <v>46051</v>
      </c>
      <c r="D45" s="99"/>
      <c r="E45" s="93"/>
      <c r="F45" s="22"/>
    </row>
    <row r="46" spans="1:6" ht="15.6" x14ac:dyDescent="0.3">
      <c r="A46" s="29">
        <v>12</v>
      </c>
      <c r="B46" s="27" t="s">
        <v>10</v>
      </c>
      <c r="C46" s="28">
        <v>46065</v>
      </c>
      <c r="D46" s="27"/>
      <c r="E46" s="102"/>
      <c r="F46" s="22"/>
    </row>
    <row r="47" spans="1:6" ht="15.6" x14ac:dyDescent="0.3">
      <c r="A47" s="26"/>
      <c r="B47" s="27"/>
      <c r="C47" s="27"/>
      <c r="D47" s="99"/>
      <c r="E47" s="93"/>
      <c r="F47" s="22"/>
    </row>
    <row r="48" spans="1:6" ht="15.6" x14ac:dyDescent="0.3">
      <c r="A48" s="26"/>
      <c r="B48" s="27"/>
      <c r="C48" s="27"/>
      <c r="D48" s="99"/>
      <c r="E48" s="93"/>
      <c r="F48" s="22"/>
    </row>
    <row r="49" spans="1:6" ht="15.6" x14ac:dyDescent="0.3">
      <c r="A49" s="26"/>
      <c r="B49" s="25"/>
      <c r="C49" s="25"/>
      <c r="D49" s="72"/>
      <c r="E49" s="93"/>
      <c r="F49" s="22"/>
    </row>
    <row r="50" spans="1:6" ht="15.6" x14ac:dyDescent="0.3">
      <c r="A50" s="26"/>
      <c r="B50" s="25"/>
      <c r="C50" s="25"/>
      <c r="D50" s="72"/>
      <c r="E50" s="93"/>
      <c r="F50" s="22"/>
    </row>
    <row r="51" spans="1:6" ht="15.6" x14ac:dyDescent="0.3">
      <c r="A51" s="26"/>
      <c r="B51" s="25"/>
      <c r="C51" s="25"/>
      <c r="D51" s="72"/>
      <c r="E51" s="93"/>
      <c r="F51" s="22"/>
    </row>
    <row r="52" spans="1:6" ht="15.6" x14ac:dyDescent="0.3">
      <c r="A52" s="26"/>
      <c r="B52" s="25"/>
      <c r="C52" s="25"/>
      <c r="D52" s="72"/>
      <c r="E52" s="93"/>
      <c r="F52" s="22"/>
    </row>
    <row r="53" spans="1:6" ht="15.6" x14ac:dyDescent="0.3">
      <c r="A53" s="26"/>
      <c r="B53" s="25"/>
      <c r="C53" s="25"/>
      <c r="D53" s="72"/>
      <c r="E53" s="93"/>
      <c r="F53" s="22"/>
    </row>
    <row r="54" spans="1:6" ht="15.6" x14ac:dyDescent="0.3">
      <c r="A54" s="21"/>
      <c r="B54" s="20"/>
      <c r="C54" s="20"/>
      <c r="D54" s="69"/>
      <c r="E54" s="91"/>
      <c r="F54" s="18"/>
    </row>
    <row r="55" spans="1:6" ht="17.399999999999999" x14ac:dyDescent="0.3">
      <c r="A55" s="17"/>
      <c r="B55" s="16"/>
      <c r="C55" s="294" t="s">
        <v>8</v>
      </c>
      <c r="D55" s="294"/>
      <c r="E55" s="15">
        <f>+E40</f>
        <v>18554.5</v>
      </c>
      <c r="F55" s="66"/>
    </row>
    <row r="56" spans="1:6" ht="17.399999999999999" x14ac:dyDescent="0.3">
      <c r="A56" s="11"/>
      <c r="B56" s="10"/>
      <c r="C56" s="294" t="s">
        <v>7</v>
      </c>
      <c r="D56" s="294"/>
      <c r="E56" s="13">
        <f>+E55*0.16</f>
        <v>2968.7200000000003</v>
      </c>
      <c r="F56" s="62"/>
    </row>
    <row r="57" spans="1:6" ht="17.399999999999999" x14ac:dyDescent="0.3">
      <c r="A57" s="11"/>
      <c r="B57" s="10"/>
      <c r="C57" s="294" t="s">
        <v>6</v>
      </c>
      <c r="D57" s="294"/>
      <c r="E57" s="8">
        <f>+E55+E56</f>
        <v>21523.22</v>
      </c>
      <c r="F57" s="58"/>
    </row>
    <row r="58" spans="1:6" ht="15.6" x14ac:dyDescent="0.3">
      <c r="A58" s="6" t="s">
        <v>5</v>
      </c>
      <c r="B58" s="5"/>
      <c r="C58" s="5" t="s">
        <v>4</v>
      </c>
      <c r="D58" s="5"/>
      <c r="E58" s="5"/>
      <c r="F58" s="5" t="s">
        <v>3</v>
      </c>
    </row>
    <row r="59" spans="1:6" ht="15.6" x14ac:dyDescent="0.3">
      <c r="A59" s="3" t="s">
        <v>246</v>
      </c>
      <c r="B59" s="2"/>
      <c r="C59" s="2" t="s">
        <v>39</v>
      </c>
      <c r="D59" s="2"/>
      <c r="E59" s="2"/>
      <c r="F59" s="2" t="s">
        <v>245</v>
      </c>
    </row>
    <row r="62" spans="1:6" ht="30" x14ac:dyDescent="0.4">
      <c r="A62" s="55"/>
      <c r="B62" s="271" t="s">
        <v>38</v>
      </c>
      <c r="C62" s="272"/>
      <c r="D62" s="54"/>
      <c r="E62" s="305" t="s">
        <v>180</v>
      </c>
      <c r="F62" s="307"/>
    </row>
    <row r="63" spans="1:6" ht="30" x14ac:dyDescent="0.4">
      <c r="A63" s="53"/>
      <c r="B63" s="273"/>
      <c r="C63" s="274"/>
      <c r="D63" s="52"/>
      <c r="E63" s="51" t="s">
        <v>36</v>
      </c>
      <c r="F63" s="50" t="s">
        <v>200</v>
      </c>
    </row>
    <row r="64" spans="1:6" ht="30" x14ac:dyDescent="0.4">
      <c r="A64" s="49"/>
      <c r="B64" s="275"/>
      <c r="C64" s="276"/>
      <c r="D64" s="48"/>
      <c r="E64" s="47" t="s">
        <v>34</v>
      </c>
      <c r="F64" s="46" t="s">
        <v>244</v>
      </c>
    </row>
    <row r="65" spans="1:6" ht="20.399999999999999" customHeight="1" x14ac:dyDescent="0.35">
      <c r="A65" s="39" t="s">
        <v>5</v>
      </c>
      <c r="B65" s="43" t="s">
        <v>47</v>
      </c>
      <c r="C65" s="42"/>
      <c r="D65" s="42"/>
      <c r="E65" s="98"/>
      <c r="F65" s="97"/>
    </row>
    <row r="66" spans="1:6" ht="20.399999999999999" x14ac:dyDescent="0.35">
      <c r="A66" s="39" t="s">
        <v>30</v>
      </c>
      <c r="B66" s="43" t="s">
        <v>239</v>
      </c>
      <c r="C66" s="42"/>
      <c r="D66" s="42"/>
      <c r="E66" s="41"/>
      <c r="F66" s="40"/>
    </row>
    <row r="67" spans="1:6" ht="20.399999999999999" x14ac:dyDescent="0.35">
      <c r="A67" s="39"/>
      <c r="B67" s="38"/>
      <c r="C67" s="37"/>
      <c r="D67" s="37"/>
      <c r="E67" s="41"/>
      <c r="F67" s="40"/>
    </row>
    <row r="68" spans="1:6" ht="20.399999999999999" x14ac:dyDescent="0.35">
      <c r="A68" s="39" t="s">
        <v>28</v>
      </c>
      <c r="B68" s="38" t="s">
        <v>238</v>
      </c>
      <c r="C68" s="37"/>
      <c r="D68" s="37"/>
      <c r="E68" s="36"/>
      <c r="F68" s="35"/>
    </row>
    <row r="69" spans="1:6" ht="15" x14ac:dyDescent="0.3">
      <c r="A69" s="34" t="s">
        <v>26</v>
      </c>
      <c r="B69" s="34" t="s">
        <v>25</v>
      </c>
      <c r="C69" s="34" t="s">
        <v>24</v>
      </c>
      <c r="D69" s="34" t="s">
        <v>23</v>
      </c>
      <c r="E69" s="34" t="s">
        <v>22</v>
      </c>
      <c r="F69" s="34" t="s">
        <v>21</v>
      </c>
    </row>
    <row r="70" spans="1:6" ht="46.8" x14ac:dyDescent="0.3">
      <c r="A70" s="33">
        <v>50</v>
      </c>
      <c r="B70" s="32" t="s">
        <v>235</v>
      </c>
      <c r="C70" s="32" t="s">
        <v>243</v>
      </c>
      <c r="D70" s="96">
        <v>57.78</v>
      </c>
      <c r="E70" s="96">
        <f>+A70*D70</f>
        <v>2889</v>
      </c>
      <c r="F70" s="22"/>
    </row>
    <row r="71" spans="1:6" ht="15.6" x14ac:dyDescent="0.3">
      <c r="A71" s="29"/>
      <c r="B71" s="25"/>
      <c r="C71" s="25"/>
      <c r="D71" s="72"/>
      <c r="E71" s="93"/>
      <c r="F71" s="22"/>
    </row>
    <row r="72" spans="1:6" ht="15.6" x14ac:dyDescent="0.3">
      <c r="A72" s="29"/>
      <c r="B72" s="25"/>
      <c r="C72" s="25"/>
      <c r="D72" s="72"/>
      <c r="E72" s="93"/>
      <c r="F72" s="22"/>
    </row>
    <row r="73" spans="1:6" ht="15.6" x14ac:dyDescent="0.3">
      <c r="A73" s="29"/>
      <c r="B73" s="27"/>
      <c r="C73" s="27"/>
      <c r="D73" s="99"/>
      <c r="E73" s="93"/>
      <c r="F73" s="22"/>
    </row>
    <row r="74" spans="1:6" ht="15.6" x14ac:dyDescent="0.3">
      <c r="A74" s="29"/>
      <c r="B74" s="27"/>
      <c r="C74" s="28"/>
      <c r="D74" s="99"/>
      <c r="E74" s="93"/>
      <c r="F74" s="22"/>
    </row>
    <row r="75" spans="1:6" ht="15.6" x14ac:dyDescent="0.3">
      <c r="A75" s="29"/>
      <c r="B75" s="27"/>
      <c r="C75" s="28"/>
      <c r="D75" s="99"/>
      <c r="E75" s="93"/>
      <c r="F75" s="22"/>
    </row>
    <row r="76" spans="1:6" ht="15.6" x14ac:dyDescent="0.3">
      <c r="A76" s="29"/>
      <c r="B76" s="27"/>
      <c r="C76" s="28"/>
      <c r="D76" s="27"/>
      <c r="E76" s="102"/>
      <c r="F76" s="22"/>
    </row>
    <row r="77" spans="1:6" ht="15.6" x14ac:dyDescent="0.3">
      <c r="A77" s="26"/>
      <c r="B77" s="27"/>
      <c r="C77" s="27"/>
      <c r="D77" s="99"/>
      <c r="E77" s="93"/>
      <c r="F77" s="22"/>
    </row>
    <row r="78" spans="1:6" ht="15.6" x14ac:dyDescent="0.3">
      <c r="A78" s="26"/>
      <c r="B78" s="27"/>
      <c r="C78" s="27"/>
      <c r="D78" s="99"/>
      <c r="E78" s="93"/>
      <c r="F78" s="22"/>
    </row>
    <row r="79" spans="1:6" ht="15.6" x14ac:dyDescent="0.3">
      <c r="A79" s="26"/>
      <c r="B79" s="25"/>
      <c r="C79" s="25"/>
      <c r="D79" s="72"/>
      <c r="E79" s="93"/>
      <c r="F79" s="22"/>
    </row>
    <row r="80" spans="1:6" ht="15.6" x14ac:dyDescent="0.3">
      <c r="A80" s="26"/>
      <c r="B80" s="25"/>
      <c r="C80" s="25"/>
      <c r="D80" s="72"/>
      <c r="E80" s="93"/>
      <c r="F80" s="22"/>
    </row>
    <row r="81" spans="1:6" ht="15.6" x14ac:dyDescent="0.3">
      <c r="A81" s="26"/>
      <c r="B81" s="25"/>
      <c r="C81" s="25"/>
      <c r="D81" s="72"/>
      <c r="E81" s="93"/>
      <c r="F81" s="22"/>
    </row>
    <row r="82" spans="1:6" ht="15.6" x14ac:dyDescent="0.3">
      <c r="A82" s="26"/>
      <c r="B82" s="25"/>
      <c r="C82" s="25"/>
      <c r="D82" s="72"/>
      <c r="E82" s="93"/>
      <c r="F82" s="22"/>
    </row>
    <row r="83" spans="1:6" ht="15.6" x14ac:dyDescent="0.3">
      <c r="A83" s="26"/>
      <c r="B83" s="25"/>
      <c r="C83" s="25"/>
      <c r="D83" s="72"/>
      <c r="E83" s="93"/>
      <c r="F83" s="22"/>
    </row>
    <row r="84" spans="1:6" ht="15.6" x14ac:dyDescent="0.3">
      <c r="A84" s="21"/>
      <c r="B84" s="20"/>
      <c r="C84" s="20"/>
      <c r="D84" s="69"/>
      <c r="E84" s="91"/>
      <c r="F84" s="18"/>
    </row>
    <row r="85" spans="1:6" ht="17.399999999999999" x14ac:dyDescent="0.3">
      <c r="A85" s="17"/>
      <c r="B85" s="16"/>
      <c r="C85" s="294" t="s">
        <v>8</v>
      </c>
      <c r="D85" s="294"/>
      <c r="E85" s="15">
        <f>+E70</f>
        <v>2889</v>
      </c>
      <c r="F85" s="14"/>
    </row>
    <row r="86" spans="1:6" ht="17.399999999999999" x14ac:dyDescent="0.3">
      <c r="A86" s="11"/>
      <c r="B86" s="10"/>
      <c r="C86" s="294" t="s">
        <v>7</v>
      </c>
      <c r="D86" s="294"/>
      <c r="E86" s="13">
        <f>+E85*0.16</f>
        <v>462.24</v>
      </c>
      <c r="F86" s="12"/>
    </row>
    <row r="87" spans="1:6" ht="17.399999999999999" x14ac:dyDescent="0.3">
      <c r="A87" s="11"/>
      <c r="B87" s="10"/>
      <c r="C87" s="294" t="s">
        <v>6</v>
      </c>
      <c r="D87" s="294"/>
      <c r="E87" s="8">
        <f>+E85+E86</f>
        <v>3351.24</v>
      </c>
      <c r="F87" s="7"/>
    </row>
    <row r="88" spans="1:6" ht="15.6" x14ac:dyDescent="0.3">
      <c r="A88" s="6" t="s">
        <v>5</v>
      </c>
      <c r="B88" s="5"/>
      <c r="C88" s="5" t="s">
        <v>4</v>
      </c>
      <c r="D88" s="5"/>
      <c r="E88" s="5"/>
      <c r="F88" s="4" t="s">
        <v>3</v>
      </c>
    </row>
    <row r="89" spans="1:6" ht="15.6" x14ac:dyDescent="0.3">
      <c r="A89" s="3" t="s">
        <v>2</v>
      </c>
      <c r="B89" s="2"/>
      <c r="C89" s="2" t="s">
        <v>1</v>
      </c>
      <c r="D89" s="2"/>
      <c r="E89" s="2"/>
      <c r="F89" s="1" t="s">
        <v>70</v>
      </c>
    </row>
    <row r="93" spans="1:6" ht="30" x14ac:dyDescent="0.4">
      <c r="A93" s="55"/>
      <c r="B93" s="271" t="s">
        <v>38</v>
      </c>
      <c r="C93" s="272"/>
      <c r="D93" s="54"/>
      <c r="E93" s="305" t="s">
        <v>37</v>
      </c>
      <c r="F93" s="307"/>
    </row>
    <row r="94" spans="1:6" ht="30" x14ac:dyDescent="0.4">
      <c r="A94" s="53"/>
      <c r="B94" s="273"/>
      <c r="C94" s="274"/>
      <c r="D94" s="52"/>
      <c r="E94" s="51" t="s">
        <v>36</v>
      </c>
      <c r="F94" s="50" t="s">
        <v>200</v>
      </c>
    </row>
    <row r="95" spans="1:6" ht="30" x14ac:dyDescent="0.4">
      <c r="A95" s="49"/>
      <c r="B95" s="275"/>
      <c r="C95" s="276"/>
      <c r="D95" s="48"/>
      <c r="E95" s="47" t="s">
        <v>34</v>
      </c>
      <c r="F95" s="46" t="s">
        <v>241</v>
      </c>
    </row>
    <row r="96" spans="1:6" ht="20.399999999999999" x14ac:dyDescent="0.35">
      <c r="A96" s="39" t="s">
        <v>32</v>
      </c>
      <c r="B96" s="43" t="s">
        <v>47</v>
      </c>
      <c r="C96" s="42"/>
      <c r="D96" s="42"/>
      <c r="E96" s="98"/>
      <c r="F96" s="97"/>
    </row>
    <row r="97" spans="1:6" ht="20.399999999999999" x14ac:dyDescent="0.35">
      <c r="A97" s="39" t="s">
        <v>30</v>
      </c>
      <c r="B97" s="43" t="s">
        <v>239</v>
      </c>
      <c r="C97" s="42"/>
      <c r="D97" s="42"/>
      <c r="E97" s="41"/>
      <c r="F97" s="40"/>
    </row>
    <row r="98" spans="1:6" ht="20.399999999999999" x14ac:dyDescent="0.35">
      <c r="A98" s="39"/>
      <c r="B98" s="38"/>
      <c r="C98" s="37"/>
      <c r="D98" s="37"/>
      <c r="E98" s="41"/>
      <c r="F98" s="40"/>
    </row>
    <row r="99" spans="1:6" ht="20.399999999999999" x14ac:dyDescent="0.35">
      <c r="A99" s="39" t="s">
        <v>28</v>
      </c>
      <c r="B99" s="38" t="s">
        <v>242</v>
      </c>
      <c r="C99" s="37"/>
      <c r="D99" s="37"/>
      <c r="E99" s="36"/>
      <c r="F99" s="35"/>
    </row>
    <row r="100" spans="1:6" ht="15" x14ac:dyDescent="0.3">
      <c r="A100" s="34" t="s">
        <v>26</v>
      </c>
      <c r="B100" s="34" t="s">
        <v>25</v>
      </c>
      <c r="C100" s="34" t="s">
        <v>24</v>
      </c>
      <c r="D100" s="34" t="s">
        <v>23</v>
      </c>
      <c r="E100" s="34" t="s">
        <v>22</v>
      </c>
      <c r="F100" s="34" t="s">
        <v>21</v>
      </c>
    </row>
    <row r="101" spans="1:6" ht="31.2" x14ac:dyDescent="0.3">
      <c r="A101" s="33">
        <v>20</v>
      </c>
      <c r="B101" s="32" t="s">
        <v>19</v>
      </c>
      <c r="C101" s="32" t="s">
        <v>152</v>
      </c>
      <c r="D101" s="96">
        <v>320.14</v>
      </c>
      <c r="E101" s="96">
        <f>+A101*D101</f>
        <v>6402.7999999999993</v>
      </c>
      <c r="F101" s="22"/>
    </row>
    <row r="102" spans="1:6" ht="15.6" x14ac:dyDescent="0.3">
      <c r="A102" s="29"/>
      <c r="B102" s="25"/>
      <c r="C102" s="25"/>
      <c r="D102" s="72"/>
      <c r="E102" s="93"/>
      <c r="F102" s="22"/>
    </row>
    <row r="103" spans="1:6" ht="15.6" x14ac:dyDescent="0.3">
      <c r="A103" s="29"/>
      <c r="B103" s="25"/>
      <c r="C103" s="25"/>
      <c r="D103" s="72"/>
      <c r="E103" s="93"/>
      <c r="F103" s="22"/>
    </row>
    <row r="104" spans="1:6" ht="15.6" x14ac:dyDescent="0.3">
      <c r="A104" s="29"/>
      <c r="B104" s="27"/>
      <c r="C104" s="27"/>
      <c r="D104" s="99"/>
      <c r="E104" s="93"/>
      <c r="F104" s="22"/>
    </row>
    <row r="105" spans="1:6" ht="15.6" x14ac:dyDescent="0.3">
      <c r="A105" s="29"/>
      <c r="B105" s="27"/>
      <c r="C105" s="28"/>
      <c r="D105" s="99"/>
      <c r="E105" s="93"/>
      <c r="F105" s="22"/>
    </row>
    <row r="106" spans="1:6" ht="15.6" x14ac:dyDescent="0.3">
      <c r="A106" s="29"/>
      <c r="B106" s="27"/>
      <c r="C106" s="28"/>
      <c r="D106" s="99"/>
      <c r="E106" s="93"/>
      <c r="F106" s="22"/>
    </row>
    <row r="107" spans="1:6" ht="15.6" x14ac:dyDescent="0.3">
      <c r="A107" s="29"/>
      <c r="B107" s="27"/>
      <c r="C107" s="28"/>
      <c r="D107" s="27"/>
      <c r="E107" s="102"/>
      <c r="F107" s="22"/>
    </row>
    <row r="108" spans="1:6" ht="15.6" x14ac:dyDescent="0.3">
      <c r="A108" s="26"/>
      <c r="B108" s="27"/>
      <c r="C108" s="27"/>
      <c r="D108" s="99"/>
      <c r="E108" s="93"/>
      <c r="F108" s="22"/>
    </row>
    <row r="109" spans="1:6" ht="15.6" x14ac:dyDescent="0.3">
      <c r="A109" s="26"/>
      <c r="B109" s="27"/>
      <c r="C109" s="27"/>
      <c r="D109" s="99"/>
      <c r="E109" s="93"/>
      <c r="F109" s="22"/>
    </row>
    <row r="110" spans="1:6" ht="15.6" x14ac:dyDescent="0.3">
      <c r="A110" s="26"/>
      <c r="B110" s="25"/>
      <c r="C110" s="25"/>
      <c r="D110" s="72"/>
      <c r="E110" s="93"/>
      <c r="F110" s="22"/>
    </row>
    <row r="111" spans="1:6" ht="15.6" x14ac:dyDescent="0.3">
      <c r="A111" s="26"/>
      <c r="B111" s="25"/>
      <c r="C111" s="25"/>
      <c r="D111" s="72"/>
      <c r="E111" s="93"/>
      <c r="F111" s="22"/>
    </row>
    <row r="112" spans="1:6" ht="15.6" x14ac:dyDescent="0.3">
      <c r="A112" s="26"/>
      <c r="B112" s="25"/>
      <c r="C112" s="25"/>
      <c r="D112" s="72"/>
      <c r="E112" s="93"/>
      <c r="F112" s="22"/>
    </row>
    <row r="113" spans="1:6" ht="15.6" x14ac:dyDescent="0.3">
      <c r="A113" s="26"/>
      <c r="B113" s="25"/>
      <c r="C113" s="25"/>
      <c r="D113" s="72"/>
      <c r="E113" s="93"/>
      <c r="F113" s="22"/>
    </row>
    <row r="114" spans="1:6" ht="15.6" x14ac:dyDescent="0.3">
      <c r="A114" s="26"/>
      <c r="B114" s="25"/>
      <c r="C114" s="25"/>
      <c r="D114" s="72"/>
      <c r="E114" s="93"/>
      <c r="F114" s="22"/>
    </row>
    <row r="115" spans="1:6" ht="15.6" x14ac:dyDescent="0.3">
      <c r="A115" s="21"/>
      <c r="B115" s="20"/>
      <c r="C115" s="20"/>
      <c r="D115" s="69"/>
      <c r="E115" s="91"/>
      <c r="F115" s="18"/>
    </row>
    <row r="116" spans="1:6" ht="17.399999999999999" x14ac:dyDescent="0.3">
      <c r="A116" s="17"/>
      <c r="B116" s="16"/>
      <c r="C116" s="294" t="s">
        <v>8</v>
      </c>
      <c r="D116" s="294"/>
      <c r="E116" s="15">
        <f>+E101</f>
        <v>6402.7999999999993</v>
      </c>
      <c r="F116" s="14"/>
    </row>
    <row r="117" spans="1:6" ht="17.399999999999999" x14ac:dyDescent="0.3">
      <c r="A117" s="11"/>
      <c r="B117" s="10"/>
      <c r="C117" s="294" t="s">
        <v>7</v>
      </c>
      <c r="D117" s="294"/>
      <c r="E117" s="13">
        <f>+E116*0.16</f>
        <v>1024.4479999999999</v>
      </c>
      <c r="F117" s="12"/>
    </row>
    <row r="118" spans="1:6" ht="17.399999999999999" x14ac:dyDescent="0.3">
      <c r="A118" s="11"/>
      <c r="B118" s="10"/>
      <c r="C118" s="294" t="s">
        <v>6</v>
      </c>
      <c r="D118" s="294"/>
      <c r="E118" s="8">
        <f>+E116+E117</f>
        <v>7427.2479999999996</v>
      </c>
      <c r="F118" s="7"/>
    </row>
    <row r="119" spans="1:6" ht="15.6" x14ac:dyDescent="0.3">
      <c r="A119" s="6" t="s">
        <v>5</v>
      </c>
      <c r="B119" s="5"/>
      <c r="C119" s="5" t="s">
        <v>4</v>
      </c>
      <c r="D119" s="5"/>
      <c r="E119" s="5"/>
      <c r="F119" s="4" t="s">
        <v>3</v>
      </c>
    </row>
    <row r="120" spans="1:6" ht="15.6" x14ac:dyDescent="0.3">
      <c r="A120" s="3" t="s">
        <v>2</v>
      </c>
      <c r="B120" s="2"/>
      <c r="C120" s="2" t="s">
        <v>1</v>
      </c>
      <c r="D120" s="2"/>
      <c r="E120" s="2"/>
      <c r="F120" s="1" t="s">
        <v>70</v>
      </c>
    </row>
    <row r="123" spans="1:6" ht="30" x14ac:dyDescent="0.4">
      <c r="A123" s="55"/>
      <c r="B123" s="271" t="s">
        <v>38</v>
      </c>
      <c r="C123" s="272"/>
      <c r="D123" s="54"/>
      <c r="E123" s="305" t="s">
        <v>37</v>
      </c>
      <c r="F123" s="307"/>
    </row>
    <row r="124" spans="1:6" ht="30" x14ac:dyDescent="0.4">
      <c r="A124" s="53"/>
      <c r="B124" s="273"/>
      <c r="C124" s="274"/>
      <c r="D124" s="52"/>
      <c r="E124" s="51" t="s">
        <v>36</v>
      </c>
      <c r="F124" s="50" t="s">
        <v>200</v>
      </c>
    </row>
    <row r="125" spans="1:6" ht="30" x14ac:dyDescent="0.4">
      <c r="A125" s="49"/>
      <c r="B125" s="275"/>
      <c r="C125" s="276"/>
      <c r="D125" s="48"/>
      <c r="E125" s="47" t="s">
        <v>34</v>
      </c>
      <c r="F125" s="46" t="s">
        <v>241</v>
      </c>
    </row>
    <row r="126" spans="1:6" ht="20.399999999999999" x14ac:dyDescent="0.35">
      <c r="A126" s="39" t="s">
        <v>32</v>
      </c>
      <c r="B126" s="43" t="s">
        <v>47</v>
      </c>
      <c r="C126" s="42"/>
      <c r="D126" s="42"/>
      <c r="E126" s="98"/>
      <c r="F126" s="97"/>
    </row>
    <row r="127" spans="1:6" ht="20.399999999999999" x14ac:dyDescent="0.35">
      <c r="A127" s="39" t="s">
        <v>30</v>
      </c>
      <c r="B127" s="43" t="s">
        <v>239</v>
      </c>
      <c r="C127" s="42"/>
      <c r="D127" s="42"/>
      <c r="E127" s="41"/>
      <c r="F127" s="40"/>
    </row>
    <row r="128" spans="1:6" ht="20.399999999999999" x14ac:dyDescent="0.35">
      <c r="A128" s="39"/>
      <c r="B128" s="38"/>
      <c r="C128" s="37"/>
      <c r="D128" s="37"/>
      <c r="E128" s="41"/>
      <c r="F128" s="40"/>
    </row>
    <row r="129" spans="1:6" ht="20.399999999999999" x14ac:dyDescent="0.35">
      <c r="A129" s="39" t="s">
        <v>28</v>
      </c>
      <c r="B129" s="38" t="s">
        <v>238</v>
      </c>
      <c r="C129" s="37"/>
      <c r="D129" s="37"/>
      <c r="E129" s="36"/>
      <c r="F129" s="35"/>
    </row>
    <row r="130" spans="1:6" ht="15" x14ac:dyDescent="0.3">
      <c r="A130" s="34" t="s">
        <v>26</v>
      </c>
      <c r="B130" s="34" t="s">
        <v>25</v>
      </c>
      <c r="C130" s="34" t="s">
        <v>24</v>
      </c>
      <c r="D130" s="34" t="s">
        <v>23</v>
      </c>
      <c r="E130" s="34" t="s">
        <v>22</v>
      </c>
      <c r="F130" s="34" t="s">
        <v>21</v>
      </c>
    </row>
    <row r="131" spans="1:6" ht="31.2" x14ac:dyDescent="0.3">
      <c r="A131" s="33">
        <v>20</v>
      </c>
      <c r="B131" s="32" t="s">
        <v>19</v>
      </c>
      <c r="C131" s="32" t="s">
        <v>152</v>
      </c>
      <c r="D131" s="96">
        <v>320.14</v>
      </c>
      <c r="E131" s="96">
        <f>+A131*D131</f>
        <v>6402.7999999999993</v>
      </c>
      <c r="F131" s="22"/>
    </row>
    <row r="132" spans="1:6" ht="15.6" x14ac:dyDescent="0.3">
      <c r="A132" s="29"/>
      <c r="B132" s="25"/>
      <c r="C132" s="25"/>
      <c r="D132" s="72"/>
      <c r="E132" s="93"/>
      <c r="F132" s="22"/>
    </row>
    <row r="133" spans="1:6" ht="15.6" x14ac:dyDescent="0.3">
      <c r="A133" s="29"/>
      <c r="B133" s="25"/>
      <c r="C133" s="25"/>
      <c r="D133" s="72"/>
      <c r="E133" s="93"/>
      <c r="F133" s="22"/>
    </row>
    <row r="134" spans="1:6" ht="15.6" x14ac:dyDescent="0.3">
      <c r="A134" s="29"/>
      <c r="B134" s="27"/>
      <c r="C134" s="27"/>
      <c r="D134" s="99"/>
      <c r="E134" s="93"/>
      <c r="F134" s="22"/>
    </row>
    <row r="135" spans="1:6" ht="15.6" x14ac:dyDescent="0.3">
      <c r="A135" s="29"/>
      <c r="B135" s="27"/>
      <c r="C135" s="28"/>
      <c r="D135" s="99"/>
      <c r="E135" s="93"/>
      <c r="F135" s="22"/>
    </row>
    <row r="136" spans="1:6" ht="15.6" x14ac:dyDescent="0.3">
      <c r="A136" s="29"/>
      <c r="B136" s="27"/>
      <c r="C136" s="28"/>
      <c r="D136" s="99"/>
      <c r="E136" s="93"/>
      <c r="F136" s="22"/>
    </row>
    <row r="137" spans="1:6" ht="15.6" x14ac:dyDescent="0.3">
      <c r="A137" s="29"/>
      <c r="B137" s="27"/>
      <c r="C137" s="28"/>
      <c r="D137" s="27"/>
      <c r="E137" s="102"/>
      <c r="F137" s="22"/>
    </row>
    <row r="138" spans="1:6" ht="15.6" x14ac:dyDescent="0.3">
      <c r="A138" s="26"/>
      <c r="B138" s="27"/>
      <c r="C138" s="27"/>
      <c r="D138" s="99"/>
      <c r="E138" s="93"/>
      <c r="F138" s="22"/>
    </row>
    <row r="139" spans="1:6" ht="15.6" x14ac:dyDescent="0.3">
      <c r="A139" s="26"/>
      <c r="B139" s="27"/>
      <c r="C139" s="27"/>
      <c r="D139" s="99"/>
      <c r="E139" s="93"/>
      <c r="F139" s="22"/>
    </row>
    <row r="140" spans="1:6" ht="15.6" x14ac:dyDescent="0.3">
      <c r="A140" s="26"/>
      <c r="B140" s="25"/>
      <c r="C140" s="25"/>
      <c r="D140" s="72"/>
      <c r="E140" s="93"/>
      <c r="F140" s="22"/>
    </row>
    <row r="141" spans="1:6" ht="15.6" x14ac:dyDescent="0.3">
      <c r="A141" s="26"/>
      <c r="B141" s="25"/>
      <c r="C141" s="25"/>
      <c r="D141" s="72"/>
      <c r="E141" s="93"/>
      <c r="F141" s="22"/>
    </row>
    <row r="142" spans="1:6" ht="15.6" x14ac:dyDescent="0.3">
      <c r="A142" s="26"/>
      <c r="B142" s="25"/>
      <c r="C142" s="25"/>
      <c r="D142" s="72"/>
      <c r="E142" s="93"/>
      <c r="F142" s="22"/>
    </row>
    <row r="143" spans="1:6" ht="15.6" x14ac:dyDescent="0.3">
      <c r="A143" s="26"/>
      <c r="B143" s="25"/>
      <c r="C143" s="25"/>
      <c r="D143" s="72"/>
      <c r="E143" s="93"/>
      <c r="F143" s="22"/>
    </row>
    <row r="144" spans="1:6" ht="15.6" x14ac:dyDescent="0.3">
      <c r="A144" s="26"/>
      <c r="B144" s="25"/>
      <c r="C144" s="25"/>
      <c r="D144" s="72"/>
      <c r="E144" s="93"/>
      <c r="F144" s="22"/>
    </row>
    <row r="145" spans="1:6" ht="15.6" x14ac:dyDescent="0.3">
      <c r="A145" s="21"/>
      <c r="B145" s="20"/>
      <c r="C145" s="20"/>
      <c r="D145" s="69"/>
      <c r="E145" s="91"/>
      <c r="F145" s="18"/>
    </row>
    <row r="146" spans="1:6" ht="17.399999999999999" x14ac:dyDescent="0.3">
      <c r="A146" s="17"/>
      <c r="B146" s="16"/>
      <c r="C146" s="294" t="s">
        <v>8</v>
      </c>
      <c r="D146" s="294"/>
      <c r="E146" s="15">
        <f>+E131</f>
        <v>6402.7999999999993</v>
      </c>
      <c r="F146" s="14"/>
    </row>
    <row r="147" spans="1:6" ht="17.399999999999999" x14ac:dyDescent="0.3">
      <c r="A147" s="11"/>
      <c r="B147" s="10"/>
      <c r="C147" s="294" t="s">
        <v>7</v>
      </c>
      <c r="D147" s="294"/>
      <c r="E147" s="13">
        <f>+E146*0.16</f>
        <v>1024.4479999999999</v>
      </c>
      <c r="F147" s="12"/>
    </row>
    <row r="148" spans="1:6" ht="17.399999999999999" x14ac:dyDescent="0.3">
      <c r="A148" s="11"/>
      <c r="B148" s="10"/>
      <c r="C148" s="294" t="s">
        <v>6</v>
      </c>
      <c r="D148" s="294"/>
      <c r="E148" s="8">
        <f>+E146+E147</f>
        <v>7427.2479999999996</v>
      </c>
      <c r="F148" s="7"/>
    </row>
    <row r="149" spans="1:6" ht="15.6" x14ac:dyDescent="0.3">
      <c r="A149" s="6" t="s">
        <v>5</v>
      </c>
      <c r="B149" s="5"/>
      <c r="C149" s="5" t="s">
        <v>4</v>
      </c>
      <c r="D149" s="5"/>
      <c r="E149" s="5"/>
      <c r="F149" s="4" t="s">
        <v>3</v>
      </c>
    </row>
    <row r="150" spans="1:6" ht="15.6" x14ac:dyDescent="0.3">
      <c r="A150" s="3" t="s">
        <v>2</v>
      </c>
      <c r="B150" s="2"/>
      <c r="C150" s="2" t="s">
        <v>1</v>
      </c>
      <c r="D150" s="2"/>
      <c r="E150" s="2"/>
      <c r="F150" s="1" t="s">
        <v>70</v>
      </c>
    </row>
    <row r="153" spans="1:6" ht="30" x14ac:dyDescent="0.4">
      <c r="A153" s="55"/>
      <c r="B153" s="271" t="s">
        <v>38</v>
      </c>
      <c r="C153" s="272"/>
      <c r="D153" s="54"/>
      <c r="E153" s="305" t="s">
        <v>180</v>
      </c>
      <c r="F153" s="307"/>
    </row>
    <row r="154" spans="1:6" ht="30" x14ac:dyDescent="0.4">
      <c r="A154" s="53"/>
      <c r="B154" s="273"/>
      <c r="C154" s="274"/>
      <c r="D154" s="52"/>
      <c r="E154" s="51" t="s">
        <v>36</v>
      </c>
      <c r="F154" s="50" t="s">
        <v>200</v>
      </c>
    </row>
    <row r="155" spans="1:6" ht="30" x14ac:dyDescent="0.4">
      <c r="A155" s="49"/>
      <c r="B155" s="275"/>
      <c r="C155" s="276"/>
      <c r="D155" s="48"/>
      <c r="E155" s="47" t="s">
        <v>34</v>
      </c>
      <c r="F155" s="46" t="s">
        <v>240</v>
      </c>
    </row>
    <row r="156" spans="1:6" ht="20.399999999999999" x14ac:dyDescent="0.35">
      <c r="A156" s="39" t="s">
        <v>5</v>
      </c>
      <c r="B156" s="43" t="s">
        <v>47</v>
      </c>
      <c r="C156" s="42"/>
      <c r="D156" s="42"/>
      <c r="E156" s="98"/>
      <c r="F156" s="97"/>
    </row>
    <row r="157" spans="1:6" ht="20.399999999999999" x14ac:dyDescent="0.35">
      <c r="A157" s="39" t="s">
        <v>30</v>
      </c>
      <c r="B157" s="43" t="s">
        <v>239</v>
      </c>
      <c r="C157" s="42"/>
      <c r="D157" s="42"/>
      <c r="E157" s="41"/>
      <c r="F157" s="40"/>
    </row>
    <row r="158" spans="1:6" ht="20.399999999999999" x14ac:dyDescent="0.35">
      <c r="A158" s="39"/>
      <c r="B158" s="38"/>
      <c r="C158" s="37"/>
      <c r="D158" s="37"/>
      <c r="E158" s="41"/>
      <c r="F158" s="40"/>
    </row>
    <row r="159" spans="1:6" ht="20.399999999999999" x14ac:dyDescent="0.35">
      <c r="A159" s="39" t="s">
        <v>28</v>
      </c>
      <c r="B159" s="38" t="s">
        <v>238</v>
      </c>
      <c r="C159" s="37"/>
      <c r="D159" s="37"/>
      <c r="E159" s="36"/>
      <c r="F159" s="35"/>
    </row>
    <row r="160" spans="1:6" ht="15" x14ac:dyDescent="0.3">
      <c r="A160" s="34" t="s">
        <v>26</v>
      </c>
      <c r="B160" s="34" t="s">
        <v>25</v>
      </c>
      <c r="C160" s="34" t="s">
        <v>24</v>
      </c>
      <c r="D160" s="34" t="s">
        <v>23</v>
      </c>
      <c r="E160" s="34" t="s">
        <v>22</v>
      </c>
      <c r="F160" s="34" t="s">
        <v>21</v>
      </c>
    </row>
    <row r="161" spans="1:6" ht="15.6" x14ac:dyDescent="0.3">
      <c r="A161" s="33">
        <v>200</v>
      </c>
      <c r="B161" s="32" t="s">
        <v>235</v>
      </c>
      <c r="C161" s="32" t="s">
        <v>237</v>
      </c>
      <c r="D161" s="96">
        <v>80</v>
      </c>
      <c r="E161" s="96">
        <f>+A161*D161</f>
        <v>16000</v>
      </c>
      <c r="F161" s="22"/>
    </row>
    <row r="162" spans="1:6" ht="31.2" x14ac:dyDescent="0.3">
      <c r="A162" s="29">
        <v>10</v>
      </c>
      <c r="B162" s="25" t="s">
        <v>19</v>
      </c>
      <c r="C162" s="25" t="s">
        <v>236</v>
      </c>
      <c r="D162" s="73">
        <v>84.39</v>
      </c>
      <c r="E162" s="93">
        <f>+A162*D162</f>
        <v>843.9</v>
      </c>
      <c r="F162" s="22"/>
    </row>
    <row r="163" spans="1:6" ht="15.6" x14ac:dyDescent="0.3">
      <c r="A163" s="29">
        <v>5</v>
      </c>
      <c r="B163" s="25" t="s">
        <v>235</v>
      </c>
      <c r="C163" s="25" t="s">
        <v>234</v>
      </c>
      <c r="D163" s="73">
        <v>68.040000000000006</v>
      </c>
      <c r="E163" s="93">
        <f>+A163*D163</f>
        <v>340.20000000000005</v>
      </c>
      <c r="F163" s="22"/>
    </row>
    <row r="164" spans="1:6" ht="15.6" x14ac:dyDescent="0.3">
      <c r="A164" s="29"/>
      <c r="B164" s="27"/>
      <c r="C164" s="27"/>
      <c r="D164" s="73"/>
      <c r="E164" s="93">
        <f>+A164*D164</f>
        <v>0</v>
      </c>
      <c r="F164" s="22"/>
    </row>
    <row r="165" spans="1:6" ht="15.6" x14ac:dyDescent="0.3">
      <c r="A165" s="29"/>
      <c r="B165" s="27"/>
      <c r="C165" s="28"/>
      <c r="D165" s="99"/>
      <c r="E165" s="93"/>
      <c r="F165" s="22"/>
    </row>
    <row r="166" spans="1:6" ht="15.6" x14ac:dyDescent="0.3">
      <c r="A166" s="29"/>
      <c r="B166" s="27"/>
      <c r="C166" s="28"/>
      <c r="D166" s="99"/>
      <c r="E166" s="93"/>
      <c r="F166" s="22"/>
    </row>
    <row r="167" spans="1:6" ht="15.6" x14ac:dyDescent="0.3">
      <c r="A167" s="29"/>
      <c r="B167" s="27"/>
      <c r="C167" s="28"/>
      <c r="D167" s="27"/>
      <c r="E167" s="102"/>
      <c r="F167" s="22"/>
    </row>
    <row r="168" spans="1:6" ht="15.6" x14ac:dyDescent="0.3">
      <c r="A168" s="26"/>
      <c r="B168" s="27"/>
      <c r="C168" s="27"/>
      <c r="D168" s="99"/>
      <c r="E168" s="93"/>
      <c r="F168" s="22"/>
    </row>
    <row r="169" spans="1:6" ht="15.6" x14ac:dyDescent="0.3">
      <c r="A169" s="26"/>
      <c r="B169" s="27"/>
      <c r="C169" s="27"/>
      <c r="D169" s="99"/>
      <c r="E169" s="93"/>
      <c r="F169" s="22"/>
    </row>
    <row r="170" spans="1:6" ht="15.6" x14ac:dyDescent="0.3">
      <c r="A170" s="26"/>
      <c r="B170" s="25"/>
      <c r="C170" s="25"/>
      <c r="D170" s="72"/>
      <c r="E170" s="93"/>
      <c r="F170" s="22"/>
    </row>
    <row r="171" spans="1:6" ht="15.6" x14ac:dyDescent="0.3">
      <c r="A171" s="26"/>
      <c r="B171" s="25"/>
      <c r="C171" s="25"/>
      <c r="D171" s="72"/>
      <c r="E171" s="93"/>
      <c r="F171" s="22"/>
    </row>
    <row r="172" spans="1:6" ht="15.6" x14ac:dyDescent="0.3">
      <c r="A172" s="26"/>
      <c r="B172" s="25"/>
      <c r="C172" s="25"/>
      <c r="D172" s="72"/>
      <c r="E172" s="93"/>
      <c r="F172" s="22"/>
    </row>
    <row r="173" spans="1:6" ht="15.6" x14ac:dyDescent="0.3">
      <c r="A173" s="26"/>
      <c r="B173" s="25"/>
      <c r="C173" s="25"/>
      <c r="D173" s="72"/>
      <c r="E173" s="93"/>
      <c r="F173" s="22"/>
    </row>
    <row r="174" spans="1:6" ht="15.6" x14ac:dyDescent="0.3">
      <c r="A174" s="26"/>
      <c r="B174" s="25"/>
      <c r="C174" s="25"/>
      <c r="D174" s="72"/>
      <c r="E174" s="93"/>
      <c r="F174" s="22"/>
    </row>
    <row r="175" spans="1:6" ht="15.6" x14ac:dyDescent="0.3">
      <c r="A175" s="21"/>
      <c r="B175" s="20"/>
      <c r="C175" s="20"/>
      <c r="D175" s="69"/>
      <c r="E175" s="91"/>
      <c r="F175" s="18"/>
    </row>
    <row r="176" spans="1:6" ht="17.399999999999999" x14ac:dyDescent="0.3">
      <c r="A176" s="17"/>
      <c r="B176" s="16"/>
      <c r="C176" s="294" t="s">
        <v>8</v>
      </c>
      <c r="D176" s="294"/>
      <c r="E176" s="15">
        <f>SUM(E161:E173)</f>
        <v>17184.100000000002</v>
      </c>
      <c r="F176" s="14"/>
    </row>
    <row r="177" spans="1:6" ht="17.399999999999999" x14ac:dyDescent="0.3">
      <c r="A177" s="11"/>
      <c r="B177" s="10"/>
      <c r="C177" s="294" t="s">
        <v>7</v>
      </c>
      <c r="D177" s="294"/>
      <c r="E177" s="13">
        <f>+E176*0.16</f>
        <v>2749.4560000000006</v>
      </c>
      <c r="F177" s="12"/>
    </row>
    <row r="178" spans="1:6" ht="17.399999999999999" x14ac:dyDescent="0.3">
      <c r="A178" s="11"/>
      <c r="B178" s="10"/>
      <c r="C178" s="294" t="s">
        <v>6</v>
      </c>
      <c r="D178" s="294"/>
      <c r="E178" s="8">
        <f>+E176+E177</f>
        <v>19933.556000000004</v>
      </c>
      <c r="F178" s="7"/>
    </row>
    <row r="179" spans="1:6" ht="15.6" x14ac:dyDescent="0.3">
      <c r="A179" s="6" t="s">
        <v>5</v>
      </c>
      <c r="B179" s="5"/>
      <c r="C179" s="5" t="s">
        <v>4</v>
      </c>
      <c r="D179" s="5"/>
      <c r="E179" s="5"/>
      <c r="F179" s="4" t="s">
        <v>3</v>
      </c>
    </row>
    <row r="180" spans="1:6" ht="15.6" x14ac:dyDescent="0.3">
      <c r="A180" s="3" t="s">
        <v>2</v>
      </c>
      <c r="B180" s="2"/>
      <c r="C180" s="2" t="s">
        <v>1</v>
      </c>
      <c r="D180" s="2"/>
      <c r="E180" s="2"/>
      <c r="F180" s="1" t="s">
        <v>70</v>
      </c>
    </row>
    <row r="183" spans="1:6" ht="30" x14ac:dyDescent="0.4">
      <c r="A183" s="55"/>
      <c r="B183" s="271" t="s">
        <v>38</v>
      </c>
      <c r="C183" s="272"/>
      <c r="D183" s="54"/>
      <c r="E183" s="305" t="s">
        <v>37</v>
      </c>
      <c r="F183" s="307"/>
    </row>
    <row r="184" spans="1:6" ht="30" x14ac:dyDescent="0.4">
      <c r="A184" s="53"/>
      <c r="B184" s="273"/>
      <c r="C184" s="274"/>
      <c r="D184" s="52"/>
      <c r="E184" s="51" t="s">
        <v>36</v>
      </c>
      <c r="F184" s="50" t="s">
        <v>200</v>
      </c>
    </row>
    <row r="185" spans="1:6" ht="30" x14ac:dyDescent="0.4">
      <c r="A185" s="49"/>
      <c r="B185" s="275"/>
      <c r="C185" s="276"/>
      <c r="D185" s="48"/>
      <c r="E185" s="47" t="s">
        <v>34</v>
      </c>
      <c r="F185" s="46" t="s">
        <v>233</v>
      </c>
    </row>
    <row r="186" spans="1:6" ht="20.399999999999999" x14ac:dyDescent="0.35">
      <c r="A186" s="39" t="s">
        <v>5</v>
      </c>
      <c r="B186" s="43" t="s">
        <v>47</v>
      </c>
      <c r="C186" s="42"/>
      <c r="D186" s="42"/>
      <c r="E186" s="98"/>
      <c r="F186" s="97"/>
    </row>
    <row r="187" spans="1:6" ht="20.399999999999999" x14ac:dyDescent="0.35">
      <c r="A187" s="39" t="s">
        <v>30</v>
      </c>
      <c r="B187" s="43"/>
      <c r="C187" s="42"/>
      <c r="D187" s="42"/>
      <c r="E187" s="41"/>
      <c r="F187" s="40"/>
    </row>
    <row r="188" spans="1:6" ht="20.399999999999999" x14ac:dyDescent="0.35">
      <c r="A188" s="39" t="s">
        <v>73</v>
      </c>
      <c r="B188" s="38"/>
      <c r="C188" s="37"/>
      <c r="D188" s="37"/>
      <c r="E188" s="41"/>
      <c r="F188" s="40"/>
    </row>
    <row r="189" spans="1:6" ht="20.399999999999999" x14ac:dyDescent="0.35">
      <c r="A189" s="39" t="s">
        <v>28</v>
      </c>
      <c r="B189" s="38" t="s">
        <v>77</v>
      </c>
      <c r="C189" s="37"/>
      <c r="D189" s="37"/>
      <c r="E189" s="36"/>
      <c r="F189" s="35"/>
    </row>
    <row r="190" spans="1:6" ht="15" x14ac:dyDescent="0.3">
      <c r="A190" s="34" t="s">
        <v>26</v>
      </c>
      <c r="B190" s="34" t="s">
        <v>25</v>
      </c>
      <c r="C190" s="34" t="s">
        <v>24</v>
      </c>
      <c r="D190" s="34" t="s">
        <v>23</v>
      </c>
      <c r="E190" s="34" t="s">
        <v>22</v>
      </c>
      <c r="F190" s="34" t="s">
        <v>21</v>
      </c>
    </row>
    <row r="191" spans="1:6" ht="31.2" x14ac:dyDescent="0.3">
      <c r="A191" s="33">
        <v>9</v>
      </c>
      <c r="B191" s="32" t="s">
        <v>10</v>
      </c>
      <c r="C191" s="32" t="s">
        <v>232</v>
      </c>
      <c r="D191" s="96">
        <v>566.66</v>
      </c>
      <c r="E191" s="96">
        <f>+A191*D191</f>
        <v>5099.9399999999996</v>
      </c>
      <c r="F191" s="22" t="s">
        <v>231</v>
      </c>
    </row>
    <row r="192" spans="1:6" ht="15.6" x14ac:dyDescent="0.3">
      <c r="A192" s="29"/>
      <c r="B192" s="25"/>
      <c r="C192" s="25" t="s">
        <v>230</v>
      </c>
      <c r="D192" s="73"/>
      <c r="E192" s="93"/>
      <c r="F192" s="22"/>
    </row>
    <row r="193" spans="1:6" ht="31.2" x14ac:dyDescent="0.3">
      <c r="A193" s="29">
        <v>32</v>
      </c>
      <c r="B193" s="25" t="s">
        <v>10</v>
      </c>
      <c r="C193" s="25" t="s">
        <v>229</v>
      </c>
      <c r="D193" s="73">
        <v>85.93</v>
      </c>
      <c r="E193" s="93">
        <f>+A193*D193</f>
        <v>2749.76</v>
      </c>
      <c r="F193" s="22"/>
    </row>
    <row r="194" spans="1:6" ht="15.6" x14ac:dyDescent="0.3">
      <c r="A194" s="29"/>
      <c r="B194" s="27"/>
      <c r="C194" s="27"/>
      <c r="D194" s="99"/>
      <c r="E194" s="93"/>
      <c r="F194" s="22"/>
    </row>
    <row r="195" spans="1:6" ht="15.6" x14ac:dyDescent="0.3">
      <c r="A195" s="29"/>
      <c r="B195" s="27"/>
      <c r="C195" s="28"/>
      <c r="D195" s="99"/>
      <c r="E195" s="93"/>
      <c r="F195" s="22"/>
    </row>
    <row r="196" spans="1:6" ht="15.6" x14ac:dyDescent="0.3">
      <c r="A196" s="29"/>
      <c r="B196" s="27"/>
      <c r="C196" s="28"/>
      <c r="D196" s="99"/>
      <c r="E196" s="93"/>
      <c r="F196" s="22"/>
    </row>
    <row r="197" spans="1:6" ht="15.6" x14ac:dyDescent="0.3">
      <c r="A197" s="29"/>
      <c r="B197" s="27"/>
      <c r="C197" s="28"/>
      <c r="D197" s="27"/>
      <c r="E197" s="102"/>
      <c r="F197" s="22"/>
    </row>
    <row r="198" spans="1:6" ht="15.6" x14ac:dyDescent="0.3">
      <c r="A198" s="26"/>
      <c r="B198" s="27"/>
      <c r="C198" s="27"/>
      <c r="D198" s="99"/>
      <c r="E198" s="93"/>
      <c r="F198" s="22"/>
    </row>
    <row r="199" spans="1:6" ht="15.6" x14ac:dyDescent="0.3">
      <c r="A199" s="26"/>
      <c r="B199" s="27"/>
      <c r="C199" s="27"/>
      <c r="D199" s="99"/>
      <c r="E199" s="93"/>
      <c r="F199" s="22"/>
    </row>
    <row r="200" spans="1:6" ht="15.6" x14ac:dyDescent="0.3">
      <c r="A200" s="26"/>
      <c r="B200" s="25"/>
      <c r="C200" s="25"/>
      <c r="D200" s="72"/>
      <c r="E200" s="93"/>
      <c r="F200" s="22"/>
    </row>
    <row r="201" spans="1:6" ht="15.6" x14ac:dyDescent="0.3">
      <c r="A201" s="26"/>
      <c r="B201" s="25"/>
      <c r="C201" s="25"/>
      <c r="D201" s="72"/>
      <c r="E201" s="93"/>
      <c r="F201" s="22"/>
    </row>
    <row r="202" spans="1:6" ht="15.6" x14ac:dyDescent="0.3">
      <c r="A202" s="26"/>
      <c r="B202" s="25"/>
      <c r="C202" s="25"/>
      <c r="D202" s="72"/>
      <c r="E202" s="93"/>
      <c r="F202" s="22"/>
    </row>
    <row r="203" spans="1:6" ht="15.6" x14ac:dyDescent="0.3">
      <c r="A203" s="26"/>
      <c r="B203" s="25"/>
      <c r="C203" s="25"/>
      <c r="D203" s="72"/>
      <c r="E203" s="93"/>
      <c r="F203" s="22"/>
    </row>
    <row r="204" spans="1:6" ht="15.6" x14ac:dyDescent="0.3">
      <c r="A204" s="26"/>
      <c r="B204" s="25"/>
      <c r="C204" s="25"/>
      <c r="D204" s="72"/>
      <c r="E204" s="93"/>
      <c r="F204" s="22"/>
    </row>
    <row r="205" spans="1:6" ht="15.6" x14ac:dyDescent="0.3">
      <c r="A205" s="21"/>
      <c r="B205" s="20"/>
      <c r="C205" s="20"/>
      <c r="D205" s="69"/>
      <c r="E205" s="91"/>
      <c r="F205" s="18"/>
    </row>
    <row r="206" spans="1:6" ht="17.399999999999999" x14ac:dyDescent="0.3">
      <c r="A206" s="17"/>
      <c r="B206" s="16"/>
      <c r="C206" s="294" t="s">
        <v>8</v>
      </c>
      <c r="D206" s="294"/>
      <c r="E206" s="15">
        <f>SUM(E191:E203)</f>
        <v>7849.7</v>
      </c>
      <c r="F206" s="14"/>
    </row>
    <row r="207" spans="1:6" ht="17.399999999999999" x14ac:dyDescent="0.3">
      <c r="A207" s="11"/>
      <c r="B207" s="10"/>
      <c r="C207" s="294" t="s">
        <v>7</v>
      </c>
      <c r="D207" s="294"/>
      <c r="E207" s="13">
        <f>+E206*0.16</f>
        <v>1255.952</v>
      </c>
      <c r="F207" s="12"/>
    </row>
    <row r="208" spans="1:6" ht="17.399999999999999" x14ac:dyDescent="0.3">
      <c r="A208" s="11"/>
      <c r="B208" s="10"/>
      <c r="C208" s="294" t="s">
        <v>6</v>
      </c>
      <c r="D208" s="294"/>
      <c r="E208" s="8">
        <f>+E206+E207</f>
        <v>9105.652</v>
      </c>
      <c r="F208" s="7"/>
    </row>
    <row r="209" spans="1:6" ht="15.6" x14ac:dyDescent="0.3">
      <c r="A209" s="6" t="s">
        <v>5</v>
      </c>
      <c r="B209" s="5"/>
      <c r="C209" s="5" t="s">
        <v>4</v>
      </c>
      <c r="D209" s="5"/>
      <c r="E209" s="5"/>
      <c r="F209" s="4" t="s">
        <v>3</v>
      </c>
    </row>
    <row r="210" spans="1:6" ht="15.6" x14ac:dyDescent="0.3">
      <c r="A210" s="3" t="s">
        <v>2</v>
      </c>
      <c r="B210" s="2"/>
      <c r="C210" s="2" t="s">
        <v>1</v>
      </c>
      <c r="D210" s="2"/>
      <c r="E210" s="2"/>
      <c r="F210" s="1" t="s">
        <v>70</v>
      </c>
    </row>
    <row r="214" spans="1:6" ht="30" x14ac:dyDescent="0.4">
      <c r="A214" s="55"/>
      <c r="B214" s="271" t="s">
        <v>38</v>
      </c>
      <c r="C214" s="272"/>
      <c r="D214" s="54"/>
      <c r="E214" s="305" t="s">
        <v>37</v>
      </c>
      <c r="F214" s="307"/>
    </row>
    <row r="215" spans="1:6" ht="30" x14ac:dyDescent="0.4">
      <c r="A215" s="53"/>
      <c r="B215" s="273"/>
      <c r="C215" s="274"/>
      <c r="D215" s="52"/>
      <c r="E215" s="51" t="s">
        <v>36</v>
      </c>
      <c r="F215" s="50" t="s">
        <v>200</v>
      </c>
    </row>
    <row r="216" spans="1:6" ht="30" x14ac:dyDescent="0.4">
      <c r="A216" s="49"/>
      <c r="B216" s="275"/>
      <c r="C216" s="276"/>
      <c r="D216" s="48"/>
      <c r="E216" s="47" t="s">
        <v>34</v>
      </c>
      <c r="F216" s="46" t="s">
        <v>228</v>
      </c>
    </row>
    <row r="217" spans="1:6" ht="20.399999999999999" x14ac:dyDescent="0.35">
      <c r="A217" s="39" t="s">
        <v>5</v>
      </c>
      <c r="B217" s="43" t="s">
        <v>47</v>
      </c>
      <c r="C217" s="42"/>
      <c r="D217" s="42"/>
      <c r="E217" s="98"/>
      <c r="F217" s="97"/>
    </row>
    <row r="218" spans="1:6" ht="20.399999999999999" x14ac:dyDescent="0.35">
      <c r="A218" s="39" t="s">
        <v>30</v>
      </c>
      <c r="B218" s="43"/>
      <c r="C218" s="42"/>
      <c r="D218" s="42"/>
      <c r="E218" s="41"/>
      <c r="F218" s="40"/>
    </row>
    <row r="219" spans="1:6" ht="20.399999999999999" x14ac:dyDescent="0.35">
      <c r="A219" s="39" t="s">
        <v>73</v>
      </c>
      <c r="B219" s="38"/>
      <c r="C219" s="37"/>
      <c r="D219" s="37"/>
      <c r="E219" s="41"/>
      <c r="F219" s="40"/>
    </row>
    <row r="220" spans="1:6" ht="20.399999999999999" x14ac:dyDescent="0.35">
      <c r="A220" s="39" t="s">
        <v>28</v>
      </c>
      <c r="B220" s="38" t="s">
        <v>55</v>
      </c>
      <c r="C220" s="37"/>
      <c r="D220" s="37"/>
      <c r="E220" s="36"/>
      <c r="F220" s="35"/>
    </row>
    <row r="221" spans="1:6" ht="15" x14ac:dyDescent="0.3">
      <c r="A221" s="34" t="s">
        <v>26</v>
      </c>
      <c r="B221" s="34" t="s">
        <v>25</v>
      </c>
      <c r="C221" s="34" t="s">
        <v>24</v>
      </c>
      <c r="D221" s="34" t="s">
        <v>23</v>
      </c>
      <c r="E221" s="34" t="s">
        <v>22</v>
      </c>
      <c r="F221" s="34" t="s">
        <v>21</v>
      </c>
    </row>
    <row r="222" spans="1:6" ht="15.6" x14ac:dyDescent="0.3">
      <c r="A222" s="33">
        <v>80</v>
      </c>
      <c r="B222" s="32" t="s">
        <v>83</v>
      </c>
      <c r="C222" s="32" t="s">
        <v>227</v>
      </c>
      <c r="D222" s="96">
        <v>105</v>
      </c>
      <c r="E222" s="96">
        <f t="shared" ref="E222:E235" si="0">+A222*D222</f>
        <v>8400</v>
      </c>
      <c r="F222" s="22"/>
    </row>
    <row r="223" spans="1:6" ht="31.2" x14ac:dyDescent="0.3">
      <c r="A223" s="29">
        <v>25</v>
      </c>
      <c r="B223" s="25" t="s">
        <v>10</v>
      </c>
      <c r="C223" s="25" t="s">
        <v>226</v>
      </c>
      <c r="D223" s="73">
        <v>99.91</v>
      </c>
      <c r="E223" s="93">
        <f t="shared" si="0"/>
        <v>2497.75</v>
      </c>
      <c r="F223" s="22"/>
    </row>
    <row r="224" spans="1:6" ht="31.2" x14ac:dyDescent="0.3">
      <c r="A224" s="29">
        <v>10</v>
      </c>
      <c r="B224" s="25" t="s">
        <v>10</v>
      </c>
      <c r="C224" s="25" t="s">
        <v>225</v>
      </c>
      <c r="D224" s="73">
        <v>36.85</v>
      </c>
      <c r="E224" s="93">
        <f t="shared" si="0"/>
        <v>368.5</v>
      </c>
      <c r="F224" s="22"/>
    </row>
    <row r="225" spans="1:6" ht="31.2" x14ac:dyDescent="0.3">
      <c r="A225" s="29">
        <v>10</v>
      </c>
      <c r="B225" s="27" t="s">
        <v>10</v>
      </c>
      <c r="C225" s="27" t="s">
        <v>224</v>
      </c>
      <c r="D225" s="73">
        <v>46.19</v>
      </c>
      <c r="E225" s="93">
        <f t="shared" si="0"/>
        <v>461.9</v>
      </c>
      <c r="F225" s="22"/>
    </row>
    <row r="226" spans="1:6" ht="15.6" x14ac:dyDescent="0.3">
      <c r="A226" s="29"/>
      <c r="B226" s="27"/>
      <c r="C226" s="28"/>
      <c r="D226" s="99"/>
      <c r="E226" s="93">
        <f t="shared" si="0"/>
        <v>0</v>
      </c>
      <c r="F226" s="22"/>
    </row>
    <row r="227" spans="1:6" ht="15.6" x14ac:dyDescent="0.3">
      <c r="A227" s="29">
        <v>1</v>
      </c>
      <c r="B227" s="27" t="s">
        <v>223</v>
      </c>
      <c r="C227" s="28" t="s">
        <v>222</v>
      </c>
      <c r="D227" s="73">
        <v>1188.49</v>
      </c>
      <c r="E227" s="93">
        <f t="shared" si="0"/>
        <v>1188.49</v>
      </c>
      <c r="F227" s="22"/>
    </row>
    <row r="228" spans="1:6" ht="15.6" x14ac:dyDescent="0.3">
      <c r="A228" s="29"/>
      <c r="B228" s="27"/>
      <c r="C228" s="28"/>
      <c r="D228" s="27"/>
      <c r="E228" s="93">
        <f t="shared" si="0"/>
        <v>0</v>
      </c>
      <c r="F228" s="22"/>
    </row>
    <row r="229" spans="1:6" ht="15.6" x14ac:dyDescent="0.3">
      <c r="A229" s="26"/>
      <c r="B229" s="27"/>
      <c r="C229" s="27"/>
      <c r="D229" s="99"/>
      <c r="E229" s="93">
        <f t="shared" si="0"/>
        <v>0</v>
      </c>
      <c r="F229" s="22"/>
    </row>
    <row r="230" spans="1:6" ht="15.6" x14ac:dyDescent="0.3">
      <c r="A230" s="26"/>
      <c r="B230" s="27"/>
      <c r="C230" s="27"/>
      <c r="D230" s="99"/>
      <c r="E230" s="93">
        <f t="shared" si="0"/>
        <v>0</v>
      </c>
      <c r="F230" s="22"/>
    </row>
    <row r="231" spans="1:6" ht="15.6" x14ac:dyDescent="0.3">
      <c r="A231" s="26"/>
      <c r="B231" s="25"/>
      <c r="C231" s="25"/>
      <c r="D231" s="72"/>
      <c r="E231" s="93">
        <f t="shared" si="0"/>
        <v>0</v>
      </c>
      <c r="F231" s="22"/>
    </row>
    <row r="232" spans="1:6" ht="15.6" x14ac:dyDescent="0.3">
      <c r="A232" s="26"/>
      <c r="B232" s="25"/>
      <c r="C232" s="25"/>
      <c r="D232" s="72"/>
      <c r="E232" s="93">
        <f t="shared" si="0"/>
        <v>0</v>
      </c>
      <c r="F232" s="22"/>
    </row>
    <row r="233" spans="1:6" ht="15.6" x14ac:dyDescent="0.3">
      <c r="A233" s="26"/>
      <c r="B233" s="25"/>
      <c r="C233" s="25"/>
      <c r="D233" s="72"/>
      <c r="E233" s="93">
        <f t="shared" si="0"/>
        <v>0</v>
      </c>
      <c r="F233" s="22"/>
    </row>
    <row r="234" spans="1:6" ht="15.6" x14ac:dyDescent="0.3">
      <c r="A234" s="26"/>
      <c r="B234" s="25"/>
      <c r="C234" s="25"/>
      <c r="D234" s="72"/>
      <c r="E234" s="93">
        <f t="shared" si="0"/>
        <v>0</v>
      </c>
      <c r="F234" s="22"/>
    </row>
    <row r="235" spans="1:6" ht="15.6" x14ac:dyDescent="0.3">
      <c r="A235" s="26"/>
      <c r="B235" s="25"/>
      <c r="C235" s="25"/>
      <c r="D235" s="72"/>
      <c r="E235" s="93">
        <f t="shared" si="0"/>
        <v>0</v>
      </c>
      <c r="F235" s="22"/>
    </row>
    <row r="236" spans="1:6" ht="15.6" x14ac:dyDescent="0.3">
      <c r="A236" s="21"/>
      <c r="B236" s="20"/>
      <c r="C236" s="20"/>
      <c r="D236" s="69"/>
      <c r="E236" s="91"/>
      <c r="F236" s="18"/>
    </row>
    <row r="237" spans="1:6" ht="17.399999999999999" x14ac:dyDescent="0.3">
      <c r="A237" s="17"/>
      <c r="B237" s="16"/>
      <c r="C237" s="294" t="s">
        <v>8</v>
      </c>
      <c r="D237" s="294"/>
      <c r="E237" s="15">
        <f>SUM(E222:E234)</f>
        <v>12916.64</v>
      </c>
      <c r="F237" s="14"/>
    </row>
    <row r="238" spans="1:6" ht="17.399999999999999" x14ac:dyDescent="0.3">
      <c r="A238" s="11"/>
      <c r="B238" s="10"/>
      <c r="C238" s="294" t="s">
        <v>7</v>
      </c>
      <c r="D238" s="294"/>
      <c r="E238" s="13">
        <f>+E237*0.16</f>
        <v>2066.6624000000002</v>
      </c>
      <c r="F238" s="12"/>
    </row>
    <row r="239" spans="1:6" ht="17.399999999999999" x14ac:dyDescent="0.3">
      <c r="A239" s="11"/>
      <c r="B239" s="10"/>
      <c r="C239" s="294" t="s">
        <v>6</v>
      </c>
      <c r="D239" s="294"/>
      <c r="E239" s="8">
        <f>+E237+E238</f>
        <v>14983.3024</v>
      </c>
      <c r="F239" s="7"/>
    </row>
    <row r="240" spans="1:6" ht="15.6" x14ac:dyDescent="0.3">
      <c r="A240" s="6" t="s">
        <v>5</v>
      </c>
      <c r="B240" s="5"/>
      <c r="C240" s="5" t="s">
        <v>4</v>
      </c>
      <c r="D240" s="5"/>
      <c r="E240" s="5"/>
      <c r="F240" s="4" t="s">
        <v>3</v>
      </c>
    </row>
    <row r="241" spans="1:6" ht="15.6" x14ac:dyDescent="0.3">
      <c r="A241" s="3" t="s">
        <v>2</v>
      </c>
      <c r="B241" s="2"/>
      <c r="C241" s="2" t="s">
        <v>1</v>
      </c>
      <c r="D241" s="2"/>
      <c r="E241" s="2"/>
      <c r="F241" s="1" t="s">
        <v>70</v>
      </c>
    </row>
    <row r="245" spans="1:6" ht="30" x14ac:dyDescent="0.4">
      <c r="A245" s="55"/>
      <c r="B245" s="271" t="s">
        <v>38</v>
      </c>
      <c r="C245" s="272"/>
      <c r="D245" s="54"/>
      <c r="E245" s="305" t="s">
        <v>37</v>
      </c>
      <c r="F245" s="307"/>
    </row>
    <row r="246" spans="1:6" ht="30" x14ac:dyDescent="0.4">
      <c r="A246" s="53"/>
      <c r="B246" s="273"/>
      <c r="C246" s="274"/>
      <c r="D246" s="52"/>
      <c r="E246" s="51" t="s">
        <v>36</v>
      </c>
      <c r="F246" s="50" t="s">
        <v>200</v>
      </c>
    </row>
    <row r="247" spans="1:6" ht="30" x14ac:dyDescent="0.4">
      <c r="A247" s="49"/>
      <c r="B247" s="275"/>
      <c r="C247" s="276"/>
      <c r="D247" s="48"/>
      <c r="E247" s="47" t="s">
        <v>34</v>
      </c>
      <c r="F247" s="46" t="s">
        <v>221</v>
      </c>
    </row>
    <row r="248" spans="1:6" ht="20.399999999999999" x14ac:dyDescent="0.35">
      <c r="A248" s="39" t="s">
        <v>5</v>
      </c>
      <c r="B248" s="43" t="s">
        <v>47</v>
      </c>
      <c r="C248" s="42"/>
      <c r="D248" s="42"/>
      <c r="E248" s="98"/>
      <c r="F248" s="97"/>
    </row>
    <row r="249" spans="1:6" ht="20.399999999999999" x14ac:dyDescent="0.35">
      <c r="A249" s="39" t="s">
        <v>30</v>
      </c>
      <c r="B249" s="43"/>
      <c r="C249" s="42"/>
      <c r="D249" s="42"/>
      <c r="E249" s="41"/>
      <c r="F249" s="40"/>
    </row>
    <row r="250" spans="1:6" ht="20.399999999999999" x14ac:dyDescent="0.35">
      <c r="A250" s="39" t="s">
        <v>73</v>
      </c>
      <c r="B250" s="38"/>
      <c r="C250" s="37"/>
      <c r="D250" s="37"/>
      <c r="E250" s="41"/>
      <c r="F250" s="40"/>
    </row>
    <row r="251" spans="1:6" ht="20.399999999999999" x14ac:dyDescent="0.35">
      <c r="A251" s="39" t="s">
        <v>28</v>
      </c>
      <c r="B251" s="38" t="s">
        <v>198</v>
      </c>
      <c r="C251" s="37"/>
      <c r="D251" s="37"/>
      <c r="E251" s="36"/>
      <c r="F251" s="35"/>
    </row>
    <row r="252" spans="1:6" ht="15" x14ac:dyDescent="0.3">
      <c r="A252" s="34" t="s">
        <v>26</v>
      </c>
      <c r="B252" s="34" t="s">
        <v>25</v>
      </c>
      <c r="C252" s="34" t="s">
        <v>24</v>
      </c>
      <c r="D252" s="34" t="s">
        <v>23</v>
      </c>
      <c r="E252" s="34" t="s">
        <v>22</v>
      </c>
      <c r="F252" s="34" t="s">
        <v>21</v>
      </c>
    </row>
    <row r="253" spans="1:6" ht="15.6" x14ac:dyDescent="0.3">
      <c r="A253" s="33">
        <v>8</v>
      </c>
      <c r="B253" s="32" t="s">
        <v>10</v>
      </c>
      <c r="C253" s="32" t="s">
        <v>220</v>
      </c>
      <c r="D253" s="96">
        <v>115.87</v>
      </c>
      <c r="E253" s="96">
        <f t="shared" ref="E253:E265" si="1">+A253*D253</f>
        <v>926.96</v>
      </c>
      <c r="F253" s="22" t="s">
        <v>214</v>
      </c>
    </row>
    <row r="254" spans="1:6" ht="15.6" x14ac:dyDescent="0.3">
      <c r="A254" s="29">
        <v>4</v>
      </c>
      <c r="B254" s="25" t="s">
        <v>10</v>
      </c>
      <c r="C254" s="95" t="s">
        <v>219</v>
      </c>
      <c r="D254" s="73">
        <v>116.92</v>
      </c>
      <c r="E254" s="93">
        <f t="shared" si="1"/>
        <v>467.68</v>
      </c>
      <c r="F254" s="22" t="s">
        <v>214</v>
      </c>
    </row>
    <row r="255" spans="1:6" ht="31.2" x14ac:dyDescent="0.3">
      <c r="A255" s="29">
        <v>8</v>
      </c>
      <c r="B255" s="25" t="s">
        <v>10</v>
      </c>
      <c r="C255" s="25" t="s">
        <v>218</v>
      </c>
      <c r="D255" s="73">
        <v>53.14</v>
      </c>
      <c r="E255" s="93">
        <f t="shared" si="1"/>
        <v>425.12</v>
      </c>
      <c r="F255" s="22" t="s">
        <v>214</v>
      </c>
    </row>
    <row r="256" spans="1:6" ht="31.2" x14ac:dyDescent="0.3">
      <c r="A256" s="29">
        <v>16</v>
      </c>
      <c r="B256" s="27" t="s">
        <v>10</v>
      </c>
      <c r="C256" s="27" t="s">
        <v>217</v>
      </c>
      <c r="D256" s="73">
        <v>26.82</v>
      </c>
      <c r="E256" s="93">
        <f t="shared" si="1"/>
        <v>429.12</v>
      </c>
      <c r="F256" s="22" t="s">
        <v>214</v>
      </c>
    </row>
    <row r="257" spans="1:6" ht="15.6" x14ac:dyDescent="0.3">
      <c r="A257" s="29">
        <v>40</v>
      </c>
      <c r="B257" s="27" t="s">
        <v>10</v>
      </c>
      <c r="C257" s="28" t="s">
        <v>216</v>
      </c>
      <c r="D257" s="73">
        <v>3.07</v>
      </c>
      <c r="E257" s="93">
        <f t="shared" si="1"/>
        <v>122.8</v>
      </c>
      <c r="F257" s="22" t="s">
        <v>215</v>
      </c>
    </row>
    <row r="258" spans="1:6" ht="15.6" x14ac:dyDescent="0.3">
      <c r="A258" s="29">
        <v>4</v>
      </c>
      <c r="B258" s="27" t="s">
        <v>10</v>
      </c>
      <c r="C258" s="28" t="s">
        <v>194</v>
      </c>
      <c r="D258" s="73">
        <v>4.0199999999999996</v>
      </c>
      <c r="E258" s="93">
        <f t="shared" si="1"/>
        <v>16.079999999999998</v>
      </c>
      <c r="F258" s="22" t="s">
        <v>214</v>
      </c>
    </row>
    <row r="259" spans="1:6" ht="15.6" x14ac:dyDescent="0.3">
      <c r="A259" s="29">
        <v>8</v>
      </c>
      <c r="B259" s="27" t="s">
        <v>10</v>
      </c>
      <c r="C259" s="28" t="s">
        <v>213</v>
      </c>
      <c r="D259" s="94">
        <v>6.04</v>
      </c>
      <c r="E259" s="93">
        <f t="shared" si="1"/>
        <v>48.32</v>
      </c>
      <c r="F259" s="22" t="s">
        <v>211</v>
      </c>
    </row>
    <row r="260" spans="1:6" ht="15.6" x14ac:dyDescent="0.3">
      <c r="A260" s="26">
        <v>16</v>
      </c>
      <c r="B260" s="27" t="s">
        <v>10</v>
      </c>
      <c r="C260" s="27" t="s">
        <v>212</v>
      </c>
      <c r="D260" s="73">
        <v>5.29</v>
      </c>
      <c r="E260" s="93">
        <f t="shared" si="1"/>
        <v>84.64</v>
      </c>
      <c r="F260" s="22" t="s">
        <v>211</v>
      </c>
    </row>
    <row r="261" spans="1:6" ht="15.6" x14ac:dyDescent="0.3">
      <c r="A261" s="26">
        <v>20</v>
      </c>
      <c r="B261" s="27" t="s">
        <v>10</v>
      </c>
      <c r="C261" s="27" t="s">
        <v>193</v>
      </c>
      <c r="D261" s="73">
        <v>2.59</v>
      </c>
      <c r="E261" s="93">
        <f t="shared" si="1"/>
        <v>51.8</v>
      </c>
      <c r="F261" s="22" t="s">
        <v>211</v>
      </c>
    </row>
    <row r="262" spans="1:6" ht="15.6" x14ac:dyDescent="0.3">
      <c r="A262" s="26">
        <v>12</v>
      </c>
      <c r="B262" s="25" t="s">
        <v>10</v>
      </c>
      <c r="C262" s="25" t="s">
        <v>195</v>
      </c>
      <c r="D262" s="73">
        <v>1.92</v>
      </c>
      <c r="E262" s="93">
        <f t="shared" si="1"/>
        <v>23.04</v>
      </c>
      <c r="F262" s="22" t="s">
        <v>211</v>
      </c>
    </row>
    <row r="263" spans="1:6" ht="15.6" x14ac:dyDescent="0.3">
      <c r="A263" s="26"/>
      <c r="B263" s="25"/>
      <c r="C263" s="25"/>
      <c r="D263" s="73"/>
      <c r="E263" s="93">
        <f t="shared" si="1"/>
        <v>0</v>
      </c>
      <c r="F263" s="22"/>
    </row>
    <row r="264" spans="1:6" ht="15.6" x14ac:dyDescent="0.3">
      <c r="A264" s="26"/>
      <c r="B264" s="25"/>
      <c r="C264" s="25"/>
      <c r="D264" s="73"/>
      <c r="E264" s="93">
        <f t="shared" si="1"/>
        <v>0</v>
      </c>
      <c r="F264" s="22"/>
    </row>
    <row r="265" spans="1:6" ht="15.6" x14ac:dyDescent="0.3">
      <c r="A265" s="26"/>
      <c r="B265" s="25"/>
      <c r="C265" s="25"/>
      <c r="D265" s="73"/>
      <c r="E265" s="93">
        <f t="shared" si="1"/>
        <v>0</v>
      </c>
      <c r="F265" s="22"/>
    </row>
    <row r="266" spans="1:6" ht="15.6" x14ac:dyDescent="0.3">
      <c r="A266" s="26"/>
      <c r="B266" s="25"/>
      <c r="C266" s="25"/>
      <c r="D266" s="73"/>
      <c r="E266" s="93"/>
      <c r="F266" s="22"/>
    </row>
    <row r="267" spans="1:6" ht="15.6" x14ac:dyDescent="0.3">
      <c r="A267" s="21"/>
      <c r="B267" s="20"/>
      <c r="C267" s="20"/>
      <c r="D267" s="92"/>
      <c r="E267" s="91"/>
      <c r="F267" s="18"/>
    </row>
    <row r="268" spans="1:6" ht="17.399999999999999" x14ac:dyDescent="0.3">
      <c r="A268" s="17"/>
      <c r="B268" s="16"/>
      <c r="C268" s="294" t="s">
        <v>8</v>
      </c>
      <c r="D268" s="294"/>
      <c r="E268" s="15">
        <f>SUM(E253:E265)</f>
        <v>2595.5600000000004</v>
      </c>
      <c r="F268" s="14"/>
    </row>
    <row r="269" spans="1:6" ht="17.399999999999999" x14ac:dyDescent="0.3">
      <c r="A269" s="11"/>
      <c r="B269" s="10"/>
      <c r="C269" s="294" t="s">
        <v>7</v>
      </c>
      <c r="D269" s="294"/>
      <c r="E269" s="13">
        <f>+E268*0.16</f>
        <v>415.28960000000006</v>
      </c>
      <c r="F269" s="12"/>
    </row>
    <row r="270" spans="1:6" ht="17.399999999999999" x14ac:dyDescent="0.3">
      <c r="A270" s="11"/>
      <c r="B270" s="10"/>
      <c r="C270" s="294" t="s">
        <v>6</v>
      </c>
      <c r="D270" s="294"/>
      <c r="E270" s="8">
        <f>+E268+E269</f>
        <v>3010.8496000000005</v>
      </c>
      <c r="F270" s="7"/>
    </row>
    <row r="271" spans="1:6" ht="15.6" x14ac:dyDescent="0.3">
      <c r="A271" s="6" t="s">
        <v>5</v>
      </c>
      <c r="B271" s="5"/>
      <c r="C271" s="5" t="s">
        <v>4</v>
      </c>
      <c r="D271" s="5"/>
      <c r="E271" s="5"/>
      <c r="F271" s="4" t="s">
        <v>3</v>
      </c>
    </row>
    <row r="272" spans="1:6" ht="15.6" x14ac:dyDescent="0.3">
      <c r="A272" s="3" t="s">
        <v>2</v>
      </c>
      <c r="B272" s="2"/>
      <c r="C272" s="2" t="s">
        <v>1</v>
      </c>
      <c r="D272" s="2"/>
      <c r="E272" s="2"/>
      <c r="F272" s="1" t="s">
        <v>70</v>
      </c>
    </row>
    <row r="275" spans="1:6" ht="30" x14ac:dyDescent="0.4">
      <c r="A275" s="55"/>
      <c r="B275" s="271" t="s">
        <v>38</v>
      </c>
      <c r="C275" s="272"/>
      <c r="D275" s="54"/>
      <c r="E275" s="305" t="s">
        <v>37</v>
      </c>
      <c r="F275" s="307"/>
    </row>
    <row r="276" spans="1:6" ht="30" x14ac:dyDescent="0.4">
      <c r="A276" s="53"/>
      <c r="B276" s="273"/>
      <c r="C276" s="274"/>
      <c r="D276" s="52"/>
      <c r="E276" s="51" t="s">
        <v>36</v>
      </c>
      <c r="F276" s="50" t="s">
        <v>200</v>
      </c>
    </row>
    <row r="277" spans="1:6" ht="30" x14ac:dyDescent="0.4">
      <c r="A277" s="49"/>
      <c r="B277" s="275"/>
      <c r="C277" s="276"/>
      <c r="D277" s="48"/>
      <c r="E277" s="47" t="s">
        <v>34</v>
      </c>
      <c r="F277" s="46" t="s">
        <v>210</v>
      </c>
    </row>
    <row r="278" spans="1:6" ht="20.399999999999999" x14ac:dyDescent="0.35">
      <c r="A278" s="39" t="s">
        <v>5</v>
      </c>
      <c r="B278" s="43" t="s">
        <v>47</v>
      </c>
      <c r="C278" s="42"/>
      <c r="D278" s="42"/>
      <c r="E278" s="98"/>
      <c r="F278" s="97"/>
    </row>
    <row r="279" spans="1:6" ht="20.399999999999999" x14ac:dyDescent="0.35">
      <c r="A279" s="39" t="s">
        <v>30</v>
      </c>
      <c r="B279" s="43"/>
      <c r="C279" s="42"/>
      <c r="D279" s="42"/>
      <c r="E279" s="41"/>
      <c r="F279" s="40"/>
    </row>
    <row r="280" spans="1:6" ht="20.399999999999999" x14ac:dyDescent="0.35">
      <c r="A280" s="39" t="s">
        <v>73</v>
      </c>
      <c r="B280" s="38"/>
      <c r="C280" s="37"/>
      <c r="D280" s="37"/>
      <c r="E280" s="41"/>
      <c r="F280" s="40"/>
    </row>
    <row r="281" spans="1:6" ht="20.399999999999999" x14ac:dyDescent="0.35">
      <c r="A281" s="39" t="s">
        <v>28</v>
      </c>
      <c r="B281" s="38" t="s">
        <v>198</v>
      </c>
      <c r="C281" s="37"/>
      <c r="D281" s="37"/>
      <c r="E281" s="36"/>
      <c r="F281" s="35"/>
    </row>
    <row r="282" spans="1:6" ht="15" x14ac:dyDescent="0.3">
      <c r="A282" s="34" t="s">
        <v>26</v>
      </c>
      <c r="B282" s="34" t="s">
        <v>25</v>
      </c>
      <c r="C282" s="34" t="s">
        <v>24</v>
      </c>
      <c r="D282" s="34" t="s">
        <v>23</v>
      </c>
      <c r="E282" s="34" t="s">
        <v>22</v>
      </c>
      <c r="F282" s="34" t="s">
        <v>21</v>
      </c>
    </row>
    <row r="283" spans="1:6" ht="15.6" x14ac:dyDescent="0.3">
      <c r="A283" s="33">
        <v>8</v>
      </c>
      <c r="B283" s="32" t="s">
        <v>10</v>
      </c>
      <c r="C283" s="32" t="s">
        <v>209</v>
      </c>
      <c r="D283" s="96">
        <v>79.03</v>
      </c>
      <c r="E283" s="101">
        <f t="shared" ref="E283:E296" si="2">+A283*D283</f>
        <v>632.24</v>
      </c>
      <c r="F283" s="22" t="s">
        <v>201</v>
      </c>
    </row>
    <row r="284" spans="1:6" ht="15.6" x14ac:dyDescent="0.3">
      <c r="A284" s="29">
        <v>8</v>
      </c>
      <c r="B284" s="25" t="s">
        <v>10</v>
      </c>
      <c r="C284" s="95" t="s">
        <v>208</v>
      </c>
      <c r="D284" s="73">
        <v>76.540000000000006</v>
      </c>
      <c r="E284" s="100">
        <f t="shared" si="2"/>
        <v>612.32000000000005</v>
      </c>
      <c r="F284" s="22" t="s">
        <v>201</v>
      </c>
    </row>
    <row r="285" spans="1:6" ht="15.6" x14ac:dyDescent="0.3">
      <c r="A285" s="29">
        <v>12</v>
      </c>
      <c r="B285" s="25" t="s">
        <v>10</v>
      </c>
      <c r="C285" s="25" t="s">
        <v>188</v>
      </c>
      <c r="D285" s="73">
        <v>6.6</v>
      </c>
      <c r="E285" s="100">
        <f t="shared" si="2"/>
        <v>79.199999999999989</v>
      </c>
      <c r="F285" s="22" t="s">
        <v>201</v>
      </c>
    </row>
    <row r="286" spans="1:6" ht="15.6" x14ac:dyDescent="0.3">
      <c r="A286" s="29">
        <v>5</v>
      </c>
      <c r="B286" s="27" t="s">
        <v>10</v>
      </c>
      <c r="C286" s="27" t="s">
        <v>207</v>
      </c>
      <c r="D286" s="73">
        <v>9.19</v>
      </c>
      <c r="E286" s="100">
        <f t="shared" si="2"/>
        <v>45.949999999999996</v>
      </c>
      <c r="F286" s="22" t="s">
        <v>201</v>
      </c>
    </row>
    <row r="287" spans="1:6" ht="15.6" x14ac:dyDescent="0.3">
      <c r="A287" s="29">
        <v>5</v>
      </c>
      <c r="B287" s="27" t="s">
        <v>10</v>
      </c>
      <c r="C287" s="28" t="s">
        <v>186</v>
      </c>
      <c r="D287" s="73">
        <v>5.38</v>
      </c>
      <c r="E287" s="100">
        <f t="shared" si="2"/>
        <v>26.9</v>
      </c>
      <c r="F287" s="22" t="s">
        <v>201</v>
      </c>
    </row>
    <row r="288" spans="1:6" ht="15.6" x14ac:dyDescent="0.3">
      <c r="A288" s="29">
        <v>4</v>
      </c>
      <c r="B288" s="27" t="s">
        <v>10</v>
      </c>
      <c r="C288" s="28" t="s">
        <v>206</v>
      </c>
      <c r="D288" s="73">
        <v>7.07</v>
      </c>
      <c r="E288" s="100">
        <f t="shared" si="2"/>
        <v>28.28</v>
      </c>
      <c r="F288" s="22" t="s">
        <v>201</v>
      </c>
    </row>
    <row r="289" spans="1:6" ht="15.6" x14ac:dyDescent="0.3">
      <c r="A289" s="29">
        <v>4</v>
      </c>
      <c r="B289" s="27" t="s">
        <v>10</v>
      </c>
      <c r="C289" s="28" t="s">
        <v>205</v>
      </c>
      <c r="D289" s="94">
        <v>5.72</v>
      </c>
      <c r="E289" s="100">
        <f t="shared" si="2"/>
        <v>22.88</v>
      </c>
      <c r="F289" s="22" t="s">
        <v>201</v>
      </c>
    </row>
    <row r="290" spans="1:6" ht="15.6" x14ac:dyDescent="0.3">
      <c r="A290" s="26">
        <v>8</v>
      </c>
      <c r="B290" s="27" t="s">
        <v>10</v>
      </c>
      <c r="C290" s="27" t="s">
        <v>204</v>
      </c>
      <c r="D290" s="73">
        <v>7.15</v>
      </c>
      <c r="E290" s="100">
        <f t="shared" si="2"/>
        <v>57.2</v>
      </c>
      <c r="F290" s="22" t="s">
        <v>201</v>
      </c>
    </row>
    <row r="291" spans="1:6" ht="15.6" x14ac:dyDescent="0.3">
      <c r="A291" s="26">
        <v>12</v>
      </c>
      <c r="B291" s="27" t="s">
        <v>10</v>
      </c>
      <c r="C291" s="27" t="s">
        <v>203</v>
      </c>
      <c r="D291" s="73">
        <v>14.05</v>
      </c>
      <c r="E291" s="100">
        <f t="shared" si="2"/>
        <v>168.60000000000002</v>
      </c>
      <c r="F291" s="22" t="s">
        <v>201</v>
      </c>
    </row>
    <row r="292" spans="1:6" ht="31.2" x14ac:dyDescent="0.3">
      <c r="A292" s="26">
        <v>5</v>
      </c>
      <c r="B292" s="25" t="s">
        <v>10</v>
      </c>
      <c r="C292" s="25" t="s">
        <v>202</v>
      </c>
      <c r="D292" s="73">
        <v>88.51</v>
      </c>
      <c r="E292" s="100">
        <f t="shared" si="2"/>
        <v>442.55</v>
      </c>
      <c r="F292" s="22" t="s">
        <v>201</v>
      </c>
    </row>
    <row r="293" spans="1:6" ht="15.6" x14ac:dyDescent="0.3">
      <c r="A293" s="26"/>
      <c r="B293" s="25"/>
      <c r="C293" s="25"/>
      <c r="D293" s="73"/>
      <c r="E293" s="100">
        <f t="shared" si="2"/>
        <v>0</v>
      </c>
      <c r="F293" s="22"/>
    </row>
    <row r="294" spans="1:6" ht="15.6" x14ac:dyDescent="0.3">
      <c r="A294" s="26"/>
      <c r="B294" s="25"/>
      <c r="C294" s="25"/>
      <c r="D294" s="73"/>
      <c r="E294" s="100">
        <f t="shared" si="2"/>
        <v>0</v>
      </c>
      <c r="F294" s="22"/>
    </row>
    <row r="295" spans="1:6" ht="15.6" x14ac:dyDescent="0.3">
      <c r="A295" s="26"/>
      <c r="B295" s="25"/>
      <c r="C295" s="25"/>
      <c r="D295" s="73"/>
      <c r="E295" s="100">
        <f t="shared" si="2"/>
        <v>0</v>
      </c>
      <c r="F295" s="22"/>
    </row>
    <row r="296" spans="1:6" ht="15.6" x14ac:dyDescent="0.3">
      <c r="A296" s="26"/>
      <c r="B296" s="25"/>
      <c r="C296" s="25"/>
      <c r="D296" s="73"/>
      <c r="E296" s="100">
        <f t="shared" si="2"/>
        <v>0</v>
      </c>
      <c r="F296" s="22"/>
    </row>
    <row r="297" spans="1:6" ht="15.6" x14ac:dyDescent="0.3">
      <c r="A297" s="21"/>
      <c r="B297" s="20"/>
      <c r="C297" s="20"/>
      <c r="D297" s="92"/>
      <c r="E297" s="91"/>
      <c r="F297" s="18"/>
    </row>
    <row r="298" spans="1:6" ht="17.399999999999999" x14ac:dyDescent="0.3">
      <c r="A298" s="17"/>
      <c r="B298" s="16"/>
      <c r="C298" s="294" t="s">
        <v>8</v>
      </c>
      <c r="D298" s="294"/>
      <c r="E298" s="15">
        <f>SUM(E283:E295)</f>
        <v>2116.1200000000003</v>
      </c>
      <c r="F298" s="14"/>
    </row>
    <row r="299" spans="1:6" ht="17.399999999999999" x14ac:dyDescent="0.3">
      <c r="A299" s="11"/>
      <c r="B299" s="10"/>
      <c r="C299" s="294" t="s">
        <v>7</v>
      </c>
      <c r="D299" s="294"/>
      <c r="E299" s="13">
        <f>+E298*0.16</f>
        <v>338.57920000000007</v>
      </c>
      <c r="F299" s="12"/>
    </row>
    <row r="300" spans="1:6" ht="17.399999999999999" x14ac:dyDescent="0.3">
      <c r="A300" s="11"/>
      <c r="B300" s="10"/>
      <c r="C300" s="294" t="s">
        <v>6</v>
      </c>
      <c r="D300" s="294"/>
      <c r="E300" s="8">
        <f>+E298+E299</f>
        <v>2454.6992000000005</v>
      </c>
      <c r="F300" s="7"/>
    </row>
    <row r="301" spans="1:6" ht="15.6" x14ac:dyDescent="0.3">
      <c r="A301" s="6" t="s">
        <v>5</v>
      </c>
      <c r="B301" s="5"/>
      <c r="C301" s="5" t="s">
        <v>4</v>
      </c>
      <c r="D301" s="5"/>
      <c r="E301" s="5"/>
      <c r="F301" s="4" t="s">
        <v>3</v>
      </c>
    </row>
    <row r="302" spans="1:6" ht="15.6" x14ac:dyDescent="0.3">
      <c r="A302" s="3" t="s">
        <v>2</v>
      </c>
      <c r="B302" s="2"/>
      <c r="C302" s="2" t="s">
        <v>1</v>
      </c>
      <c r="D302" s="2"/>
      <c r="E302" s="2"/>
      <c r="F302" s="1" t="s">
        <v>70</v>
      </c>
    </row>
    <row r="305" spans="1:6" ht="30" x14ac:dyDescent="0.4">
      <c r="A305" s="55"/>
      <c r="B305" s="271" t="s">
        <v>38</v>
      </c>
      <c r="C305" s="272"/>
      <c r="D305" s="54"/>
      <c r="E305" s="305" t="s">
        <v>37</v>
      </c>
      <c r="F305" s="307"/>
    </row>
    <row r="306" spans="1:6" ht="30" x14ac:dyDescent="0.4">
      <c r="A306" s="53"/>
      <c r="B306" s="273"/>
      <c r="C306" s="274"/>
      <c r="D306" s="52"/>
      <c r="E306" s="51" t="s">
        <v>36</v>
      </c>
      <c r="F306" s="50" t="s">
        <v>200</v>
      </c>
    </row>
    <row r="307" spans="1:6" ht="30" x14ac:dyDescent="0.4">
      <c r="A307" s="49"/>
      <c r="B307" s="275"/>
      <c r="C307" s="276"/>
      <c r="D307" s="48"/>
      <c r="E307" s="47" t="s">
        <v>34</v>
      </c>
      <c r="F307" s="46" t="s">
        <v>199</v>
      </c>
    </row>
    <row r="308" spans="1:6" ht="20.399999999999999" x14ac:dyDescent="0.35">
      <c r="A308" s="39" t="s">
        <v>5</v>
      </c>
      <c r="B308" s="43" t="s">
        <v>47</v>
      </c>
      <c r="C308" s="42"/>
      <c r="D308" s="42"/>
      <c r="E308" s="98"/>
      <c r="F308" s="97"/>
    </row>
    <row r="309" spans="1:6" ht="20.399999999999999" x14ac:dyDescent="0.35">
      <c r="A309" s="39" t="s">
        <v>30</v>
      </c>
      <c r="B309" s="43"/>
      <c r="C309" s="42"/>
      <c r="D309" s="42"/>
      <c r="E309" s="41"/>
      <c r="F309" s="40"/>
    </row>
    <row r="310" spans="1:6" ht="20.399999999999999" x14ac:dyDescent="0.35">
      <c r="A310" s="39" t="s">
        <v>73</v>
      </c>
      <c r="B310" s="38"/>
      <c r="C310" s="37"/>
      <c r="D310" s="37"/>
      <c r="E310" s="41"/>
      <c r="F310" s="40"/>
    </row>
    <row r="311" spans="1:6" ht="20.399999999999999" x14ac:dyDescent="0.35">
      <c r="A311" s="39" t="s">
        <v>28</v>
      </c>
      <c r="B311" s="38" t="s">
        <v>198</v>
      </c>
      <c r="C311" s="37"/>
      <c r="D311" s="37"/>
      <c r="E311" s="36"/>
      <c r="F311" s="35"/>
    </row>
    <row r="312" spans="1:6" ht="15" x14ac:dyDescent="0.3">
      <c r="A312" s="34" t="s">
        <v>26</v>
      </c>
      <c r="B312" s="34" t="s">
        <v>25</v>
      </c>
      <c r="C312" s="34" t="s">
        <v>24</v>
      </c>
      <c r="D312" s="34" t="s">
        <v>23</v>
      </c>
      <c r="E312" s="34" t="s">
        <v>22</v>
      </c>
      <c r="F312" s="34" t="s">
        <v>21</v>
      </c>
    </row>
    <row r="313" spans="1:6" ht="15.6" x14ac:dyDescent="0.3">
      <c r="A313" s="33">
        <v>60</v>
      </c>
      <c r="B313" s="32" t="s">
        <v>173</v>
      </c>
      <c r="C313" s="32" t="s">
        <v>197</v>
      </c>
      <c r="D313" s="96">
        <f>10.21*4</f>
        <v>40.840000000000003</v>
      </c>
      <c r="E313" s="101">
        <f t="shared" ref="E313:E339" si="3">+A313*D313</f>
        <v>2450.4</v>
      </c>
      <c r="F313" s="22"/>
    </row>
    <row r="314" spans="1:6" ht="15.6" x14ac:dyDescent="0.3">
      <c r="A314" s="29">
        <v>70</v>
      </c>
      <c r="B314" s="25" t="s">
        <v>173</v>
      </c>
      <c r="C314" s="95" t="s">
        <v>196</v>
      </c>
      <c r="D314" s="73">
        <f>16.55*4</f>
        <v>66.2</v>
      </c>
      <c r="E314" s="100">
        <f t="shared" si="3"/>
        <v>4634</v>
      </c>
      <c r="F314" s="22"/>
    </row>
    <row r="315" spans="1:6" ht="15.6" x14ac:dyDescent="0.3">
      <c r="A315" s="29">
        <v>50</v>
      </c>
      <c r="B315" s="25" t="s">
        <v>10</v>
      </c>
      <c r="C315" s="25" t="s">
        <v>195</v>
      </c>
      <c r="D315" s="73">
        <v>1.92</v>
      </c>
      <c r="E315" s="100">
        <f t="shared" si="3"/>
        <v>96</v>
      </c>
      <c r="F315" s="22"/>
    </row>
    <row r="316" spans="1:6" ht="15.6" x14ac:dyDescent="0.3">
      <c r="A316" s="29">
        <v>10</v>
      </c>
      <c r="B316" s="27" t="s">
        <v>10</v>
      </c>
      <c r="C316" s="27" t="s">
        <v>194</v>
      </c>
      <c r="D316" s="73">
        <v>4.0199999999999996</v>
      </c>
      <c r="E316" s="100">
        <f t="shared" si="3"/>
        <v>40.199999999999996</v>
      </c>
      <c r="F316" s="22"/>
    </row>
    <row r="317" spans="1:6" ht="15.6" x14ac:dyDescent="0.3">
      <c r="A317" s="29">
        <v>20</v>
      </c>
      <c r="B317" s="27" t="s">
        <v>10</v>
      </c>
      <c r="C317" s="28" t="s">
        <v>193</v>
      </c>
      <c r="D317" s="73">
        <v>2.59</v>
      </c>
      <c r="E317" s="100">
        <f t="shared" si="3"/>
        <v>51.8</v>
      </c>
      <c r="F317" s="22"/>
    </row>
    <row r="318" spans="1:6" ht="15.6" x14ac:dyDescent="0.3">
      <c r="A318" s="29">
        <v>10</v>
      </c>
      <c r="B318" s="27" t="s">
        <v>10</v>
      </c>
      <c r="C318" s="28" t="s">
        <v>192</v>
      </c>
      <c r="D318" s="73">
        <v>2.4900000000000002</v>
      </c>
      <c r="E318" s="100">
        <f t="shared" si="3"/>
        <v>24.900000000000002</v>
      </c>
      <c r="F318" s="22"/>
    </row>
    <row r="319" spans="1:6" ht="15.6" x14ac:dyDescent="0.3">
      <c r="A319" s="29">
        <v>20</v>
      </c>
      <c r="B319" s="27" t="s">
        <v>10</v>
      </c>
      <c r="C319" s="28" t="s">
        <v>191</v>
      </c>
      <c r="D319" s="73">
        <v>1.72</v>
      </c>
      <c r="E319" s="100">
        <f t="shared" si="3"/>
        <v>34.4</v>
      </c>
      <c r="F319" s="22"/>
    </row>
    <row r="320" spans="1:6" ht="15.6" x14ac:dyDescent="0.3">
      <c r="A320" s="29">
        <v>20</v>
      </c>
      <c r="B320" s="27" t="s">
        <v>10</v>
      </c>
      <c r="C320" s="28" t="s">
        <v>190</v>
      </c>
      <c r="D320" s="73">
        <v>2.68</v>
      </c>
      <c r="E320" s="100">
        <f t="shared" si="3"/>
        <v>53.6</v>
      </c>
      <c r="F320" s="22"/>
    </row>
    <row r="321" spans="1:6" ht="15.6" x14ac:dyDescent="0.3">
      <c r="A321" s="29">
        <v>20</v>
      </c>
      <c r="B321" s="27" t="s">
        <v>10</v>
      </c>
      <c r="C321" s="28" t="s">
        <v>189</v>
      </c>
      <c r="D321" s="73">
        <v>12.69</v>
      </c>
      <c r="E321" s="100">
        <f t="shared" si="3"/>
        <v>253.79999999999998</v>
      </c>
      <c r="F321" s="22"/>
    </row>
    <row r="322" spans="1:6" ht="15.6" x14ac:dyDescent="0.3">
      <c r="A322" s="29">
        <v>20</v>
      </c>
      <c r="B322" s="27" t="s">
        <v>10</v>
      </c>
      <c r="C322" s="28" t="s">
        <v>188</v>
      </c>
      <c r="D322" s="73">
        <v>8.6</v>
      </c>
      <c r="E322" s="100">
        <f t="shared" si="3"/>
        <v>172</v>
      </c>
      <c r="F322" s="22"/>
    </row>
    <row r="323" spans="1:6" ht="31.2" x14ac:dyDescent="0.3">
      <c r="A323" s="29">
        <v>20</v>
      </c>
      <c r="B323" s="27" t="s">
        <v>10</v>
      </c>
      <c r="C323" s="28" t="s">
        <v>187</v>
      </c>
      <c r="D323" s="73">
        <v>9.66</v>
      </c>
      <c r="E323" s="100">
        <f t="shared" si="3"/>
        <v>193.2</v>
      </c>
      <c r="F323" s="22"/>
    </row>
    <row r="324" spans="1:6" ht="15.6" x14ac:dyDescent="0.3">
      <c r="A324" s="29">
        <v>30</v>
      </c>
      <c r="B324" s="27" t="s">
        <v>10</v>
      </c>
      <c r="C324" s="28" t="s">
        <v>186</v>
      </c>
      <c r="D324" s="73">
        <v>7.68</v>
      </c>
      <c r="E324" s="100">
        <f t="shared" si="3"/>
        <v>230.39999999999998</v>
      </c>
      <c r="F324" s="22"/>
    </row>
    <row r="325" spans="1:6" ht="15.6" x14ac:dyDescent="0.3">
      <c r="A325" s="29">
        <v>30</v>
      </c>
      <c r="B325" s="27" t="s">
        <v>10</v>
      </c>
      <c r="C325" s="28" t="s">
        <v>185</v>
      </c>
      <c r="D325" s="73">
        <v>43.04</v>
      </c>
      <c r="E325" s="100">
        <f t="shared" si="3"/>
        <v>1291.2</v>
      </c>
      <c r="F325" s="22"/>
    </row>
    <row r="326" spans="1:6" ht="15.6" x14ac:dyDescent="0.3">
      <c r="A326" s="29"/>
      <c r="B326" s="27"/>
      <c r="C326" s="28"/>
      <c r="D326" s="73"/>
      <c r="E326" s="100">
        <f t="shared" si="3"/>
        <v>0</v>
      </c>
      <c r="F326" s="22"/>
    </row>
    <row r="327" spans="1:6" ht="31.2" x14ac:dyDescent="0.3">
      <c r="A327" s="29">
        <v>12</v>
      </c>
      <c r="B327" s="27" t="s">
        <v>10</v>
      </c>
      <c r="C327" s="28" t="s">
        <v>184</v>
      </c>
      <c r="D327" s="73">
        <v>168.08</v>
      </c>
      <c r="E327" s="100">
        <f t="shared" si="3"/>
        <v>2016.96</v>
      </c>
      <c r="F327" s="22"/>
    </row>
    <row r="328" spans="1:6" ht="15.6" x14ac:dyDescent="0.3">
      <c r="A328" s="29">
        <v>6</v>
      </c>
      <c r="B328" s="27" t="s">
        <v>10</v>
      </c>
      <c r="C328" s="28" t="s">
        <v>183</v>
      </c>
      <c r="D328" s="73">
        <v>120.37</v>
      </c>
      <c r="E328" s="100">
        <f t="shared" si="3"/>
        <v>722.22</v>
      </c>
      <c r="F328" s="22"/>
    </row>
    <row r="329" spans="1:6" ht="15.6" x14ac:dyDescent="0.3">
      <c r="A329" s="29"/>
      <c r="B329" s="27"/>
      <c r="C329" s="28"/>
      <c r="D329" s="73"/>
      <c r="E329" s="100">
        <f t="shared" si="3"/>
        <v>0</v>
      </c>
      <c r="F329" s="22"/>
    </row>
    <row r="330" spans="1:6" ht="15.6" x14ac:dyDescent="0.3">
      <c r="A330" s="29"/>
      <c r="B330" s="27"/>
      <c r="C330" s="28"/>
      <c r="D330" s="73"/>
      <c r="E330" s="100">
        <f t="shared" si="3"/>
        <v>0</v>
      </c>
      <c r="F330" s="22"/>
    </row>
    <row r="331" spans="1:6" ht="15.6" x14ac:dyDescent="0.3">
      <c r="A331" s="29"/>
      <c r="B331" s="27"/>
      <c r="C331" s="28"/>
      <c r="D331" s="73"/>
      <c r="E331" s="100">
        <f t="shared" si="3"/>
        <v>0</v>
      </c>
      <c r="F331" s="22"/>
    </row>
    <row r="332" spans="1:6" ht="15.6" x14ac:dyDescent="0.3">
      <c r="A332" s="29">
        <v>1</v>
      </c>
      <c r="B332" s="27" t="s">
        <v>10</v>
      </c>
      <c r="C332" s="28" t="s">
        <v>182</v>
      </c>
      <c r="D332" s="94">
        <v>197.91</v>
      </c>
      <c r="E332" s="100">
        <f t="shared" si="3"/>
        <v>197.91</v>
      </c>
      <c r="F332" s="22"/>
    </row>
    <row r="333" spans="1:6" ht="31.2" x14ac:dyDescent="0.3">
      <c r="A333" s="26">
        <v>28</v>
      </c>
      <c r="B333" s="27" t="s">
        <v>10</v>
      </c>
      <c r="C333" s="27" t="s">
        <v>181</v>
      </c>
      <c r="D333" s="73">
        <v>28.79</v>
      </c>
      <c r="E333" s="100">
        <f t="shared" si="3"/>
        <v>806.12</v>
      </c>
      <c r="F333" s="22"/>
    </row>
    <row r="334" spans="1:6" ht="15.6" x14ac:dyDescent="0.3">
      <c r="A334" s="26"/>
      <c r="B334" s="27"/>
      <c r="C334" s="27"/>
      <c r="D334" s="73"/>
      <c r="E334" s="100">
        <f t="shared" si="3"/>
        <v>0</v>
      </c>
      <c r="F334" s="22"/>
    </row>
    <row r="335" spans="1:6" ht="15.6" x14ac:dyDescent="0.3">
      <c r="A335" s="26"/>
      <c r="B335" s="25"/>
      <c r="C335" s="25"/>
      <c r="D335" s="73"/>
      <c r="E335" s="100">
        <f t="shared" si="3"/>
        <v>0</v>
      </c>
      <c r="F335" s="22"/>
    </row>
    <row r="336" spans="1:6" ht="15.6" x14ac:dyDescent="0.3">
      <c r="A336" s="26"/>
      <c r="B336" s="25"/>
      <c r="C336" s="25"/>
      <c r="D336" s="73"/>
      <c r="E336" s="100">
        <f t="shared" si="3"/>
        <v>0</v>
      </c>
      <c r="F336" s="22"/>
    </row>
    <row r="337" spans="1:6" ht="15.6" x14ac:dyDescent="0.3">
      <c r="A337" s="26"/>
      <c r="B337" s="25"/>
      <c r="C337" s="25"/>
      <c r="D337" s="73"/>
      <c r="E337" s="100">
        <f t="shared" si="3"/>
        <v>0</v>
      </c>
      <c r="F337" s="22"/>
    </row>
    <row r="338" spans="1:6" ht="15.6" x14ac:dyDescent="0.3">
      <c r="A338" s="26"/>
      <c r="B338" s="25"/>
      <c r="C338" s="25"/>
      <c r="D338" s="73"/>
      <c r="E338" s="100">
        <f t="shared" si="3"/>
        <v>0</v>
      </c>
      <c r="F338" s="22"/>
    </row>
    <row r="339" spans="1:6" ht="15.6" x14ac:dyDescent="0.3">
      <c r="A339" s="26"/>
      <c r="B339" s="25"/>
      <c r="C339" s="25"/>
      <c r="D339" s="73"/>
      <c r="E339" s="100">
        <f t="shared" si="3"/>
        <v>0</v>
      </c>
      <c r="F339" s="22"/>
    </row>
    <row r="340" spans="1:6" ht="15.6" x14ac:dyDescent="0.3">
      <c r="A340" s="21"/>
      <c r="B340" s="20"/>
      <c r="C340" s="20"/>
      <c r="D340" s="92"/>
      <c r="E340" s="91"/>
      <c r="F340" s="18"/>
    </row>
    <row r="341" spans="1:6" ht="17.399999999999999" x14ac:dyDescent="0.3">
      <c r="A341" s="17"/>
      <c r="B341" s="16"/>
      <c r="C341" s="294" t="s">
        <v>8</v>
      </c>
      <c r="D341" s="294"/>
      <c r="E341" s="15">
        <f>SUM(E313:E338)</f>
        <v>13269.11</v>
      </c>
      <c r="F341" s="14"/>
    </row>
    <row r="342" spans="1:6" ht="17.399999999999999" x14ac:dyDescent="0.3">
      <c r="A342" s="11"/>
      <c r="B342" s="10"/>
      <c r="C342" s="294" t="s">
        <v>7</v>
      </c>
      <c r="D342" s="294"/>
      <c r="E342" s="13">
        <f>+E341*0.16</f>
        <v>2123.0576000000001</v>
      </c>
      <c r="F342" s="12"/>
    </row>
    <row r="343" spans="1:6" ht="17.399999999999999" x14ac:dyDescent="0.3">
      <c r="A343" s="11"/>
      <c r="B343" s="10"/>
      <c r="C343" s="294" t="s">
        <v>6</v>
      </c>
      <c r="D343" s="294"/>
      <c r="E343" s="8">
        <f>+E341+E342</f>
        <v>15392.167600000001</v>
      </c>
      <c r="F343" s="7"/>
    </row>
    <row r="344" spans="1:6" ht="15.6" x14ac:dyDescent="0.3">
      <c r="A344" s="6" t="s">
        <v>5</v>
      </c>
      <c r="B344" s="5"/>
      <c r="C344" s="5" t="s">
        <v>4</v>
      </c>
      <c r="D344" s="5"/>
      <c r="E344" s="5"/>
      <c r="F344" s="4" t="s">
        <v>3</v>
      </c>
    </row>
    <row r="345" spans="1:6" ht="15.6" x14ac:dyDescent="0.3">
      <c r="A345" s="3" t="s">
        <v>2</v>
      </c>
      <c r="B345" s="2"/>
      <c r="C345" s="2" t="s">
        <v>1</v>
      </c>
      <c r="D345" s="2"/>
      <c r="E345" s="2"/>
      <c r="F345" s="1" t="s">
        <v>70</v>
      </c>
    </row>
    <row r="348" spans="1:6" ht="30" x14ac:dyDescent="0.4">
      <c r="A348" s="55"/>
      <c r="B348" s="271" t="s">
        <v>38</v>
      </c>
      <c r="C348" s="272"/>
      <c r="D348" s="54"/>
      <c r="E348" s="305" t="s">
        <v>180</v>
      </c>
      <c r="F348" s="307"/>
    </row>
    <row r="349" spans="1:6" ht="30" x14ac:dyDescent="0.4">
      <c r="A349" s="53"/>
      <c r="B349" s="273"/>
      <c r="C349" s="274"/>
      <c r="D349" s="52"/>
      <c r="E349" s="51" t="s">
        <v>36</v>
      </c>
      <c r="F349" s="50" t="s">
        <v>160</v>
      </c>
    </row>
    <row r="350" spans="1:6" ht="30" x14ac:dyDescent="0.4">
      <c r="A350" s="49"/>
      <c r="B350" s="275"/>
      <c r="C350" s="276"/>
      <c r="D350" s="48"/>
      <c r="E350" s="47" t="s">
        <v>34</v>
      </c>
      <c r="F350" s="46" t="s">
        <v>179</v>
      </c>
    </row>
    <row r="351" spans="1:6" ht="20.399999999999999" x14ac:dyDescent="0.35">
      <c r="A351" s="39" t="s">
        <v>5</v>
      </c>
      <c r="B351" s="43" t="s">
        <v>0</v>
      </c>
      <c r="C351" s="42"/>
      <c r="D351" s="42"/>
      <c r="E351" s="98"/>
      <c r="F351" s="97"/>
    </row>
    <row r="352" spans="1:6" ht="20.399999999999999" x14ac:dyDescent="0.35">
      <c r="A352" s="39" t="s">
        <v>30</v>
      </c>
      <c r="B352" s="43" t="s">
        <v>178</v>
      </c>
      <c r="C352" s="42"/>
      <c r="D352" s="42"/>
      <c r="E352" s="41"/>
      <c r="F352" s="40"/>
    </row>
    <row r="353" spans="1:6" ht="20.399999999999999" x14ac:dyDescent="0.35">
      <c r="A353" s="39"/>
      <c r="B353" s="38"/>
      <c r="C353" s="37"/>
      <c r="D353" s="37"/>
      <c r="E353" s="41"/>
      <c r="F353" s="40"/>
    </row>
    <row r="354" spans="1:6" ht="20.399999999999999" x14ac:dyDescent="0.35">
      <c r="A354" s="39" t="s">
        <v>28</v>
      </c>
      <c r="B354" s="38" t="s">
        <v>97</v>
      </c>
      <c r="C354" s="37"/>
      <c r="D354" s="37"/>
      <c r="E354" s="36"/>
      <c r="F354" s="35"/>
    </row>
    <row r="355" spans="1:6" ht="15" x14ac:dyDescent="0.3">
      <c r="A355" s="34" t="s">
        <v>26</v>
      </c>
      <c r="B355" s="34" t="s">
        <v>25</v>
      </c>
      <c r="C355" s="34" t="s">
        <v>24</v>
      </c>
      <c r="D355" s="34" t="s">
        <v>23</v>
      </c>
      <c r="E355" s="34" t="s">
        <v>22</v>
      </c>
      <c r="F355" s="34" t="s">
        <v>21</v>
      </c>
    </row>
    <row r="356" spans="1:6" ht="15.6" x14ac:dyDescent="0.3">
      <c r="A356" s="33">
        <v>30</v>
      </c>
      <c r="B356" s="32" t="s">
        <v>177</v>
      </c>
      <c r="C356" s="32" t="s">
        <v>176</v>
      </c>
      <c r="D356" s="96">
        <f>10.21*4</f>
        <v>40.840000000000003</v>
      </c>
      <c r="E356" s="96">
        <f>+A356*D356</f>
        <v>1225.2</v>
      </c>
      <c r="F356" s="22"/>
    </row>
    <row r="357" spans="1:6" ht="15.6" x14ac:dyDescent="0.3">
      <c r="A357" s="29"/>
      <c r="B357" s="25"/>
      <c r="C357" s="25"/>
      <c r="D357" s="73"/>
      <c r="E357" s="93">
        <f>+A357*D357</f>
        <v>0</v>
      </c>
      <c r="F357" s="22"/>
    </row>
    <row r="358" spans="1:6" ht="15.6" x14ac:dyDescent="0.3">
      <c r="A358" s="29"/>
      <c r="B358" s="25"/>
      <c r="C358" s="25"/>
      <c r="D358" s="73"/>
      <c r="E358" s="93">
        <f>+A358*D358</f>
        <v>0</v>
      </c>
      <c r="F358" s="22"/>
    </row>
    <row r="359" spans="1:6" ht="15.6" x14ac:dyDescent="0.3">
      <c r="A359" s="29"/>
      <c r="B359" s="27"/>
      <c r="C359" s="27"/>
      <c r="D359" s="73"/>
      <c r="E359" s="93">
        <f>+A359*D359</f>
        <v>0</v>
      </c>
      <c r="F359" s="22"/>
    </row>
    <row r="360" spans="1:6" ht="15.6" x14ac:dyDescent="0.3">
      <c r="A360" s="29"/>
      <c r="B360" s="27"/>
      <c r="C360" s="28"/>
      <c r="D360" s="99"/>
      <c r="E360" s="93"/>
      <c r="F360" s="22"/>
    </row>
    <row r="361" spans="1:6" ht="15.6" x14ac:dyDescent="0.3">
      <c r="A361" s="29"/>
      <c r="B361" s="27"/>
      <c r="C361" s="28"/>
      <c r="D361" s="99"/>
      <c r="E361" s="93"/>
      <c r="F361" s="22"/>
    </row>
    <row r="362" spans="1:6" ht="15.6" x14ac:dyDescent="0.3">
      <c r="A362" s="29"/>
      <c r="B362" s="27"/>
      <c r="C362" s="28"/>
      <c r="D362" s="27"/>
      <c r="E362" s="102"/>
      <c r="F362" s="22"/>
    </row>
    <row r="363" spans="1:6" ht="15.6" x14ac:dyDescent="0.3">
      <c r="A363" s="26"/>
      <c r="B363" s="27"/>
      <c r="C363" s="27"/>
      <c r="D363" s="99"/>
      <c r="E363" s="93"/>
      <c r="F363" s="22"/>
    </row>
    <row r="364" spans="1:6" ht="15.6" x14ac:dyDescent="0.3">
      <c r="A364" s="26"/>
      <c r="B364" s="27"/>
      <c r="C364" s="27"/>
      <c r="D364" s="99"/>
      <c r="E364" s="93"/>
      <c r="F364" s="22"/>
    </row>
    <row r="365" spans="1:6" ht="15.6" x14ac:dyDescent="0.3">
      <c r="A365" s="26"/>
      <c r="B365" s="25"/>
      <c r="C365" s="25"/>
      <c r="D365" s="72"/>
      <c r="E365" s="93"/>
      <c r="F365" s="22"/>
    </row>
    <row r="366" spans="1:6" ht="15.6" x14ac:dyDescent="0.3">
      <c r="A366" s="26"/>
      <c r="B366" s="25"/>
      <c r="C366" s="25"/>
      <c r="D366" s="72"/>
      <c r="E366" s="93"/>
      <c r="F366" s="22"/>
    </row>
    <row r="367" spans="1:6" ht="15.6" x14ac:dyDescent="0.3">
      <c r="A367" s="26"/>
      <c r="B367" s="25"/>
      <c r="C367" s="25"/>
      <c r="D367" s="72"/>
      <c r="E367" s="93"/>
      <c r="F367" s="22"/>
    </row>
    <row r="368" spans="1:6" ht="15.6" x14ac:dyDescent="0.3">
      <c r="A368" s="26"/>
      <c r="B368" s="25"/>
      <c r="C368" s="25"/>
      <c r="D368" s="72"/>
      <c r="E368" s="93"/>
      <c r="F368" s="22"/>
    </row>
    <row r="369" spans="1:6" ht="15.6" x14ac:dyDescent="0.3">
      <c r="A369" s="26"/>
      <c r="B369" s="25"/>
      <c r="C369" s="25"/>
      <c r="D369" s="72"/>
      <c r="E369" s="93"/>
      <c r="F369" s="22"/>
    </row>
    <row r="370" spans="1:6" ht="15.6" x14ac:dyDescent="0.3">
      <c r="A370" s="21"/>
      <c r="B370" s="20"/>
      <c r="C370" s="20"/>
      <c r="D370" s="69"/>
      <c r="E370" s="91"/>
      <c r="F370" s="18"/>
    </row>
    <row r="371" spans="1:6" ht="17.399999999999999" x14ac:dyDescent="0.3">
      <c r="A371" s="17"/>
      <c r="B371" s="16"/>
      <c r="C371" s="294" t="s">
        <v>8</v>
      </c>
      <c r="D371" s="294"/>
      <c r="E371" s="15">
        <f>SUM(E356:E368)</f>
        <v>1225.2</v>
      </c>
      <c r="F371" s="14"/>
    </row>
    <row r="372" spans="1:6" ht="17.399999999999999" x14ac:dyDescent="0.3">
      <c r="A372" s="11"/>
      <c r="B372" s="10"/>
      <c r="C372" s="294" t="s">
        <v>7</v>
      </c>
      <c r="D372" s="294"/>
      <c r="E372" s="13">
        <f>+E371*0.16</f>
        <v>196.03200000000001</v>
      </c>
      <c r="F372" s="12"/>
    </row>
    <row r="373" spans="1:6" ht="17.399999999999999" x14ac:dyDescent="0.3">
      <c r="A373" s="11"/>
      <c r="B373" s="10"/>
      <c r="C373" s="294" t="s">
        <v>6</v>
      </c>
      <c r="D373" s="294"/>
      <c r="E373" s="8">
        <f>+E371+E372</f>
        <v>1421.232</v>
      </c>
      <c r="F373" s="7"/>
    </row>
    <row r="374" spans="1:6" ht="15.6" x14ac:dyDescent="0.3">
      <c r="A374" s="6" t="s">
        <v>5</v>
      </c>
      <c r="B374" s="5"/>
      <c r="C374" s="5" t="s">
        <v>4</v>
      </c>
      <c r="D374" s="5"/>
      <c r="E374" s="5"/>
      <c r="F374" s="4" t="s">
        <v>3</v>
      </c>
    </row>
    <row r="375" spans="1:6" ht="15.6" x14ac:dyDescent="0.3">
      <c r="A375" s="3" t="s">
        <v>2</v>
      </c>
      <c r="B375" s="2"/>
      <c r="C375" s="2" t="s">
        <v>1</v>
      </c>
      <c r="D375" s="2"/>
      <c r="E375" s="2"/>
      <c r="F375" s="1" t="s">
        <v>70</v>
      </c>
    </row>
    <row r="378" spans="1:6" ht="30" x14ac:dyDescent="0.4">
      <c r="A378" s="55"/>
      <c r="B378" s="271" t="s">
        <v>38</v>
      </c>
      <c r="C378" s="272"/>
      <c r="D378" s="54"/>
      <c r="E378" s="305" t="s">
        <v>37</v>
      </c>
      <c r="F378" s="307"/>
    </row>
    <row r="379" spans="1:6" ht="30" x14ac:dyDescent="0.4">
      <c r="A379" s="53"/>
      <c r="B379" s="273"/>
      <c r="C379" s="274"/>
      <c r="D379" s="52"/>
      <c r="E379" s="51" t="s">
        <v>36</v>
      </c>
      <c r="F379" s="50" t="s">
        <v>160</v>
      </c>
    </row>
    <row r="380" spans="1:6" ht="30" x14ac:dyDescent="0.4">
      <c r="A380" s="49"/>
      <c r="B380" s="275"/>
      <c r="C380" s="276"/>
      <c r="D380" s="48"/>
      <c r="E380" s="47" t="s">
        <v>34</v>
      </c>
      <c r="F380" s="46" t="s">
        <v>175</v>
      </c>
    </row>
    <row r="381" spans="1:6" ht="20.399999999999999" x14ac:dyDescent="0.35">
      <c r="A381" s="39" t="s">
        <v>5</v>
      </c>
      <c r="B381" s="43" t="s">
        <v>47</v>
      </c>
      <c r="C381" s="42"/>
      <c r="D381" s="42"/>
      <c r="E381" s="98"/>
      <c r="F381" s="97"/>
    </row>
    <row r="382" spans="1:6" ht="20.399999999999999" x14ac:dyDescent="0.35">
      <c r="A382" s="39" t="s">
        <v>30</v>
      </c>
      <c r="B382" s="43"/>
      <c r="C382" s="42"/>
      <c r="D382" s="42"/>
      <c r="E382" s="41"/>
      <c r="F382" s="40"/>
    </row>
    <row r="383" spans="1:6" ht="20.399999999999999" x14ac:dyDescent="0.35">
      <c r="A383" s="39" t="s">
        <v>73</v>
      </c>
      <c r="B383" s="38"/>
      <c r="C383" s="37"/>
      <c r="D383" s="37"/>
      <c r="E383" s="41"/>
      <c r="F383" s="40"/>
    </row>
    <row r="384" spans="1:6" ht="20.399999999999999" x14ac:dyDescent="0.35">
      <c r="A384" s="39" t="s">
        <v>28</v>
      </c>
      <c r="B384" s="38" t="s">
        <v>174</v>
      </c>
      <c r="C384" s="37"/>
      <c r="D384" s="37"/>
      <c r="E384" s="36"/>
      <c r="F384" s="35"/>
    </row>
    <row r="385" spans="1:6" ht="15" x14ac:dyDescent="0.3">
      <c r="A385" s="34" t="s">
        <v>26</v>
      </c>
      <c r="B385" s="34" t="s">
        <v>25</v>
      </c>
      <c r="C385" s="34" t="s">
        <v>24</v>
      </c>
      <c r="D385" s="34" t="s">
        <v>23</v>
      </c>
      <c r="E385" s="34" t="s">
        <v>22</v>
      </c>
      <c r="F385" s="34" t="s">
        <v>21</v>
      </c>
    </row>
    <row r="386" spans="1:6" ht="15.6" x14ac:dyDescent="0.3">
      <c r="A386" s="33">
        <v>20</v>
      </c>
      <c r="B386" s="32" t="s">
        <v>173</v>
      </c>
      <c r="C386" s="32" t="s">
        <v>172</v>
      </c>
      <c r="D386" s="96">
        <v>235.82</v>
      </c>
      <c r="E386" s="96">
        <f t="shared" ref="E386:E398" si="4">+A386*D386</f>
        <v>4716.3999999999996</v>
      </c>
      <c r="F386" s="22"/>
    </row>
    <row r="387" spans="1:6" ht="15.6" x14ac:dyDescent="0.3">
      <c r="A387" s="29">
        <v>15</v>
      </c>
      <c r="B387" s="25" t="s">
        <v>10</v>
      </c>
      <c r="C387" s="95" t="s">
        <v>171</v>
      </c>
      <c r="D387" s="73">
        <v>31.95</v>
      </c>
      <c r="E387" s="93">
        <f t="shared" si="4"/>
        <v>479.25</v>
      </c>
      <c r="F387" s="22"/>
    </row>
    <row r="388" spans="1:6" ht="15.6" x14ac:dyDescent="0.3">
      <c r="A388" s="29">
        <v>15</v>
      </c>
      <c r="B388" s="25" t="s">
        <v>10</v>
      </c>
      <c r="C388" s="25" t="s">
        <v>170</v>
      </c>
      <c r="D388" s="73">
        <v>7.65</v>
      </c>
      <c r="E388" s="93">
        <f t="shared" si="4"/>
        <v>114.75</v>
      </c>
      <c r="F388" s="22"/>
    </row>
    <row r="389" spans="1:6" ht="15.6" x14ac:dyDescent="0.3">
      <c r="A389" s="29">
        <v>18</v>
      </c>
      <c r="B389" s="27" t="s">
        <v>10</v>
      </c>
      <c r="C389" s="27" t="s">
        <v>169</v>
      </c>
      <c r="D389" s="73">
        <v>62.81</v>
      </c>
      <c r="E389" s="93">
        <f t="shared" si="4"/>
        <v>1130.58</v>
      </c>
      <c r="F389" s="22"/>
    </row>
    <row r="390" spans="1:6" ht="15.6" x14ac:dyDescent="0.3">
      <c r="A390" s="29"/>
      <c r="B390" s="27"/>
      <c r="C390" s="28"/>
      <c r="D390" s="73"/>
      <c r="E390" s="93">
        <f t="shared" si="4"/>
        <v>0</v>
      </c>
      <c r="F390" s="22"/>
    </row>
    <row r="391" spans="1:6" ht="15.6" x14ac:dyDescent="0.3">
      <c r="A391" s="29"/>
      <c r="B391" s="27"/>
      <c r="C391" s="28"/>
      <c r="D391" s="73"/>
      <c r="E391" s="93">
        <f t="shared" si="4"/>
        <v>0</v>
      </c>
      <c r="F391" s="22"/>
    </row>
    <row r="392" spans="1:6" ht="15.6" x14ac:dyDescent="0.3">
      <c r="A392" s="29"/>
      <c r="B392" s="27"/>
      <c r="C392" s="28"/>
      <c r="D392" s="94"/>
      <c r="E392" s="93">
        <f t="shared" si="4"/>
        <v>0</v>
      </c>
      <c r="F392" s="22"/>
    </row>
    <row r="393" spans="1:6" ht="15.6" x14ac:dyDescent="0.3">
      <c r="A393" s="26"/>
      <c r="B393" s="27"/>
      <c r="C393" s="27"/>
      <c r="D393" s="73"/>
      <c r="E393" s="93">
        <f t="shared" si="4"/>
        <v>0</v>
      </c>
      <c r="F393" s="22"/>
    </row>
    <row r="394" spans="1:6" ht="15.6" x14ac:dyDescent="0.3">
      <c r="A394" s="26"/>
      <c r="B394" s="27"/>
      <c r="C394" s="27"/>
      <c r="D394" s="73"/>
      <c r="E394" s="93">
        <f t="shared" si="4"/>
        <v>0</v>
      </c>
      <c r="F394" s="22"/>
    </row>
    <row r="395" spans="1:6" ht="15.6" x14ac:dyDescent="0.3">
      <c r="A395" s="26"/>
      <c r="B395" s="25"/>
      <c r="C395" s="25"/>
      <c r="D395" s="73"/>
      <c r="E395" s="93">
        <f t="shared" si="4"/>
        <v>0</v>
      </c>
      <c r="F395" s="22"/>
    </row>
    <row r="396" spans="1:6" ht="15.6" x14ac:dyDescent="0.3">
      <c r="A396" s="26"/>
      <c r="B396" s="25"/>
      <c r="C396" s="25"/>
      <c r="D396" s="73"/>
      <c r="E396" s="93">
        <f t="shared" si="4"/>
        <v>0</v>
      </c>
      <c r="F396" s="22"/>
    </row>
    <row r="397" spans="1:6" ht="15.6" x14ac:dyDescent="0.3">
      <c r="A397" s="26"/>
      <c r="B397" s="25"/>
      <c r="C397" s="25"/>
      <c r="D397" s="73"/>
      <c r="E397" s="93">
        <f t="shared" si="4"/>
        <v>0</v>
      </c>
      <c r="F397" s="22"/>
    </row>
    <row r="398" spans="1:6" ht="15.6" x14ac:dyDescent="0.3">
      <c r="A398" s="26"/>
      <c r="B398" s="25"/>
      <c r="C398" s="25"/>
      <c r="D398" s="73"/>
      <c r="E398" s="93">
        <f t="shared" si="4"/>
        <v>0</v>
      </c>
      <c r="F398" s="22"/>
    </row>
    <row r="399" spans="1:6" ht="15.6" x14ac:dyDescent="0.3">
      <c r="A399" s="26"/>
      <c r="B399" s="25"/>
      <c r="C399" s="25"/>
      <c r="D399" s="73"/>
      <c r="E399" s="93"/>
      <c r="F399" s="22"/>
    </row>
    <row r="400" spans="1:6" ht="15.6" x14ac:dyDescent="0.3">
      <c r="A400" s="21"/>
      <c r="B400" s="20"/>
      <c r="C400" s="20"/>
      <c r="D400" s="92"/>
      <c r="E400" s="91"/>
      <c r="F400" s="18"/>
    </row>
    <row r="401" spans="1:6" ht="17.399999999999999" x14ac:dyDescent="0.3">
      <c r="A401" s="17"/>
      <c r="B401" s="16"/>
      <c r="C401" s="294" t="s">
        <v>8</v>
      </c>
      <c r="D401" s="294"/>
      <c r="E401" s="15">
        <f>SUM(E386:E398)</f>
        <v>6440.98</v>
      </c>
      <c r="F401" s="14"/>
    </row>
    <row r="402" spans="1:6" ht="17.399999999999999" x14ac:dyDescent="0.3">
      <c r="A402" s="11"/>
      <c r="B402" s="10"/>
      <c r="C402" s="294" t="s">
        <v>7</v>
      </c>
      <c r="D402" s="294"/>
      <c r="E402" s="13">
        <f>+E401*0.16</f>
        <v>1030.5567999999998</v>
      </c>
      <c r="F402" s="12"/>
    </row>
    <row r="403" spans="1:6" ht="17.399999999999999" x14ac:dyDescent="0.3">
      <c r="A403" s="11"/>
      <c r="B403" s="10"/>
      <c r="C403" s="294" t="s">
        <v>6</v>
      </c>
      <c r="D403" s="294"/>
      <c r="E403" s="8">
        <f>+E401+E402</f>
        <v>7471.5367999999999</v>
      </c>
      <c r="F403" s="7"/>
    </row>
    <row r="404" spans="1:6" ht="15.6" x14ac:dyDescent="0.3">
      <c r="A404" s="6" t="s">
        <v>5</v>
      </c>
      <c r="B404" s="5"/>
      <c r="C404" s="5" t="s">
        <v>4</v>
      </c>
      <c r="D404" s="5"/>
      <c r="E404" s="5"/>
      <c r="F404" s="4" t="s">
        <v>3</v>
      </c>
    </row>
    <row r="405" spans="1:6" ht="15.6" x14ac:dyDescent="0.3">
      <c r="A405" s="3" t="s">
        <v>2</v>
      </c>
      <c r="B405" s="2"/>
      <c r="C405" s="2" t="s">
        <v>1</v>
      </c>
      <c r="D405" s="2"/>
      <c r="E405" s="2"/>
      <c r="F405" s="1" t="s">
        <v>70</v>
      </c>
    </row>
    <row r="409" spans="1:6" ht="30" x14ac:dyDescent="0.4">
      <c r="A409" s="55"/>
      <c r="B409" s="271" t="s">
        <v>38</v>
      </c>
      <c r="C409" s="272"/>
      <c r="D409" s="54"/>
      <c r="E409" s="305" t="s">
        <v>37</v>
      </c>
      <c r="F409" s="307"/>
    </row>
    <row r="410" spans="1:6" ht="30" x14ac:dyDescent="0.4">
      <c r="A410" s="53"/>
      <c r="B410" s="273"/>
      <c r="C410" s="274"/>
      <c r="D410" s="52"/>
      <c r="E410" s="51" t="s">
        <v>36</v>
      </c>
      <c r="F410" s="50" t="s">
        <v>160</v>
      </c>
    </row>
    <row r="411" spans="1:6" ht="30" x14ac:dyDescent="0.4">
      <c r="A411" s="49"/>
      <c r="B411" s="275"/>
      <c r="C411" s="276"/>
      <c r="D411" s="48"/>
      <c r="E411" s="47" t="s">
        <v>34</v>
      </c>
      <c r="F411" s="46" t="s">
        <v>168</v>
      </c>
    </row>
    <row r="412" spans="1:6" ht="20.399999999999999" x14ac:dyDescent="0.35">
      <c r="A412" s="39" t="s">
        <v>32</v>
      </c>
      <c r="B412" s="43" t="s">
        <v>0</v>
      </c>
      <c r="C412" s="42"/>
      <c r="D412" s="42"/>
      <c r="E412" s="98"/>
      <c r="F412" s="97"/>
    </row>
    <row r="413" spans="1:6" ht="20.399999999999999" x14ac:dyDescent="0.35">
      <c r="A413" s="39" t="s">
        <v>30</v>
      </c>
      <c r="B413" s="43"/>
      <c r="C413" s="42"/>
      <c r="D413" s="42"/>
      <c r="E413" s="41"/>
      <c r="F413" s="40"/>
    </row>
    <row r="414" spans="1:6" ht="20.399999999999999" x14ac:dyDescent="0.35">
      <c r="A414" s="39" t="s">
        <v>73</v>
      </c>
      <c r="B414" s="38"/>
      <c r="C414" s="37"/>
      <c r="D414" s="37"/>
      <c r="E414" s="41"/>
      <c r="F414" s="40"/>
    </row>
    <row r="415" spans="1:6" ht="20.399999999999999" x14ac:dyDescent="0.35">
      <c r="A415" s="39" t="s">
        <v>28</v>
      </c>
      <c r="B415" s="38" t="s">
        <v>72</v>
      </c>
      <c r="C415" s="37"/>
      <c r="D415" s="37"/>
      <c r="E415" s="36"/>
      <c r="F415" s="35"/>
    </row>
    <row r="416" spans="1:6" ht="15" x14ac:dyDescent="0.3">
      <c r="A416" s="34" t="s">
        <v>26</v>
      </c>
      <c r="B416" s="34" t="s">
        <v>25</v>
      </c>
      <c r="C416" s="34" t="s">
        <v>24</v>
      </c>
      <c r="D416" s="34" t="s">
        <v>23</v>
      </c>
      <c r="E416" s="34" t="s">
        <v>22</v>
      </c>
      <c r="F416" s="34" t="s">
        <v>21</v>
      </c>
    </row>
    <row r="417" spans="1:6" ht="15.6" x14ac:dyDescent="0.3">
      <c r="A417" s="33">
        <v>10</v>
      </c>
      <c r="B417" s="32" t="s">
        <v>10</v>
      </c>
      <c r="C417" s="32" t="s">
        <v>71</v>
      </c>
      <c r="D417" s="96">
        <v>787.07</v>
      </c>
      <c r="E417" s="96">
        <f t="shared" ref="E417:E429" si="5">+A417*D417</f>
        <v>7870.7000000000007</v>
      </c>
      <c r="F417" s="22"/>
    </row>
    <row r="418" spans="1:6" ht="15.6" x14ac:dyDescent="0.3">
      <c r="A418" s="29">
        <v>20</v>
      </c>
      <c r="B418" s="25" t="s">
        <v>10</v>
      </c>
      <c r="C418" s="95" t="s">
        <v>167</v>
      </c>
      <c r="D418" s="73">
        <v>40</v>
      </c>
      <c r="E418" s="93">
        <f t="shared" si="5"/>
        <v>800</v>
      </c>
      <c r="F418" s="22"/>
    </row>
    <row r="419" spans="1:6" ht="15.6" x14ac:dyDescent="0.3">
      <c r="A419" s="29"/>
      <c r="B419" s="25"/>
      <c r="C419" s="25"/>
      <c r="D419" s="73"/>
      <c r="E419" s="93">
        <f t="shared" si="5"/>
        <v>0</v>
      </c>
      <c r="F419" s="22"/>
    </row>
    <row r="420" spans="1:6" ht="15.6" x14ac:dyDescent="0.3">
      <c r="A420" s="29"/>
      <c r="B420" s="27"/>
      <c r="C420" s="27"/>
      <c r="D420" s="73"/>
      <c r="E420" s="93">
        <f t="shared" si="5"/>
        <v>0</v>
      </c>
      <c r="F420" s="22"/>
    </row>
    <row r="421" spans="1:6" ht="15.6" x14ac:dyDescent="0.3">
      <c r="A421" s="29"/>
      <c r="B421" s="27"/>
      <c r="C421" s="28"/>
      <c r="D421" s="73"/>
      <c r="E421" s="93">
        <f t="shared" si="5"/>
        <v>0</v>
      </c>
      <c r="F421" s="22"/>
    </row>
    <row r="422" spans="1:6" ht="15.6" x14ac:dyDescent="0.3">
      <c r="A422" s="29"/>
      <c r="B422" s="27"/>
      <c r="C422" s="28"/>
      <c r="D422" s="73"/>
      <c r="E422" s="93">
        <f t="shared" si="5"/>
        <v>0</v>
      </c>
      <c r="F422" s="22"/>
    </row>
    <row r="423" spans="1:6" ht="15.6" x14ac:dyDescent="0.3">
      <c r="A423" s="29"/>
      <c r="B423" s="27"/>
      <c r="C423" s="28"/>
      <c r="D423" s="94"/>
      <c r="E423" s="93">
        <f t="shared" si="5"/>
        <v>0</v>
      </c>
      <c r="F423" s="22"/>
    </row>
    <row r="424" spans="1:6" ht="15.6" x14ac:dyDescent="0.3">
      <c r="A424" s="26"/>
      <c r="B424" s="27"/>
      <c r="C424" s="27"/>
      <c r="D424" s="73"/>
      <c r="E424" s="93">
        <f t="shared" si="5"/>
        <v>0</v>
      </c>
      <c r="F424" s="22"/>
    </row>
    <row r="425" spans="1:6" ht="15.6" x14ac:dyDescent="0.3">
      <c r="A425" s="26"/>
      <c r="B425" s="27"/>
      <c r="C425" s="27"/>
      <c r="D425" s="73"/>
      <c r="E425" s="93">
        <f t="shared" si="5"/>
        <v>0</v>
      </c>
      <c r="F425" s="22"/>
    </row>
    <row r="426" spans="1:6" ht="15.6" x14ac:dyDescent="0.3">
      <c r="A426" s="26"/>
      <c r="B426" s="25"/>
      <c r="C426" s="25"/>
      <c r="D426" s="73"/>
      <c r="E426" s="93">
        <f t="shared" si="5"/>
        <v>0</v>
      </c>
      <c r="F426" s="22"/>
    </row>
    <row r="427" spans="1:6" ht="15.6" x14ac:dyDescent="0.3">
      <c r="A427" s="26"/>
      <c r="B427" s="25"/>
      <c r="C427" s="25"/>
      <c r="D427" s="73"/>
      <c r="E427" s="93">
        <f t="shared" si="5"/>
        <v>0</v>
      </c>
      <c r="F427" s="22"/>
    </row>
    <row r="428" spans="1:6" ht="15.6" x14ac:dyDescent="0.3">
      <c r="A428" s="26"/>
      <c r="B428" s="25"/>
      <c r="C428" s="25"/>
      <c r="D428" s="73"/>
      <c r="E428" s="93">
        <f t="shared" si="5"/>
        <v>0</v>
      </c>
      <c r="F428" s="22"/>
    </row>
    <row r="429" spans="1:6" ht="15.6" x14ac:dyDescent="0.3">
      <c r="A429" s="26"/>
      <c r="B429" s="25"/>
      <c r="C429" s="25"/>
      <c r="D429" s="73"/>
      <c r="E429" s="93">
        <f t="shared" si="5"/>
        <v>0</v>
      </c>
      <c r="F429" s="22"/>
    </row>
    <row r="430" spans="1:6" ht="15.6" x14ac:dyDescent="0.3">
      <c r="A430" s="26"/>
      <c r="B430" s="25"/>
      <c r="C430" s="25"/>
      <c r="D430" s="73"/>
      <c r="E430" s="93"/>
      <c r="F430" s="22"/>
    </row>
    <row r="431" spans="1:6" ht="15.6" x14ac:dyDescent="0.3">
      <c r="A431" s="21"/>
      <c r="B431" s="20"/>
      <c r="C431" s="20"/>
      <c r="D431" s="92"/>
      <c r="E431" s="91"/>
      <c r="F431" s="18"/>
    </row>
    <row r="432" spans="1:6" ht="17.399999999999999" x14ac:dyDescent="0.3">
      <c r="A432" s="17"/>
      <c r="B432" s="16"/>
      <c r="C432" s="294" t="s">
        <v>8</v>
      </c>
      <c r="D432" s="294"/>
      <c r="E432" s="15">
        <f>SUM(E417:E429)</f>
        <v>8670.7000000000007</v>
      </c>
      <c r="F432" s="14"/>
    </row>
    <row r="433" spans="1:6" ht="17.399999999999999" x14ac:dyDescent="0.3">
      <c r="A433" s="11"/>
      <c r="B433" s="10"/>
      <c r="C433" s="294" t="s">
        <v>7</v>
      </c>
      <c r="D433" s="294"/>
      <c r="E433" s="13">
        <f>+E432*0.16</f>
        <v>1387.3120000000001</v>
      </c>
      <c r="F433" s="12"/>
    </row>
    <row r="434" spans="1:6" ht="17.399999999999999" x14ac:dyDescent="0.3">
      <c r="A434" s="11"/>
      <c r="B434" s="10"/>
      <c r="C434" s="294" t="s">
        <v>6</v>
      </c>
      <c r="D434" s="294"/>
      <c r="E434" s="8">
        <f>+E432+E433</f>
        <v>10058.012000000001</v>
      </c>
      <c r="F434" s="7"/>
    </row>
    <row r="435" spans="1:6" ht="15.6" x14ac:dyDescent="0.3">
      <c r="A435" s="6" t="s">
        <v>5</v>
      </c>
      <c r="B435" s="5"/>
      <c r="C435" s="5" t="s">
        <v>4</v>
      </c>
      <c r="D435" s="5"/>
      <c r="E435" s="5"/>
      <c r="F435" s="4" t="s">
        <v>3</v>
      </c>
    </row>
    <row r="436" spans="1:6" ht="15.6" x14ac:dyDescent="0.3">
      <c r="A436" s="3" t="s">
        <v>2</v>
      </c>
      <c r="B436" s="2"/>
      <c r="C436" s="2" t="s">
        <v>1</v>
      </c>
      <c r="D436" s="2"/>
      <c r="E436" s="2"/>
      <c r="F436" s="1" t="s">
        <v>70</v>
      </c>
    </row>
    <row r="439" spans="1:6" ht="30" x14ac:dyDescent="0.4">
      <c r="A439" s="55"/>
      <c r="B439" s="271" t="s">
        <v>38</v>
      </c>
      <c r="C439" s="272"/>
      <c r="D439" s="54"/>
      <c r="E439" s="305" t="s">
        <v>37</v>
      </c>
      <c r="F439" s="307"/>
    </row>
    <row r="440" spans="1:6" ht="30" x14ac:dyDescent="0.4">
      <c r="A440" s="53"/>
      <c r="B440" s="273"/>
      <c r="C440" s="274"/>
      <c r="D440" s="52"/>
      <c r="E440" s="51" t="s">
        <v>36</v>
      </c>
      <c r="F440" s="50" t="s">
        <v>160</v>
      </c>
    </row>
    <row r="441" spans="1:6" ht="30" x14ac:dyDescent="0.4">
      <c r="A441" s="49"/>
      <c r="B441" s="275"/>
      <c r="C441" s="276"/>
      <c r="D441" s="48"/>
      <c r="E441" s="47" t="s">
        <v>34</v>
      </c>
      <c r="F441" s="46" t="s">
        <v>166</v>
      </c>
    </row>
    <row r="442" spans="1:6" ht="20.399999999999999" x14ac:dyDescent="0.35">
      <c r="A442" s="39" t="s">
        <v>32</v>
      </c>
      <c r="B442" s="43" t="s">
        <v>47</v>
      </c>
      <c r="C442" s="42"/>
      <c r="D442" s="42"/>
      <c r="E442" s="98"/>
      <c r="F442" s="97"/>
    </row>
    <row r="443" spans="1:6" ht="20.399999999999999" x14ac:dyDescent="0.35">
      <c r="A443" s="39" t="s">
        <v>30</v>
      </c>
      <c r="B443" s="43" t="s">
        <v>165</v>
      </c>
      <c r="C443" s="42"/>
      <c r="D443" s="42"/>
      <c r="E443" s="41"/>
      <c r="F443" s="40"/>
    </row>
    <row r="444" spans="1:6" ht="20.399999999999999" x14ac:dyDescent="0.35">
      <c r="A444" s="39" t="s">
        <v>73</v>
      </c>
      <c r="B444" s="38" t="s">
        <v>158</v>
      </c>
      <c r="C444" s="37"/>
      <c r="D444" s="37"/>
      <c r="E444" s="41"/>
      <c r="F444" s="40"/>
    </row>
    <row r="445" spans="1:6" ht="20.399999999999999" x14ac:dyDescent="0.35">
      <c r="A445" s="39" t="s">
        <v>28</v>
      </c>
      <c r="B445" s="38" t="s">
        <v>164</v>
      </c>
      <c r="C445" s="37"/>
      <c r="D445" s="37"/>
      <c r="E445" s="36"/>
      <c r="F445" s="35"/>
    </row>
    <row r="446" spans="1:6" ht="15" x14ac:dyDescent="0.3">
      <c r="A446" s="34" t="s">
        <v>26</v>
      </c>
      <c r="B446" s="34" t="s">
        <v>25</v>
      </c>
      <c r="C446" s="34" t="s">
        <v>24</v>
      </c>
      <c r="D446" s="34" t="s">
        <v>23</v>
      </c>
      <c r="E446" s="34" t="s">
        <v>22</v>
      </c>
      <c r="F446" s="34" t="s">
        <v>21</v>
      </c>
    </row>
    <row r="447" spans="1:6" ht="31.2" x14ac:dyDescent="0.3">
      <c r="A447" s="33">
        <v>4</v>
      </c>
      <c r="B447" s="32" t="s">
        <v>10</v>
      </c>
      <c r="C447" s="32" t="s">
        <v>163</v>
      </c>
      <c r="D447" s="96">
        <v>263.24</v>
      </c>
      <c r="E447" s="96">
        <f t="shared" ref="E447:E459" si="6">+A447*D447</f>
        <v>1052.96</v>
      </c>
      <c r="F447" s="22"/>
    </row>
    <row r="448" spans="1:6" ht="46.8" x14ac:dyDescent="0.3">
      <c r="A448" s="29">
        <v>4</v>
      </c>
      <c r="B448" s="25" t="s">
        <v>10</v>
      </c>
      <c r="C448" s="25" t="s">
        <v>162</v>
      </c>
      <c r="D448" s="93">
        <v>36.94</v>
      </c>
      <c r="E448" s="93">
        <f t="shared" si="6"/>
        <v>147.76</v>
      </c>
      <c r="F448" s="22"/>
    </row>
    <row r="449" spans="1:6" ht="31.2" x14ac:dyDescent="0.3">
      <c r="A449" s="29">
        <v>2</v>
      </c>
      <c r="B449" s="25" t="s">
        <v>10</v>
      </c>
      <c r="C449" s="25" t="s">
        <v>161</v>
      </c>
      <c r="D449" s="93">
        <v>1196.1199999999999</v>
      </c>
      <c r="E449" s="93">
        <f t="shared" si="6"/>
        <v>2392.2399999999998</v>
      </c>
      <c r="F449" s="22"/>
    </row>
    <row r="450" spans="1:6" ht="15.6" x14ac:dyDescent="0.3">
      <c r="A450" s="29"/>
      <c r="B450" s="27"/>
      <c r="C450" s="27"/>
      <c r="D450" s="93"/>
      <c r="E450" s="93">
        <f t="shared" si="6"/>
        <v>0</v>
      </c>
      <c r="F450" s="22"/>
    </row>
    <row r="451" spans="1:6" ht="15.6" x14ac:dyDescent="0.3">
      <c r="A451" s="29"/>
      <c r="B451" s="27"/>
      <c r="C451" s="28"/>
      <c r="D451" s="93"/>
      <c r="E451" s="93">
        <f t="shared" si="6"/>
        <v>0</v>
      </c>
      <c r="F451" s="22"/>
    </row>
    <row r="452" spans="1:6" ht="15.6" x14ac:dyDescent="0.3">
      <c r="A452" s="29"/>
      <c r="B452" s="27"/>
      <c r="C452" s="28"/>
      <c r="D452" s="73"/>
      <c r="E452" s="93">
        <f t="shared" si="6"/>
        <v>0</v>
      </c>
      <c r="F452" s="22"/>
    </row>
    <row r="453" spans="1:6" ht="15.6" x14ac:dyDescent="0.3">
      <c r="A453" s="29"/>
      <c r="B453" s="27"/>
      <c r="C453" s="28"/>
      <c r="D453" s="94"/>
      <c r="E453" s="93">
        <f t="shared" si="6"/>
        <v>0</v>
      </c>
      <c r="F453" s="22"/>
    </row>
    <row r="454" spans="1:6" ht="15.6" x14ac:dyDescent="0.3">
      <c r="A454" s="26"/>
      <c r="B454" s="27"/>
      <c r="C454" s="27"/>
      <c r="D454" s="73"/>
      <c r="E454" s="93">
        <f t="shared" si="6"/>
        <v>0</v>
      </c>
      <c r="F454" s="22"/>
    </row>
    <row r="455" spans="1:6" ht="15.6" x14ac:dyDescent="0.3">
      <c r="A455" s="26"/>
      <c r="B455" s="27"/>
      <c r="C455" s="27"/>
      <c r="D455" s="73"/>
      <c r="E455" s="93">
        <f t="shared" si="6"/>
        <v>0</v>
      </c>
      <c r="F455" s="22"/>
    </row>
    <row r="456" spans="1:6" ht="15.6" x14ac:dyDescent="0.3">
      <c r="A456" s="26"/>
      <c r="B456" s="25"/>
      <c r="C456" s="25"/>
      <c r="D456" s="73"/>
      <c r="E456" s="93">
        <f t="shared" si="6"/>
        <v>0</v>
      </c>
      <c r="F456" s="22"/>
    </row>
    <row r="457" spans="1:6" ht="15.6" x14ac:dyDescent="0.3">
      <c r="A457" s="26"/>
      <c r="B457" s="25"/>
      <c r="C457" s="25"/>
      <c r="D457" s="73"/>
      <c r="E457" s="93">
        <f t="shared" si="6"/>
        <v>0</v>
      </c>
      <c r="F457" s="22"/>
    </row>
    <row r="458" spans="1:6" ht="15.6" x14ac:dyDescent="0.3">
      <c r="A458" s="26"/>
      <c r="B458" s="25"/>
      <c r="C458" s="25"/>
      <c r="D458" s="73"/>
      <c r="E458" s="93">
        <f t="shared" si="6"/>
        <v>0</v>
      </c>
      <c r="F458" s="22"/>
    </row>
    <row r="459" spans="1:6" ht="15.6" x14ac:dyDescent="0.3">
      <c r="A459" s="26"/>
      <c r="B459" s="25"/>
      <c r="C459" s="25"/>
      <c r="D459" s="73"/>
      <c r="E459" s="93">
        <f t="shared" si="6"/>
        <v>0</v>
      </c>
      <c r="F459" s="22"/>
    </row>
    <row r="460" spans="1:6" ht="15.6" x14ac:dyDescent="0.3">
      <c r="A460" s="26"/>
      <c r="B460" s="25"/>
      <c r="C460" s="25"/>
      <c r="D460" s="73"/>
      <c r="E460" s="93"/>
      <c r="F460" s="22"/>
    </row>
    <row r="461" spans="1:6" ht="15.6" x14ac:dyDescent="0.3">
      <c r="A461" s="21"/>
      <c r="B461" s="20"/>
      <c r="C461" s="20"/>
      <c r="D461" s="92"/>
      <c r="E461" s="91"/>
      <c r="F461" s="18"/>
    </row>
    <row r="462" spans="1:6" ht="17.399999999999999" x14ac:dyDescent="0.3">
      <c r="A462" s="17"/>
      <c r="B462" s="16"/>
      <c r="C462" s="294" t="s">
        <v>8</v>
      </c>
      <c r="D462" s="294"/>
      <c r="E462" s="15">
        <f>SUM(E447:E459)</f>
        <v>3592.96</v>
      </c>
      <c r="F462" s="14"/>
    </row>
    <row r="463" spans="1:6" ht="17.399999999999999" x14ac:dyDescent="0.3">
      <c r="A463" s="11"/>
      <c r="B463" s="10"/>
      <c r="C463" s="294" t="s">
        <v>7</v>
      </c>
      <c r="D463" s="294"/>
      <c r="E463" s="13">
        <f>+E462*0.16</f>
        <v>574.87360000000001</v>
      </c>
      <c r="F463" s="12"/>
    </row>
    <row r="464" spans="1:6" ht="17.399999999999999" x14ac:dyDescent="0.3">
      <c r="A464" s="11"/>
      <c r="B464" s="10"/>
      <c r="C464" s="294" t="s">
        <v>6</v>
      </c>
      <c r="D464" s="294"/>
      <c r="E464" s="8">
        <f>+E462+E463</f>
        <v>4167.8335999999999</v>
      </c>
      <c r="F464" s="7"/>
    </row>
    <row r="465" spans="1:6" ht="15.6" x14ac:dyDescent="0.3">
      <c r="A465" s="6" t="s">
        <v>5</v>
      </c>
      <c r="B465" s="5"/>
      <c r="C465" s="5" t="s">
        <v>4</v>
      </c>
      <c r="D465" s="5"/>
      <c r="E465" s="5"/>
      <c r="F465" s="4" t="s">
        <v>3</v>
      </c>
    </row>
    <row r="466" spans="1:6" ht="15.6" x14ac:dyDescent="0.3">
      <c r="A466" s="3" t="s">
        <v>2</v>
      </c>
      <c r="B466" s="2"/>
      <c r="C466" s="2" t="s">
        <v>1</v>
      </c>
      <c r="D466" s="2"/>
      <c r="E466" s="2"/>
      <c r="F466" s="1" t="s">
        <v>70</v>
      </c>
    </row>
    <row r="469" spans="1:6" ht="30" x14ac:dyDescent="0.4">
      <c r="A469" s="55"/>
      <c r="B469" s="271" t="s">
        <v>38</v>
      </c>
      <c r="C469" s="272"/>
      <c r="D469" s="54"/>
      <c r="E469" s="305" t="s">
        <v>37</v>
      </c>
      <c r="F469" s="307"/>
    </row>
    <row r="470" spans="1:6" ht="30" x14ac:dyDescent="0.4">
      <c r="A470" s="53"/>
      <c r="B470" s="273"/>
      <c r="C470" s="274"/>
      <c r="D470" s="52"/>
      <c r="E470" s="51" t="s">
        <v>36</v>
      </c>
      <c r="F470" s="50" t="s">
        <v>160</v>
      </c>
    </row>
    <row r="471" spans="1:6" ht="30" x14ac:dyDescent="0.4">
      <c r="A471" s="49"/>
      <c r="B471" s="275"/>
      <c r="C471" s="276"/>
      <c r="D471" s="48"/>
      <c r="E471" s="47" t="s">
        <v>34</v>
      </c>
      <c r="F471" s="46" t="s">
        <v>159</v>
      </c>
    </row>
    <row r="472" spans="1:6" ht="20.399999999999999" x14ac:dyDescent="0.35">
      <c r="A472" s="39" t="s">
        <v>32</v>
      </c>
      <c r="B472" s="43" t="s">
        <v>0</v>
      </c>
      <c r="C472" s="42"/>
      <c r="D472" s="42"/>
      <c r="E472" s="98"/>
      <c r="F472" s="97"/>
    </row>
    <row r="473" spans="1:6" ht="20.399999999999999" x14ac:dyDescent="0.35">
      <c r="A473" s="39" t="s">
        <v>30</v>
      </c>
      <c r="B473" s="43"/>
      <c r="C473" s="42"/>
      <c r="D473" s="42"/>
      <c r="E473" s="41"/>
      <c r="F473" s="40"/>
    </row>
    <row r="474" spans="1:6" ht="20.399999999999999" x14ac:dyDescent="0.35">
      <c r="A474" s="39" t="s">
        <v>73</v>
      </c>
      <c r="B474" s="38" t="s">
        <v>158</v>
      </c>
      <c r="C474" s="37"/>
      <c r="D474" s="37"/>
      <c r="E474" s="41"/>
      <c r="F474" s="40"/>
    </row>
    <row r="475" spans="1:6" ht="20.399999999999999" x14ac:dyDescent="0.35">
      <c r="A475" s="39" t="s">
        <v>28</v>
      </c>
      <c r="B475" s="38" t="s">
        <v>157</v>
      </c>
      <c r="C475" s="37"/>
      <c r="D475" s="37"/>
      <c r="E475" s="36"/>
      <c r="F475" s="35"/>
    </row>
    <row r="476" spans="1:6" ht="15" x14ac:dyDescent="0.3">
      <c r="A476" s="34" t="s">
        <v>26</v>
      </c>
      <c r="B476" s="34" t="s">
        <v>25</v>
      </c>
      <c r="C476" s="34" t="s">
        <v>24</v>
      </c>
      <c r="D476" s="34" t="s">
        <v>23</v>
      </c>
      <c r="E476" s="34" t="s">
        <v>22</v>
      </c>
      <c r="F476" s="34" t="s">
        <v>21</v>
      </c>
    </row>
    <row r="477" spans="1:6" ht="15.6" x14ac:dyDescent="0.3">
      <c r="A477" s="33">
        <v>2</v>
      </c>
      <c r="B477" s="32" t="s">
        <v>155</v>
      </c>
      <c r="C477" s="32" t="s">
        <v>156</v>
      </c>
      <c r="D477" s="96">
        <v>360.3</v>
      </c>
      <c r="E477" s="96">
        <f t="shared" ref="E477:E489" si="7">+A477*D477</f>
        <v>720.6</v>
      </c>
      <c r="F477" s="22"/>
    </row>
    <row r="478" spans="1:6" ht="15.6" x14ac:dyDescent="0.3">
      <c r="A478" s="29">
        <v>3</v>
      </c>
      <c r="B478" s="25" t="s">
        <v>155</v>
      </c>
      <c r="C478" s="95" t="s">
        <v>154</v>
      </c>
      <c r="D478" s="93">
        <v>480.8</v>
      </c>
      <c r="E478" s="93">
        <f t="shared" si="7"/>
        <v>1442.4</v>
      </c>
      <c r="F478" s="22"/>
    </row>
    <row r="479" spans="1:6" ht="15.6" x14ac:dyDescent="0.3">
      <c r="A479" s="29"/>
      <c r="B479" s="25"/>
      <c r="C479" s="25"/>
      <c r="D479" s="93"/>
      <c r="E479" s="93">
        <f t="shared" si="7"/>
        <v>0</v>
      </c>
      <c r="F479" s="22"/>
    </row>
    <row r="480" spans="1:6" ht="15.6" x14ac:dyDescent="0.3">
      <c r="A480" s="29"/>
      <c r="B480" s="27"/>
      <c r="C480" s="27"/>
      <c r="D480" s="93"/>
      <c r="E480" s="93">
        <f t="shared" si="7"/>
        <v>0</v>
      </c>
      <c r="F480" s="22"/>
    </row>
    <row r="481" spans="1:6" ht="15.6" x14ac:dyDescent="0.3">
      <c r="A481" s="29"/>
      <c r="B481" s="27"/>
      <c r="C481" s="28"/>
      <c r="D481" s="73"/>
      <c r="E481" s="93">
        <f t="shared" si="7"/>
        <v>0</v>
      </c>
      <c r="F481" s="22"/>
    </row>
    <row r="482" spans="1:6" ht="15.6" x14ac:dyDescent="0.3">
      <c r="A482" s="29"/>
      <c r="B482" s="27"/>
      <c r="C482" s="28"/>
      <c r="D482" s="73"/>
      <c r="E482" s="93">
        <f t="shared" si="7"/>
        <v>0</v>
      </c>
      <c r="F482" s="22"/>
    </row>
    <row r="483" spans="1:6" ht="15.6" x14ac:dyDescent="0.3">
      <c r="A483" s="29"/>
      <c r="B483" s="27"/>
      <c r="C483" s="28"/>
      <c r="D483" s="94"/>
      <c r="E483" s="93">
        <f t="shared" si="7"/>
        <v>0</v>
      </c>
      <c r="F483" s="22"/>
    </row>
    <row r="484" spans="1:6" ht="15.6" x14ac:dyDescent="0.3">
      <c r="A484" s="26"/>
      <c r="B484" s="27"/>
      <c r="C484" s="27"/>
      <c r="D484" s="73"/>
      <c r="E484" s="93">
        <f t="shared" si="7"/>
        <v>0</v>
      </c>
      <c r="F484" s="22"/>
    </row>
    <row r="485" spans="1:6" ht="15.6" x14ac:dyDescent="0.3">
      <c r="A485" s="26"/>
      <c r="B485" s="27"/>
      <c r="C485" s="27"/>
      <c r="D485" s="73"/>
      <c r="E485" s="93">
        <f t="shared" si="7"/>
        <v>0</v>
      </c>
      <c r="F485" s="22"/>
    </row>
    <row r="486" spans="1:6" ht="15.6" x14ac:dyDescent="0.3">
      <c r="A486" s="26"/>
      <c r="B486" s="25"/>
      <c r="C486" s="25"/>
      <c r="D486" s="73"/>
      <c r="E486" s="93">
        <f t="shared" si="7"/>
        <v>0</v>
      </c>
      <c r="F486" s="22"/>
    </row>
    <row r="487" spans="1:6" ht="15.6" x14ac:dyDescent="0.3">
      <c r="A487" s="26"/>
      <c r="B487" s="25"/>
      <c r="C487" s="25"/>
      <c r="D487" s="73"/>
      <c r="E487" s="93">
        <f t="shared" si="7"/>
        <v>0</v>
      </c>
      <c r="F487" s="22"/>
    </row>
    <row r="488" spans="1:6" ht="15.6" x14ac:dyDescent="0.3">
      <c r="A488" s="26"/>
      <c r="B488" s="25"/>
      <c r="C488" s="25"/>
      <c r="D488" s="73"/>
      <c r="E488" s="93">
        <f t="shared" si="7"/>
        <v>0</v>
      </c>
      <c r="F488" s="22"/>
    </row>
    <row r="489" spans="1:6" ht="15.6" x14ac:dyDescent="0.3">
      <c r="A489" s="26"/>
      <c r="B489" s="25"/>
      <c r="C489" s="25"/>
      <c r="D489" s="73"/>
      <c r="E489" s="93">
        <f t="shared" si="7"/>
        <v>0</v>
      </c>
      <c r="F489" s="22"/>
    </row>
    <row r="490" spans="1:6" ht="15.6" x14ac:dyDescent="0.3">
      <c r="A490" s="26"/>
      <c r="B490" s="25"/>
      <c r="C490" s="25"/>
      <c r="D490" s="73"/>
      <c r="E490" s="93"/>
      <c r="F490" s="22"/>
    </row>
    <row r="491" spans="1:6" ht="15.6" x14ac:dyDescent="0.3">
      <c r="A491" s="21"/>
      <c r="B491" s="20"/>
      <c r="C491" s="20"/>
      <c r="D491" s="92"/>
      <c r="E491" s="91"/>
      <c r="F491" s="18"/>
    </row>
    <row r="492" spans="1:6" ht="17.399999999999999" x14ac:dyDescent="0.3">
      <c r="A492" s="17"/>
      <c r="B492" s="16"/>
      <c r="C492" s="294" t="s">
        <v>8</v>
      </c>
      <c r="D492" s="294"/>
      <c r="E492" s="15">
        <f>SUM(E477:E489)</f>
        <v>2163</v>
      </c>
      <c r="F492" s="14"/>
    </row>
    <row r="493" spans="1:6" ht="17.399999999999999" x14ac:dyDescent="0.3">
      <c r="A493" s="11"/>
      <c r="B493" s="10"/>
      <c r="C493" s="294" t="s">
        <v>7</v>
      </c>
      <c r="D493" s="294"/>
      <c r="E493" s="13">
        <f>+E492*0.16</f>
        <v>346.08</v>
      </c>
      <c r="F493" s="12"/>
    </row>
    <row r="494" spans="1:6" ht="17.399999999999999" x14ac:dyDescent="0.3">
      <c r="A494" s="11"/>
      <c r="B494" s="10"/>
      <c r="C494" s="294" t="s">
        <v>6</v>
      </c>
      <c r="D494" s="294"/>
      <c r="E494" s="8">
        <f>+E492+E493</f>
        <v>2509.08</v>
      </c>
      <c r="F494" s="7"/>
    </row>
    <row r="495" spans="1:6" ht="15.6" x14ac:dyDescent="0.3">
      <c r="A495" s="6" t="s">
        <v>5</v>
      </c>
      <c r="B495" s="5"/>
      <c r="C495" s="5" t="s">
        <v>4</v>
      </c>
      <c r="D495" s="5"/>
      <c r="E495" s="5"/>
      <c r="F495" s="4" t="s">
        <v>3</v>
      </c>
    </row>
    <row r="496" spans="1:6" ht="15.6" x14ac:dyDescent="0.3">
      <c r="A496" s="3" t="s">
        <v>2</v>
      </c>
      <c r="B496" s="2"/>
      <c r="C496" s="2" t="s">
        <v>1</v>
      </c>
      <c r="D496" s="2"/>
      <c r="E496" s="2"/>
      <c r="F496" s="1" t="s">
        <v>70</v>
      </c>
    </row>
    <row r="499" spans="1:6" ht="30" x14ac:dyDescent="0.4">
      <c r="A499" s="55"/>
      <c r="B499" s="271" t="s">
        <v>38</v>
      </c>
      <c r="C499" s="272"/>
      <c r="D499" s="54"/>
      <c r="E499" s="305" t="s">
        <v>37</v>
      </c>
      <c r="F499" s="307"/>
    </row>
    <row r="500" spans="1:6" ht="30" x14ac:dyDescent="0.4">
      <c r="A500" s="53"/>
      <c r="B500" s="273"/>
      <c r="C500" s="274"/>
      <c r="D500" s="52"/>
      <c r="E500" s="51" t="s">
        <v>36</v>
      </c>
      <c r="F500" s="50" t="s">
        <v>151</v>
      </c>
    </row>
    <row r="501" spans="1:6" ht="30" x14ac:dyDescent="0.4">
      <c r="A501" s="49"/>
      <c r="B501" s="275"/>
      <c r="C501" s="276"/>
      <c r="D501" s="48"/>
      <c r="E501" s="47" t="s">
        <v>34</v>
      </c>
      <c r="F501" s="46" t="s">
        <v>153</v>
      </c>
    </row>
    <row r="502" spans="1:6" ht="20.399999999999999" x14ac:dyDescent="0.35">
      <c r="A502" s="39" t="s">
        <v>32</v>
      </c>
      <c r="B502" s="43" t="s">
        <v>47</v>
      </c>
      <c r="C502" s="42"/>
      <c r="D502" s="42"/>
      <c r="E502" s="98"/>
      <c r="F502" s="97"/>
    </row>
    <row r="503" spans="1:6" ht="20.399999999999999" x14ac:dyDescent="0.35">
      <c r="A503" s="39" t="s">
        <v>30</v>
      </c>
      <c r="B503" s="43" t="s">
        <v>149</v>
      </c>
      <c r="C503" s="42"/>
      <c r="D503" s="42"/>
      <c r="E503" s="41"/>
      <c r="F503" s="40"/>
    </row>
    <row r="504" spans="1:6" ht="20.399999999999999" x14ac:dyDescent="0.35">
      <c r="A504" s="39"/>
      <c r="B504" s="38"/>
      <c r="C504" s="37"/>
      <c r="D504" s="37"/>
      <c r="E504" s="41"/>
      <c r="F504" s="40"/>
    </row>
    <row r="505" spans="1:6" ht="20.399999999999999" x14ac:dyDescent="0.35">
      <c r="A505" s="39" t="s">
        <v>28</v>
      </c>
      <c r="B505" s="38" t="s">
        <v>77</v>
      </c>
      <c r="C505" s="37"/>
      <c r="D505" s="37"/>
      <c r="E505" s="36"/>
      <c r="F505" s="35"/>
    </row>
    <row r="506" spans="1:6" ht="15" x14ac:dyDescent="0.3">
      <c r="A506" s="34" t="s">
        <v>26</v>
      </c>
      <c r="B506" s="34" t="s">
        <v>25</v>
      </c>
      <c r="C506" s="34" t="s">
        <v>24</v>
      </c>
      <c r="D506" s="34" t="s">
        <v>23</v>
      </c>
      <c r="E506" s="34" t="s">
        <v>22</v>
      </c>
      <c r="F506" s="34" t="s">
        <v>21</v>
      </c>
    </row>
    <row r="507" spans="1:6" ht="31.2" x14ac:dyDescent="0.3">
      <c r="A507" s="33">
        <v>20</v>
      </c>
      <c r="B507" s="32" t="s">
        <v>19</v>
      </c>
      <c r="C507" s="32" t="s">
        <v>152</v>
      </c>
      <c r="D507" s="96">
        <v>320.14</v>
      </c>
      <c r="E507" s="96">
        <f>+A507*D507</f>
        <v>6402.7999999999993</v>
      </c>
      <c r="F507" s="22"/>
    </row>
    <row r="508" spans="1:6" ht="15.6" x14ac:dyDescent="0.3">
      <c r="A508" s="29"/>
      <c r="B508" s="25"/>
      <c r="C508" s="25"/>
      <c r="D508" s="72"/>
      <c r="E508" s="93"/>
      <c r="F508" s="22"/>
    </row>
    <row r="509" spans="1:6" ht="15.6" x14ac:dyDescent="0.3">
      <c r="A509" s="29"/>
      <c r="B509" s="25"/>
      <c r="C509" s="25"/>
      <c r="D509" s="72"/>
      <c r="E509" s="93"/>
      <c r="F509" s="22"/>
    </row>
    <row r="510" spans="1:6" ht="15.6" x14ac:dyDescent="0.3">
      <c r="A510" s="29"/>
      <c r="B510" s="27"/>
      <c r="C510" s="27"/>
      <c r="D510" s="99"/>
      <c r="E510" s="93"/>
      <c r="F510" s="22"/>
    </row>
    <row r="511" spans="1:6" ht="15.6" x14ac:dyDescent="0.3">
      <c r="A511" s="29"/>
      <c r="B511" s="27"/>
      <c r="C511" s="28"/>
      <c r="D511" s="99"/>
      <c r="E511" s="93"/>
      <c r="F511" s="22"/>
    </row>
    <row r="512" spans="1:6" ht="15.6" x14ac:dyDescent="0.3">
      <c r="A512" s="29"/>
      <c r="B512" s="27"/>
      <c r="C512" s="28"/>
      <c r="D512" s="99"/>
      <c r="E512" s="93"/>
      <c r="F512" s="22"/>
    </row>
    <row r="513" spans="1:6" ht="15.6" x14ac:dyDescent="0.3">
      <c r="A513" s="29"/>
      <c r="B513" s="27"/>
      <c r="C513" s="28"/>
      <c r="D513" s="27"/>
      <c r="E513" s="102"/>
      <c r="F513" s="22"/>
    </row>
    <row r="514" spans="1:6" ht="15.6" x14ac:dyDescent="0.3">
      <c r="A514" s="26"/>
      <c r="B514" s="27"/>
      <c r="C514" s="27"/>
      <c r="D514" s="99"/>
      <c r="E514" s="93"/>
      <c r="F514" s="22"/>
    </row>
    <row r="515" spans="1:6" ht="15.6" x14ac:dyDescent="0.3">
      <c r="A515" s="26"/>
      <c r="B515" s="27"/>
      <c r="C515" s="27"/>
      <c r="D515" s="99"/>
      <c r="E515" s="93"/>
      <c r="F515" s="22"/>
    </row>
    <row r="516" spans="1:6" ht="15.6" x14ac:dyDescent="0.3">
      <c r="A516" s="26"/>
      <c r="B516" s="25"/>
      <c r="C516" s="25"/>
      <c r="D516" s="72"/>
      <c r="E516" s="93"/>
      <c r="F516" s="22"/>
    </row>
    <row r="517" spans="1:6" ht="15.6" x14ac:dyDescent="0.3">
      <c r="A517" s="26"/>
      <c r="B517" s="25"/>
      <c r="C517" s="25"/>
      <c r="D517" s="72"/>
      <c r="E517" s="93"/>
      <c r="F517" s="22"/>
    </row>
    <row r="518" spans="1:6" ht="15.6" x14ac:dyDescent="0.3">
      <c r="A518" s="26"/>
      <c r="B518" s="25"/>
      <c r="C518" s="25"/>
      <c r="D518" s="72"/>
      <c r="E518" s="93"/>
      <c r="F518" s="22"/>
    </row>
    <row r="519" spans="1:6" ht="15.6" x14ac:dyDescent="0.3">
      <c r="A519" s="26"/>
      <c r="B519" s="25"/>
      <c r="C519" s="25"/>
      <c r="D519" s="72"/>
      <c r="E519" s="93"/>
      <c r="F519" s="22"/>
    </row>
    <row r="520" spans="1:6" ht="15.6" x14ac:dyDescent="0.3">
      <c r="A520" s="26"/>
      <c r="B520" s="25"/>
      <c r="C520" s="25"/>
      <c r="D520" s="72"/>
      <c r="E520" s="93"/>
      <c r="F520" s="22"/>
    </row>
    <row r="521" spans="1:6" ht="15.6" x14ac:dyDescent="0.3">
      <c r="A521" s="21"/>
      <c r="B521" s="20"/>
      <c r="C521" s="20"/>
      <c r="D521" s="69"/>
      <c r="E521" s="91"/>
      <c r="F521" s="18"/>
    </row>
    <row r="522" spans="1:6" ht="17.399999999999999" x14ac:dyDescent="0.3">
      <c r="A522" s="17"/>
      <c r="B522" s="16"/>
      <c r="C522" s="294" t="s">
        <v>8</v>
      </c>
      <c r="D522" s="294"/>
      <c r="E522" s="15">
        <f>+E507</f>
        <v>6402.7999999999993</v>
      </c>
      <c r="F522" s="14"/>
    </row>
    <row r="523" spans="1:6" ht="17.399999999999999" x14ac:dyDescent="0.3">
      <c r="A523" s="11"/>
      <c r="B523" s="10"/>
      <c r="C523" s="294" t="s">
        <v>7</v>
      </c>
      <c r="D523" s="294"/>
      <c r="E523" s="13">
        <f>+E522*0.16</f>
        <v>1024.4479999999999</v>
      </c>
      <c r="F523" s="12"/>
    </row>
    <row r="524" spans="1:6" ht="17.399999999999999" x14ac:dyDescent="0.3">
      <c r="A524" s="11"/>
      <c r="B524" s="10"/>
      <c r="C524" s="294" t="s">
        <v>6</v>
      </c>
      <c r="D524" s="294"/>
      <c r="E524" s="8">
        <f>+E522+E523</f>
        <v>7427.2479999999996</v>
      </c>
      <c r="F524" s="7"/>
    </row>
    <row r="525" spans="1:6" ht="15.6" x14ac:dyDescent="0.3">
      <c r="A525" s="6" t="s">
        <v>5</v>
      </c>
      <c r="B525" s="5"/>
      <c r="C525" s="5" t="s">
        <v>4</v>
      </c>
      <c r="D525" s="5"/>
      <c r="E525" s="5"/>
      <c r="F525" s="4" t="s">
        <v>3</v>
      </c>
    </row>
    <row r="526" spans="1:6" ht="15.6" x14ac:dyDescent="0.3">
      <c r="A526" s="3" t="s">
        <v>2</v>
      </c>
      <c r="B526" s="2"/>
      <c r="C526" s="2" t="s">
        <v>1</v>
      </c>
      <c r="D526" s="2"/>
      <c r="E526" s="2"/>
      <c r="F526" s="1" t="s">
        <v>70</v>
      </c>
    </row>
    <row r="530" spans="1:6" ht="30" x14ac:dyDescent="0.4">
      <c r="A530" s="55"/>
      <c r="B530" s="271" t="s">
        <v>38</v>
      </c>
      <c r="C530" s="272"/>
      <c r="D530" s="54"/>
      <c r="E530" s="305" t="s">
        <v>37</v>
      </c>
      <c r="F530" s="307"/>
    </row>
    <row r="531" spans="1:6" ht="30" x14ac:dyDescent="0.4">
      <c r="A531" s="53"/>
      <c r="B531" s="273"/>
      <c r="C531" s="274"/>
      <c r="D531" s="52"/>
      <c r="E531" s="51" t="s">
        <v>36</v>
      </c>
      <c r="F531" s="50" t="s">
        <v>151</v>
      </c>
    </row>
    <row r="532" spans="1:6" ht="30" x14ac:dyDescent="0.4">
      <c r="A532" s="49"/>
      <c r="B532" s="275"/>
      <c r="C532" s="276"/>
      <c r="D532" s="48"/>
      <c r="E532" s="47" t="s">
        <v>34</v>
      </c>
      <c r="F532" s="46" t="s">
        <v>150</v>
      </c>
    </row>
    <row r="533" spans="1:6" ht="20.399999999999999" x14ac:dyDescent="0.35">
      <c r="A533" s="39" t="s">
        <v>32</v>
      </c>
      <c r="B533" s="43" t="s">
        <v>47</v>
      </c>
      <c r="C533" s="42"/>
      <c r="D533" s="42"/>
      <c r="E533" s="98"/>
      <c r="F533" s="97"/>
    </row>
    <row r="534" spans="1:6" ht="20.399999999999999" x14ac:dyDescent="0.35">
      <c r="A534" s="39" t="s">
        <v>30</v>
      </c>
      <c r="B534" s="43" t="s">
        <v>149</v>
      </c>
      <c r="C534" s="42"/>
      <c r="D534" s="42"/>
      <c r="E534" s="41"/>
      <c r="F534" s="40"/>
    </row>
    <row r="535" spans="1:6" ht="20.399999999999999" x14ac:dyDescent="0.35">
      <c r="A535" s="39"/>
      <c r="B535" s="38"/>
      <c r="C535" s="37"/>
      <c r="D535" s="37"/>
      <c r="E535" s="41"/>
      <c r="F535" s="40"/>
    </row>
    <row r="536" spans="1:6" ht="20.399999999999999" x14ac:dyDescent="0.35">
      <c r="A536" s="39" t="s">
        <v>28</v>
      </c>
      <c r="B536" s="38" t="s">
        <v>77</v>
      </c>
      <c r="C536" s="37"/>
      <c r="D536" s="37"/>
      <c r="E536" s="36"/>
      <c r="F536" s="35"/>
    </row>
    <row r="537" spans="1:6" ht="15" x14ac:dyDescent="0.3">
      <c r="A537" s="34" t="s">
        <v>26</v>
      </c>
      <c r="B537" s="34" t="s">
        <v>25</v>
      </c>
      <c r="C537" s="34" t="s">
        <v>24</v>
      </c>
      <c r="D537" s="34" t="s">
        <v>23</v>
      </c>
      <c r="E537" s="34" t="s">
        <v>22</v>
      </c>
      <c r="F537" s="34" t="s">
        <v>21</v>
      </c>
    </row>
    <row r="538" spans="1:6" ht="31.2" x14ac:dyDescent="0.3">
      <c r="A538" s="33">
        <v>6</v>
      </c>
      <c r="B538" s="32" t="s">
        <v>19</v>
      </c>
      <c r="C538" s="32" t="s">
        <v>148</v>
      </c>
      <c r="D538" s="96">
        <v>132.59</v>
      </c>
      <c r="E538" s="96">
        <f>+A538*D538</f>
        <v>795.54</v>
      </c>
      <c r="F538" s="22"/>
    </row>
    <row r="539" spans="1:6" ht="15.6" x14ac:dyDescent="0.3">
      <c r="A539" s="29"/>
      <c r="B539" s="25"/>
      <c r="C539" s="25"/>
      <c r="D539" s="72"/>
      <c r="E539" s="93"/>
      <c r="F539" s="22"/>
    </row>
    <row r="540" spans="1:6" ht="15.6" x14ac:dyDescent="0.3">
      <c r="A540" s="29"/>
      <c r="B540" s="25"/>
      <c r="C540" s="25"/>
      <c r="D540" s="72"/>
      <c r="E540" s="93"/>
      <c r="F540" s="22"/>
    </row>
    <row r="541" spans="1:6" ht="15.6" x14ac:dyDescent="0.3">
      <c r="A541" s="29"/>
      <c r="B541" s="27"/>
      <c r="C541" s="27"/>
      <c r="D541" s="99"/>
      <c r="E541" s="93"/>
      <c r="F541" s="22"/>
    </row>
    <row r="542" spans="1:6" ht="15.6" x14ac:dyDescent="0.3">
      <c r="A542" s="29"/>
      <c r="B542" s="27"/>
      <c r="C542" s="28"/>
      <c r="D542" s="99"/>
      <c r="E542" s="93"/>
      <c r="F542" s="22"/>
    </row>
    <row r="543" spans="1:6" ht="15.6" x14ac:dyDescent="0.3">
      <c r="A543" s="29"/>
      <c r="B543" s="27"/>
      <c r="C543" s="28"/>
      <c r="D543" s="99"/>
      <c r="E543" s="93"/>
      <c r="F543" s="22"/>
    </row>
    <row r="544" spans="1:6" ht="15.6" x14ac:dyDescent="0.3">
      <c r="A544" s="29"/>
      <c r="B544" s="27"/>
      <c r="C544" s="28"/>
      <c r="D544" s="27"/>
      <c r="E544" s="102"/>
      <c r="F544" s="22"/>
    </row>
    <row r="545" spans="1:6" ht="15.6" x14ac:dyDescent="0.3">
      <c r="A545" s="26"/>
      <c r="B545" s="27"/>
      <c r="C545" s="27"/>
      <c r="D545" s="99"/>
      <c r="E545" s="93"/>
      <c r="F545" s="22"/>
    </row>
    <row r="546" spans="1:6" ht="15.6" x14ac:dyDescent="0.3">
      <c r="A546" s="26"/>
      <c r="B546" s="27"/>
      <c r="C546" s="27"/>
      <c r="D546" s="99"/>
      <c r="E546" s="93"/>
      <c r="F546" s="22"/>
    </row>
    <row r="547" spans="1:6" ht="15.6" x14ac:dyDescent="0.3">
      <c r="A547" s="26"/>
      <c r="B547" s="25"/>
      <c r="C547" s="25"/>
      <c r="D547" s="72"/>
      <c r="E547" s="93"/>
      <c r="F547" s="22"/>
    </row>
    <row r="548" spans="1:6" ht="15.6" x14ac:dyDescent="0.3">
      <c r="A548" s="26"/>
      <c r="B548" s="25"/>
      <c r="C548" s="25"/>
      <c r="D548" s="72"/>
      <c r="E548" s="93"/>
      <c r="F548" s="22"/>
    </row>
    <row r="549" spans="1:6" ht="15.6" x14ac:dyDescent="0.3">
      <c r="A549" s="26"/>
      <c r="B549" s="25"/>
      <c r="C549" s="25"/>
      <c r="D549" s="72"/>
      <c r="E549" s="93"/>
      <c r="F549" s="22"/>
    </row>
    <row r="550" spans="1:6" ht="15.6" x14ac:dyDescent="0.3">
      <c r="A550" s="26"/>
      <c r="B550" s="25"/>
      <c r="C550" s="25"/>
      <c r="D550" s="72"/>
      <c r="E550" s="93"/>
      <c r="F550" s="22"/>
    </row>
    <row r="551" spans="1:6" ht="15.6" x14ac:dyDescent="0.3">
      <c r="A551" s="26"/>
      <c r="B551" s="25"/>
      <c r="C551" s="25"/>
      <c r="D551" s="72"/>
      <c r="E551" s="93"/>
      <c r="F551" s="22"/>
    </row>
    <row r="552" spans="1:6" ht="15.6" x14ac:dyDescent="0.3">
      <c r="A552" s="21"/>
      <c r="B552" s="20"/>
      <c r="C552" s="20"/>
      <c r="D552" s="69"/>
      <c r="E552" s="91"/>
      <c r="F552" s="18"/>
    </row>
    <row r="553" spans="1:6" ht="17.399999999999999" x14ac:dyDescent="0.3">
      <c r="A553" s="17"/>
      <c r="B553" s="16"/>
      <c r="C553" s="294" t="s">
        <v>8</v>
      </c>
      <c r="D553" s="294"/>
      <c r="E553" s="15">
        <f>+E538</f>
        <v>795.54</v>
      </c>
      <c r="F553" s="14"/>
    </row>
    <row r="554" spans="1:6" ht="17.399999999999999" x14ac:dyDescent="0.3">
      <c r="A554" s="11"/>
      <c r="B554" s="10"/>
      <c r="C554" s="294" t="s">
        <v>7</v>
      </c>
      <c r="D554" s="294"/>
      <c r="E554" s="13">
        <f>+E553*0.16</f>
        <v>127.2864</v>
      </c>
      <c r="F554" s="12"/>
    </row>
    <row r="555" spans="1:6" ht="17.399999999999999" x14ac:dyDescent="0.3">
      <c r="A555" s="11"/>
      <c r="B555" s="10"/>
      <c r="C555" s="294" t="s">
        <v>6</v>
      </c>
      <c r="D555" s="294"/>
      <c r="E555" s="8">
        <f>+E553+E554</f>
        <v>922.82639999999992</v>
      </c>
      <c r="F555" s="7"/>
    </row>
    <row r="556" spans="1:6" ht="15.6" x14ac:dyDescent="0.3">
      <c r="A556" s="6" t="s">
        <v>5</v>
      </c>
      <c r="B556" s="5"/>
      <c r="C556" s="5" t="s">
        <v>4</v>
      </c>
      <c r="D556" s="5"/>
      <c r="E556" s="5"/>
      <c r="F556" s="4" t="s">
        <v>3</v>
      </c>
    </row>
    <row r="557" spans="1:6" ht="15.6" x14ac:dyDescent="0.3">
      <c r="A557" s="3" t="s">
        <v>2</v>
      </c>
      <c r="B557" s="2"/>
      <c r="C557" s="2" t="s">
        <v>1</v>
      </c>
      <c r="D557" s="2"/>
      <c r="E557" s="2"/>
      <c r="F557" s="1" t="s">
        <v>70</v>
      </c>
    </row>
    <row r="560" spans="1:6" ht="30" x14ac:dyDescent="0.4">
      <c r="A560" s="55"/>
      <c r="B560" s="271" t="s">
        <v>38</v>
      </c>
      <c r="C560" s="272"/>
      <c r="D560" s="54"/>
      <c r="E560" s="305" t="s">
        <v>37</v>
      </c>
      <c r="F560" s="307"/>
    </row>
    <row r="561" spans="1:6" ht="30" x14ac:dyDescent="0.4">
      <c r="A561" s="53"/>
      <c r="B561" s="273"/>
      <c r="C561" s="274"/>
      <c r="D561" s="52"/>
      <c r="E561" s="51" t="s">
        <v>36</v>
      </c>
      <c r="F561" s="50" t="s">
        <v>144</v>
      </c>
    </row>
    <row r="562" spans="1:6" ht="30" x14ac:dyDescent="0.4">
      <c r="A562" s="49"/>
      <c r="B562" s="275"/>
      <c r="C562" s="276"/>
      <c r="D562" s="48"/>
      <c r="E562" s="47" t="s">
        <v>34</v>
      </c>
      <c r="F562" s="46" t="s">
        <v>147</v>
      </c>
    </row>
    <row r="563" spans="1:6" ht="20.399999999999999" x14ac:dyDescent="0.35">
      <c r="A563" s="39" t="s">
        <v>32</v>
      </c>
      <c r="B563" s="43" t="s">
        <v>47</v>
      </c>
      <c r="C563" s="42"/>
      <c r="D563" s="42"/>
      <c r="E563" s="98"/>
      <c r="F563" s="97"/>
    </row>
    <row r="564" spans="1:6" ht="20.399999999999999" x14ac:dyDescent="0.35">
      <c r="A564" s="39" t="s">
        <v>30</v>
      </c>
      <c r="B564" s="43" t="s">
        <v>146</v>
      </c>
      <c r="C564" s="42"/>
      <c r="D564" s="42"/>
      <c r="E564" s="41"/>
      <c r="F564" s="40"/>
    </row>
    <row r="565" spans="1:6" ht="20.399999999999999" x14ac:dyDescent="0.35">
      <c r="A565" s="39"/>
      <c r="B565" s="38"/>
      <c r="C565" s="37"/>
      <c r="D565" s="37"/>
      <c r="E565" s="41"/>
      <c r="F565" s="40"/>
    </row>
    <row r="566" spans="1:6" ht="20.399999999999999" x14ac:dyDescent="0.35">
      <c r="A566" s="39" t="s">
        <v>28</v>
      </c>
      <c r="B566" s="38" t="s">
        <v>44</v>
      </c>
      <c r="C566" s="37"/>
      <c r="D566" s="37"/>
      <c r="E566" s="36"/>
      <c r="F566" s="35"/>
    </row>
    <row r="567" spans="1:6" ht="15" x14ac:dyDescent="0.3">
      <c r="A567" s="34" t="s">
        <v>26</v>
      </c>
      <c r="B567" s="34" t="s">
        <v>25</v>
      </c>
      <c r="C567" s="34" t="s">
        <v>24</v>
      </c>
      <c r="D567" s="34" t="s">
        <v>23</v>
      </c>
      <c r="E567" s="34" t="s">
        <v>22</v>
      </c>
      <c r="F567" s="34" t="s">
        <v>21</v>
      </c>
    </row>
    <row r="568" spans="1:6" ht="46.8" x14ac:dyDescent="0.3">
      <c r="A568" s="33">
        <v>2</v>
      </c>
      <c r="B568" s="32" t="s">
        <v>10</v>
      </c>
      <c r="C568" s="32" t="s">
        <v>145</v>
      </c>
      <c r="D568" s="96">
        <v>2216.75</v>
      </c>
      <c r="E568" s="96">
        <f>+A568*D568</f>
        <v>4433.5</v>
      </c>
      <c r="F568" s="22"/>
    </row>
    <row r="569" spans="1:6" ht="15.6" x14ac:dyDescent="0.3">
      <c r="A569" s="29"/>
      <c r="B569" s="25"/>
      <c r="C569" s="25"/>
      <c r="D569" s="72"/>
      <c r="E569" s="93"/>
      <c r="F569" s="22"/>
    </row>
    <row r="570" spans="1:6" ht="15.6" x14ac:dyDescent="0.3">
      <c r="A570" s="29"/>
      <c r="B570" s="25"/>
      <c r="C570" s="25"/>
      <c r="D570" s="72"/>
      <c r="E570" s="93"/>
      <c r="F570" s="22"/>
    </row>
    <row r="571" spans="1:6" ht="15.6" x14ac:dyDescent="0.3">
      <c r="A571" s="29"/>
      <c r="B571" s="27"/>
      <c r="C571" s="27"/>
      <c r="D571" s="99"/>
      <c r="E571" s="93"/>
      <c r="F571" s="22"/>
    </row>
    <row r="572" spans="1:6" ht="15.6" x14ac:dyDescent="0.3">
      <c r="A572" s="29"/>
      <c r="B572" s="27"/>
      <c r="C572" s="28"/>
      <c r="D572" s="99"/>
      <c r="E572" s="93"/>
      <c r="F572" s="22"/>
    </row>
    <row r="573" spans="1:6" ht="15.6" x14ac:dyDescent="0.3">
      <c r="A573" s="29"/>
      <c r="B573" s="27"/>
      <c r="C573" s="28"/>
      <c r="D573" s="99"/>
      <c r="E573" s="93"/>
      <c r="F573" s="22"/>
    </row>
    <row r="574" spans="1:6" ht="15.6" x14ac:dyDescent="0.3">
      <c r="A574" s="29"/>
      <c r="B574" s="27"/>
      <c r="C574" s="28"/>
      <c r="D574" s="27"/>
      <c r="E574" s="102"/>
      <c r="F574" s="22"/>
    </row>
    <row r="575" spans="1:6" ht="15.6" x14ac:dyDescent="0.3">
      <c r="A575" s="26"/>
      <c r="B575" s="27"/>
      <c r="C575" s="27"/>
      <c r="D575" s="99"/>
      <c r="E575" s="93"/>
      <c r="F575" s="22"/>
    </row>
    <row r="576" spans="1:6" ht="15.6" x14ac:dyDescent="0.3">
      <c r="A576" s="26"/>
      <c r="B576" s="27"/>
      <c r="C576" s="27"/>
      <c r="D576" s="99"/>
      <c r="E576" s="93"/>
      <c r="F576" s="22"/>
    </row>
    <row r="577" spans="1:6" ht="15.6" x14ac:dyDescent="0.3">
      <c r="A577" s="26"/>
      <c r="B577" s="25"/>
      <c r="C577" s="25"/>
      <c r="D577" s="72"/>
      <c r="E577" s="93"/>
      <c r="F577" s="22"/>
    </row>
    <row r="578" spans="1:6" ht="15.6" x14ac:dyDescent="0.3">
      <c r="A578" s="26"/>
      <c r="B578" s="25"/>
      <c r="C578" s="25"/>
      <c r="D578" s="72"/>
      <c r="E578" s="93"/>
      <c r="F578" s="22"/>
    </row>
    <row r="579" spans="1:6" ht="15.6" x14ac:dyDescent="0.3">
      <c r="A579" s="26"/>
      <c r="B579" s="25"/>
      <c r="C579" s="25"/>
      <c r="D579" s="72"/>
      <c r="E579" s="93"/>
      <c r="F579" s="22"/>
    </row>
    <row r="580" spans="1:6" ht="15.6" x14ac:dyDescent="0.3">
      <c r="A580" s="26"/>
      <c r="B580" s="25"/>
      <c r="C580" s="25"/>
      <c r="D580" s="72"/>
      <c r="E580" s="93"/>
      <c r="F580" s="22"/>
    </row>
    <row r="581" spans="1:6" ht="15.6" x14ac:dyDescent="0.3">
      <c r="A581" s="26"/>
      <c r="B581" s="25"/>
      <c r="C581" s="25"/>
      <c r="D581" s="72"/>
      <c r="E581" s="93"/>
      <c r="F581" s="22"/>
    </row>
    <row r="582" spans="1:6" ht="15.6" x14ac:dyDescent="0.3">
      <c r="A582" s="21"/>
      <c r="B582" s="20"/>
      <c r="C582" s="20"/>
      <c r="D582" s="69"/>
      <c r="E582" s="91"/>
      <c r="F582" s="18"/>
    </row>
    <row r="583" spans="1:6" ht="17.399999999999999" x14ac:dyDescent="0.3">
      <c r="A583" s="17"/>
      <c r="B583" s="16"/>
      <c r="C583" s="294" t="s">
        <v>8</v>
      </c>
      <c r="D583" s="294"/>
      <c r="E583" s="15">
        <f>+E568</f>
        <v>4433.5</v>
      </c>
      <c r="F583" s="14"/>
    </row>
    <row r="584" spans="1:6" ht="17.399999999999999" x14ac:dyDescent="0.3">
      <c r="A584" s="11"/>
      <c r="B584" s="10"/>
      <c r="C584" s="294" t="s">
        <v>7</v>
      </c>
      <c r="D584" s="294"/>
      <c r="E584" s="13">
        <f>+E583*0.16</f>
        <v>709.36</v>
      </c>
      <c r="F584" s="12"/>
    </row>
    <row r="585" spans="1:6" ht="17.399999999999999" x14ac:dyDescent="0.3">
      <c r="A585" s="11"/>
      <c r="B585" s="10"/>
      <c r="C585" s="294" t="s">
        <v>6</v>
      </c>
      <c r="D585" s="294"/>
      <c r="E585" s="8">
        <f>+E583+E584</f>
        <v>5142.8599999999997</v>
      </c>
      <c r="F585" s="7"/>
    </row>
    <row r="586" spans="1:6" ht="15.6" x14ac:dyDescent="0.3">
      <c r="A586" s="6" t="s">
        <v>5</v>
      </c>
      <c r="B586" s="5"/>
      <c r="C586" s="5" t="s">
        <v>4</v>
      </c>
      <c r="D586" s="5"/>
      <c r="E586" s="5"/>
      <c r="F586" s="4" t="s">
        <v>3</v>
      </c>
    </row>
    <row r="587" spans="1:6" ht="15.6" x14ac:dyDescent="0.3">
      <c r="A587" s="3" t="s">
        <v>2</v>
      </c>
      <c r="B587" s="2"/>
      <c r="C587" s="2" t="s">
        <v>1</v>
      </c>
      <c r="D587" s="2"/>
      <c r="E587" s="2"/>
      <c r="F587" s="1" t="s">
        <v>70</v>
      </c>
    </row>
    <row r="590" spans="1:6" ht="30" x14ac:dyDescent="0.4">
      <c r="A590" s="55"/>
      <c r="B590" s="271" t="s">
        <v>38</v>
      </c>
      <c r="C590" s="272"/>
      <c r="D590" s="54"/>
      <c r="E590" s="305" t="s">
        <v>37</v>
      </c>
      <c r="F590" s="307"/>
    </row>
    <row r="591" spans="1:6" ht="30" x14ac:dyDescent="0.4">
      <c r="A591" s="53"/>
      <c r="B591" s="273"/>
      <c r="C591" s="274"/>
      <c r="D591" s="52"/>
      <c r="E591" s="51" t="s">
        <v>36</v>
      </c>
      <c r="F591" s="50" t="s">
        <v>144</v>
      </c>
    </row>
    <row r="592" spans="1:6" ht="30" x14ac:dyDescent="0.4">
      <c r="A592" s="49"/>
      <c r="B592" s="275"/>
      <c r="C592" s="276"/>
      <c r="D592" s="48"/>
      <c r="E592" s="47" t="s">
        <v>34</v>
      </c>
      <c r="F592" s="46" t="s">
        <v>143</v>
      </c>
    </row>
    <row r="593" spans="1:6" ht="20.399999999999999" x14ac:dyDescent="0.35">
      <c r="A593" s="39" t="s">
        <v>32</v>
      </c>
      <c r="B593" s="43" t="s">
        <v>47</v>
      </c>
      <c r="C593" s="42"/>
      <c r="D593" s="42"/>
      <c r="E593" s="98"/>
      <c r="F593" s="97"/>
    </row>
    <row r="594" spans="1:6" ht="20.399999999999999" x14ac:dyDescent="0.35">
      <c r="A594" s="39" t="s">
        <v>30</v>
      </c>
      <c r="B594" s="43" t="s">
        <v>121</v>
      </c>
      <c r="C594" s="42"/>
      <c r="D594" s="42"/>
      <c r="E594" s="41"/>
      <c r="F594" s="40"/>
    </row>
    <row r="595" spans="1:6" ht="20.399999999999999" x14ac:dyDescent="0.35">
      <c r="A595" s="39"/>
      <c r="B595" s="38"/>
      <c r="C595" s="37"/>
      <c r="D595" s="37"/>
      <c r="E595" s="41"/>
      <c r="F595" s="40"/>
    </row>
    <row r="596" spans="1:6" ht="20.399999999999999" x14ac:dyDescent="0.35">
      <c r="A596" s="39" t="s">
        <v>28</v>
      </c>
      <c r="B596" s="38" t="s">
        <v>55</v>
      </c>
      <c r="C596" s="37"/>
      <c r="D596" s="37"/>
      <c r="E596" s="36"/>
      <c r="F596" s="35"/>
    </row>
    <row r="597" spans="1:6" ht="15" x14ac:dyDescent="0.3">
      <c r="A597" s="34" t="s">
        <v>26</v>
      </c>
      <c r="B597" s="34" t="s">
        <v>25</v>
      </c>
      <c r="C597" s="34" t="s">
        <v>24</v>
      </c>
      <c r="D597" s="34" t="s">
        <v>23</v>
      </c>
      <c r="E597" s="34" t="s">
        <v>22</v>
      </c>
      <c r="F597" s="34" t="s">
        <v>21</v>
      </c>
    </row>
    <row r="598" spans="1:6" ht="31.2" x14ac:dyDescent="0.3">
      <c r="A598" s="33">
        <v>1</v>
      </c>
      <c r="B598" s="32" t="s">
        <v>10</v>
      </c>
      <c r="C598" s="32" t="s">
        <v>142</v>
      </c>
      <c r="D598" s="96">
        <v>2578.92</v>
      </c>
      <c r="E598" s="96">
        <f>+A598*D598</f>
        <v>2578.92</v>
      </c>
      <c r="F598" s="22"/>
    </row>
    <row r="599" spans="1:6" ht="15.6" x14ac:dyDescent="0.3">
      <c r="A599" s="29"/>
      <c r="B599" s="25"/>
      <c r="C599" s="25"/>
      <c r="D599" s="72"/>
      <c r="E599" s="93"/>
      <c r="F599" s="22"/>
    </row>
    <row r="600" spans="1:6" ht="15.6" x14ac:dyDescent="0.3">
      <c r="A600" s="29"/>
      <c r="B600" s="25"/>
      <c r="C600" s="25"/>
      <c r="D600" s="72"/>
      <c r="E600" s="93"/>
      <c r="F600" s="22"/>
    </row>
    <row r="601" spans="1:6" ht="15.6" x14ac:dyDescent="0.3">
      <c r="A601" s="29"/>
      <c r="B601" s="27"/>
      <c r="C601" s="27"/>
      <c r="D601" s="99"/>
      <c r="E601" s="93"/>
      <c r="F601" s="22"/>
    </row>
    <row r="602" spans="1:6" ht="15.6" x14ac:dyDescent="0.3">
      <c r="A602" s="29"/>
      <c r="B602" s="27"/>
      <c r="C602" s="28"/>
      <c r="D602" s="99"/>
      <c r="E602" s="93"/>
      <c r="F602" s="22"/>
    </row>
    <row r="603" spans="1:6" ht="15.6" x14ac:dyDescent="0.3">
      <c r="A603" s="29"/>
      <c r="B603" s="27"/>
      <c r="C603" s="28"/>
      <c r="D603" s="99"/>
      <c r="E603" s="93"/>
      <c r="F603" s="22"/>
    </row>
    <row r="604" spans="1:6" ht="15.6" x14ac:dyDescent="0.3">
      <c r="A604" s="29"/>
      <c r="B604" s="27"/>
      <c r="C604" s="28"/>
      <c r="D604" s="27"/>
      <c r="E604" s="102"/>
      <c r="F604" s="22"/>
    </row>
    <row r="605" spans="1:6" ht="15.6" x14ac:dyDescent="0.3">
      <c r="A605" s="26"/>
      <c r="B605" s="27"/>
      <c r="C605" s="27"/>
      <c r="D605" s="99"/>
      <c r="E605" s="93"/>
      <c r="F605" s="22"/>
    </row>
    <row r="606" spans="1:6" ht="15.6" x14ac:dyDescent="0.3">
      <c r="A606" s="26"/>
      <c r="B606" s="27"/>
      <c r="C606" s="27"/>
      <c r="D606" s="99"/>
      <c r="E606" s="93"/>
      <c r="F606" s="22"/>
    </row>
    <row r="607" spans="1:6" ht="15.6" x14ac:dyDescent="0.3">
      <c r="A607" s="26"/>
      <c r="B607" s="25"/>
      <c r="C607" s="25"/>
      <c r="D607" s="72"/>
      <c r="E607" s="93"/>
      <c r="F607" s="22"/>
    </row>
    <row r="608" spans="1:6" ht="15.6" x14ac:dyDescent="0.3">
      <c r="A608" s="26"/>
      <c r="B608" s="25"/>
      <c r="C608" s="25"/>
      <c r="D608" s="72"/>
      <c r="E608" s="93"/>
      <c r="F608" s="22"/>
    </row>
    <row r="609" spans="1:6" ht="15.6" x14ac:dyDescent="0.3">
      <c r="A609" s="26"/>
      <c r="B609" s="25"/>
      <c r="C609" s="25"/>
      <c r="D609" s="72"/>
      <c r="E609" s="93"/>
      <c r="F609" s="22"/>
    </row>
    <row r="610" spans="1:6" ht="15.6" x14ac:dyDescent="0.3">
      <c r="A610" s="26"/>
      <c r="B610" s="25"/>
      <c r="C610" s="25"/>
      <c r="D610" s="72"/>
      <c r="E610" s="93"/>
      <c r="F610" s="22"/>
    </row>
    <row r="611" spans="1:6" ht="15.6" x14ac:dyDescent="0.3">
      <c r="A611" s="26"/>
      <c r="B611" s="25"/>
      <c r="C611" s="25"/>
      <c r="D611" s="72"/>
      <c r="E611" s="93"/>
      <c r="F611" s="22"/>
    </row>
    <row r="612" spans="1:6" ht="15.6" x14ac:dyDescent="0.3">
      <c r="A612" s="21"/>
      <c r="B612" s="20"/>
      <c r="C612" s="20"/>
      <c r="D612" s="69"/>
      <c r="E612" s="91"/>
      <c r="F612" s="18"/>
    </row>
    <row r="613" spans="1:6" ht="17.399999999999999" x14ac:dyDescent="0.3">
      <c r="A613" s="17"/>
      <c r="B613" s="16"/>
      <c r="C613" s="294" t="s">
        <v>8</v>
      </c>
      <c r="D613" s="294"/>
      <c r="E613" s="15">
        <f>+E598</f>
        <v>2578.92</v>
      </c>
      <c r="F613" s="14"/>
    </row>
    <row r="614" spans="1:6" ht="17.399999999999999" x14ac:dyDescent="0.3">
      <c r="A614" s="11"/>
      <c r="B614" s="10"/>
      <c r="C614" s="294" t="s">
        <v>7</v>
      </c>
      <c r="D614" s="294"/>
      <c r="E614" s="13">
        <f>+E613*0.16</f>
        <v>412.62720000000002</v>
      </c>
      <c r="F614" s="12"/>
    </row>
    <row r="615" spans="1:6" ht="17.399999999999999" x14ac:dyDescent="0.3">
      <c r="A615" s="11"/>
      <c r="B615" s="10"/>
      <c r="C615" s="294" t="s">
        <v>6</v>
      </c>
      <c r="D615" s="294"/>
      <c r="E615" s="8">
        <f>+E613+E614</f>
        <v>2991.5472</v>
      </c>
      <c r="F615" s="7"/>
    </row>
    <row r="616" spans="1:6" ht="15.6" x14ac:dyDescent="0.3">
      <c r="A616" s="6" t="s">
        <v>5</v>
      </c>
      <c r="B616" s="5"/>
      <c r="C616" s="5" t="s">
        <v>4</v>
      </c>
      <c r="D616" s="5"/>
      <c r="E616" s="5"/>
      <c r="F616" s="4" t="s">
        <v>3</v>
      </c>
    </row>
    <row r="617" spans="1:6" ht="15.6" x14ac:dyDescent="0.3">
      <c r="A617" s="3" t="s">
        <v>2</v>
      </c>
      <c r="B617" s="2"/>
      <c r="C617" s="2" t="s">
        <v>1</v>
      </c>
      <c r="D617" s="2"/>
      <c r="E617" s="2"/>
      <c r="F617" s="1" t="s">
        <v>70</v>
      </c>
    </row>
    <row r="623" spans="1:6" ht="30" x14ac:dyDescent="0.4">
      <c r="A623" s="55"/>
      <c r="B623" s="271" t="s">
        <v>38</v>
      </c>
      <c r="C623" s="272"/>
      <c r="D623" s="54"/>
      <c r="E623" s="305" t="s">
        <v>37</v>
      </c>
      <c r="F623" s="307"/>
    </row>
    <row r="624" spans="1:6" ht="30" x14ac:dyDescent="0.4">
      <c r="A624" s="53"/>
      <c r="B624" s="273"/>
      <c r="C624" s="274"/>
      <c r="D624" s="52"/>
      <c r="E624" s="51" t="s">
        <v>36</v>
      </c>
      <c r="F624" s="50" t="s">
        <v>123</v>
      </c>
    </row>
    <row r="625" spans="1:6" ht="30" x14ac:dyDescent="0.4">
      <c r="A625" s="49"/>
      <c r="B625" s="275"/>
      <c r="C625" s="276"/>
      <c r="D625" s="48"/>
      <c r="E625" s="47" t="s">
        <v>34</v>
      </c>
      <c r="F625" s="46" t="s">
        <v>141</v>
      </c>
    </row>
    <row r="626" spans="1:6" ht="20.399999999999999" x14ac:dyDescent="0.35">
      <c r="A626" s="39" t="s">
        <v>32</v>
      </c>
      <c r="B626" s="43" t="s">
        <v>0</v>
      </c>
      <c r="C626" s="42"/>
      <c r="D626" s="42"/>
      <c r="E626" s="98"/>
      <c r="F626" s="97"/>
    </row>
    <row r="627" spans="1:6" ht="20.399999999999999" x14ac:dyDescent="0.35">
      <c r="A627" s="39" t="s">
        <v>30</v>
      </c>
      <c r="B627" s="43" t="s">
        <v>29</v>
      </c>
      <c r="C627" s="42"/>
      <c r="D627" s="42"/>
      <c r="E627" s="41"/>
      <c r="F627" s="40"/>
    </row>
    <row r="628" spans="1:6" ht="20.399999999999999" x14ac:dyDescent="0.35">
      <c r="A628" s="39"/>
      <c r="B628" s="38"/>
      <c r="C628" s="37"/>
      <c r="D628" s="37"/>
      <c r="E628" s="41"/>
      <c r="F628" s="40"/>
    </row>
    <row r="629" spans="1:6" ht="20.399999999999999" x14ac:dyDescent="0.35">
      <c r="A629" s="39" t="s">
        <v>28</v>
      </c>
      <c r="B629" s="38" t="s">
        <v>27</v>
      </c>
      <c r="C629" s="37"/>
      <c r="D629" s="37"/>
      <c r="E629" s="36"/>
      <c r="F629" s="35"/>
    </row>
    <row r="630" spans="1:6" ht="15" x14ac:dyDescent="0.3">
      <c r="A630" s="34" t="s">
        <v>26</v>
      </c>
      <c r="B630" s="34" t="s">
        <v>25</v>
      </c>
      <c r="C630" s="34" t="s">
        <v>24</v>
      </c>
      <c r="D630" s="34" t="s">
        <v>23</v>
      </c>
      <c r="E630" s="34" t="s">
        <v>22</v>
      </c>
      <c r="F630" s="34" t="s">
        <v>21</v>
      </c>
    </row>
    <row r="631" spans="1:6" ht="15.6" x14ac:dyDescent="0.3">
      <c r="A631" s="33">
        <v>5</v>
      </c>
      <c r="B631" s="32" t="s">
        <v>10</v>
      </c>
      <c r="C631" s="32" t="s">
        <v>140</v>
      </c>
      <c r="D631" s="31">
        <v>13.57</v>
      </c>
      <c r="E631" s="30">
        <f t="shared" ref="E631:E646" si="8">+A631*D631</f>
        <v>67.849999999999994</v>
      </c>
      <c r="F631" s="22"/>
    </row>
    <row r="632" spans="1:6" ht="15.6" x14ac:dyDescent="0.3">
      <c r="A632" s="29">
        <v>5</v>
      </c>
      <c r="B632" s="25" t="s">
        <v>10</v>
      </c>
      <c r="C632" s="25" t="s">
        <v>139</v>
      </c>
      <c r="D632" s="24">
        <v>6.99</v>
      </c>
      <c r="E632" s="23">
        <f t="shared" si="8"/>
        <v>34.950000000000003</v>
      </c>
      <c r="F632" s="22"/>
    </row>
    <row r="633" spans="1:6" ht="15.6" x14ac:dyDescent="0.3">
      <c r="A633" s="29">
        <v>5</v>
      </c>
      <c r="B633" s="25" t="s">
        <v>135</v>
      </c>
      <c r="C633" s="25" t="s">
        <v>138</v>
      </c>
      <c r="D633" s="24">
        <v>1144.45</v>
      </c>
      <c r="E633" s="23">
        <f t="shared" si="8"/>
        <v>5722.25</v>
      </c>
      <c r="F633" s="22"/>
    </row>
    <row r="634" spans="1:6" ht="15.6" x14ac:dyDescent="0.3">
      <c r="A634" s="29">
        <v>2</v>
      </c>
      <c r="B634" s="27" t="s">
        <v>135</v>
      </c>
      <c r="C634" s="27" t="s">
        <v>137</v>
      </c>
      <c r="D634" s="24">
        <v>1735.62</v>
      </c>
      <c r="E634" s="23">
        <f t="shared" si="8"/>
        <v>3471.24</v>
      </c>
      <c r="F634" s="22"/>
    </row>
    <row r="635" spans="1:6" ht="15.6" x14ac:dyDescent="0.3">
      <c r="A635" s="29">
        <v>2</v>
      </c>
      <c r="B635" s="27" t="s">
        <v>135</v>
      </c>
      <c r="C635" s="28" t="s">
        <v>136</v>
      </c>
      <c r="D635" s="24">
        <v>1735.62</v>
      </c>
      <c r="E635" s="23">
        <f t="shared" si="8"/>
        <v>3471.24</v>
      </c>
      <c r="F635" s="22"/>
    </row>
    <row r="636" spans="1:6" ht="15.6" x14ac:dyDescent="0.3">
      <c r="A636" s="29">
        <v>4</v>
      </c>
      <c r="B636" s="27" t="s">
        <v>135</v>
      </c>
      <c r="C636" s="28" t="s">
        <v>134</v>
      </c>
      <c r="D636" s="24">
        <v>1447.03</v>
      </c>
      <c r="E636" s="23">
        <f t="shared" si="8"/>
        <v>5788.12</v>
      </c>
      <c r="F636" s="22"/>
    </row>
    <row r="637" spans="1:6" ht="15.6" x14ac:dyDescent="0.3">
      <c r="A637" s="29">
        <v>4</v>
      </c>
      <c r="B637" s="27" t="s">
        <v>10</v>
      </c>
      <c r="C637" s="28" t="s">
        <v>133</v>
      </c>
      <c r="D637" s="23">
        <v>57.41</v>
      </c>
      <c r="E637" s="23">
        <f t="shared" si="8"/>
        <v>229.64</v>
      </c>
      <c r="F637" s="22"/>
    </row>
    <row r="638" spans="1:6" ht="15.6" x14ac:dyDescent="0.3">
      <c r="A638" s="26">
        <v>4</v>
      </c>
      <c r="B638" s="27" t="s">
        <v>10</v>
      </c>
      <c r="C638" s="27" t="s">
        <v>132</v>
      </c>
      <c r="D638" s="24">
        <v>20.95</v>
      </c>
      <c r="E638" s="23">
        <f t="shared" si="8"/>
        <v>83.8</v>
      </c>
      <c r="F638" s="22"/>
    </row>
    <row r="639" spans="1:6" ht="15.6" x14ac:dyDescent="0.3">
      <c r="A639" s="26">
        <v>5</v>
      </c>
      <c r="B639" s="27" t="s">
        <v>10</v>
      </c>
      <c r="C639" s="27" t="s">
        <v>131</v>
      </c>
      <c r="D639" s="24">
        <v>74.87</v>
      </c>
      <c r="E639" s="23">
        <f t="shared" si="8"/>
        <v>374.35</v>
      </c>
      <c r="F639" s="22"/>
    </row>
    <row r="640" spans="1:6" ht="15.6" x14ac:dyDescent="0.3">
      <c r="A640" s="26">
        <v>6</v>
      </c>
      <c r="B640" s="25" t="s">
        <v>10</v>
      </c>
      <c r="C640" s="25" t="s">
        <v>130</v>
      </c>
      <c r="D640" s="24">
        <v>39.18</v>
      </c>
      <c r="E640" s="23">
        <f t="shared" si="8"/>
        <v>235.07999999999998</v>
      </c>
      <c r="F640" s="22"/>
    </row>
    <row r="641" spans="1:6" ht="15.6" x14ac:dyDescent="0.3">
      <c r="A641" s="26">
        <v>4</v>
      </c>
      <c r="B641" s="25" t="s">
        <v>10</v>
      </c>
      <c r="C641" s="25" t="s">
        <v>129</v>
      </c>
      <c r="D641" s="24">
        <v>137.85</v>
      </c>
      <c r="E641" s="23">
        <f t="shared" si="8"/>
        <v>551.4</v>
      </c>
      <c r="F641" s="22"/>
    </row>
    <row r="642" spans="1:6" ht="15.6" x14ac:dyDescent="0.3">
      <c r="A642" s="26">
        <v>6</v>
      </c>
      <c r="B642" s="25" t="s">
        <v>10</v>
      </c>
      <c r="C642" s="25" t="s">
        <v>128</v>
      </c>
      <c r="D642" s="24">
        <v>64.39</v>
      </c>
      <c r="E642" s="23">
        <f t="shared" si="8"/>
        <v>386.34000000000003</v>
      </c>
      <c r="F642" s="22"/>
    </row>
    <row r="643" spans="1:6" ht="15.6" x14ac:dyDescent="0.3">
      <c r="A643" s="26">
        <v>2</v>
      </c>
      <c r="B643" s="25" t="s">
        <v>10</v>
      </c>
      <c r="C643" s="25" t="s">
        <v>127</v>
      </c>
      <c r="D643" s="24">
        <v>211.81</v>
      </c>
      <c r="E643" s="23">
        <f t="shared" si="8"/>
        <v>423.62</v>
      </c>
      <c r="F643" s="22"/>
    </row>
    <row r="644" spans="1:6" ht="15.6" x14ac:dyDescent="0.3">
      <c r="A644" s="26">
        <v>1</v>
      </c>
      <c r="B644" s="25" t="s">
        <v>10</v>
      </c>
      <c r="C644" s="25" t="s">
        <v>126</v>
      </c>
      <c r="D644" s="24">
        <v>987.06</v>
      </c>
      <c r="E644" s="23">
        <f t="shared" si="8"/>
        <v>987.06</v>
      </c>
      <c r="F644" s="22"/>
    </row>
    <row r="645" spans="1:6" ht="15.6" x14ac:dyDescent="0.3">
      <c r="A645" s="26">
        <v>25</v>
      </c>
      <c r="B645" s="25" t="s">
        <v>10</v>
      </c>
      <c r="C645" s="25" t="s">
        <v>125</v>
      </c>
      <c r="D645" s="24">
        <v>11.34</v>
      </c>
      <c r="E645" s="23">
        <f t="shared" si="8"/>
        <v>283.5</v>
      </c>
      <c r="F645" s="22"/>
    </row>
    <row r="646" spans="1:6" ht="15.6" x14ac:dyDescent="0.3">
      <c r="A646" s="21">
        <v>25</v>
      </c>
      <c r="B646" s="20" t="s">
        <v>10</v>
      </c>
      <c r="C646" s="20" t="s">
        <v>124</v>
      </c>
      <c r="D646" s="19">
        <v>25.9</v>
      </c>
      <c r="E646" s="19">
        <f t="shared" si="8"/>
        <v>647.5</v>
      </c>
      <c r="F646" s="18"/>
    </row>
    <row r="647" spans="1:6" ht="17.399999999999999" x14ac:dyDescent="0.3">
      <c r="A647" s="17"/>
      <c r="B647" s="16"/>
      <c r="C647" s="294" t="s">
        <v>8</v>
      </c>
      <c r="D647" s="294"/>
      <c r="E647" s="15">
        <f>SUM(E631:E646)</f>
        <v>22757.940000000002</v>
      </c>
      <c r="F647" s="14"/>
    </row>
    <row r="648" spans="1:6" ht="17.399999999999999" x14ac:dyDescent="0.3">
      <c r="A648" s="11"/>
      <c r="B648" s="10"/>
      <c r="C648" s="294" t="s">
        <v>7</v>
      </c>
      <c r="D648" s="294"/>
      <c r="E648" s="13">
        <f>+E647*0.16</f>
        <v>3641.2704000000003</v>
      </c>
      <c r="F648" s="12"/>
    </row>
    <row r="649" spans="1:6" ht="17.399999999999999" x14ac:dyDescent="0.3">
      <c r="A649" s="11"/>
      <c r="B649" s="10"/>
      <c r="C649" s="294" t="s">
        <v>6</v>
      </c>
      <c r="D649" s="294"/>
      <c r="E649" s="8">
        <f>+E647+E648</f>
        <v>26399.210400000004</v>
      </c>
      <c r="F649" s="7"/>
    </row>
    <row r="650" spans="1:6" ht="15.6" x14ac:dyDescent="0.3">
      <c r="A650" s="6" t="s">
        <v>5</v>
      </c>
      <c r="B650" s="5"/>
      <c r="C650" s="5" t="s">
        <v>4</v>
      </c>
      <c r="D650" s="5"/>
      <c r="E650" s="5"/>
      <c r="F650" s="4" t="s">
        <v>3</v>
      </c>
    </row>
    <row r="651" spans="1:6" ht="15.6" x14ac:dyDescent="0.3">
      <c r="A651" s="3" t="s">
        <v>2</v>
      </c>
      <c r="B651" s="2"/>
      <c r="C651" s="2" t="s">
        <v>1</v>
      </c>
      <c r="D651" s="2"/>
      <c r="E651" s="2"/>
      <c r="F651" s="1" t="s">
        <v>0</v>
      </c>
    </row>
    <row r="655" spans="1:6" ht="30" x14ac:dyDescent="0.4">
      <c r="A655" s="55"/>
      <c r="B655" s="271" t="s">
        <v>38</v>
      </c>
      <c r="C655" s="272"/>
      <c r="D655" s="54"/>
      <c r="E655" s="305" t="s">
        <v>37</v>
      </c>
      <c r="F655" s="307"/>
    </row>
    <row r="656" spans="1:6" ht="30" x14ac:dyDescent="0.4">
      <c r="A656" s="53"/>
      <c r="B656" s="273"/>
      <c r="C656" s="274"/>
      <c r="D656" s="52"/>
      <c r="E656" s="51" t="s">
        <v>36</v>
      </c>
      <c r="F656" s="50" t="s">
        <v>123</v>
      </c>
    </row>
    <row r="657" spans="1:6" ht="30" x14ac:dyDescent="0.4">
      <c r="A657" s="49"/>
      <c r="B657" s="275"/>
      <c r="C657" s="276"/>
      <c r="D657" s="48"/>
      <c r="E657" s="47" t="s">
        <v>34</v>
      </c>
      <c r="F657" s="46" t="s">
        <v>122</v>
      </c>
    </row>
    <row r="658" spans="1:6" ht="20.399999999999999" x14ac:dyDescent="0.35">
      <c r="A658" s="39" t="s">
        <v>32</v>
      </c>
      <c r="B658" s="43" t="s">
        <v>47</v>
      </c>
      <c r="C658" s="42"/>
      <c r="D658" s="42"/>
      <c r="E658" s="98"/>
      <c r="F658" s="97"/>
    </row>
    <row r="659" spans="1:6" ht="20.399999999999999" x14ac:dyDescent="0.35">
      <c r="A659" s="39" t="s">
        <v>30</v>
      </c>
      <c r="B659" s="43" t="s">
        <v>121</v>
      </c>
      <c r="C659" s="42"/>
      <c r="D659" s="42"/>
      <c r="E659" s="41"/>
      <c r="F659" s="40"/>
    </row>
    <row r="660" spans="1:6" ht="20.399999999999999" x14ac:dyDescent="0.35">
      <c r="A660" s="39"/>
      <c r="B660" s="38"/>
      <c r="C660" s="37"/>
      <c r="D660" s="37"/>
      <c r="E660" s="41"/>
      <c r="F660" s="40"/>
    </row>
    <row r="661" spans="1:6" ht="20.399999999999999" x14ac:dyDescent="0.35">
      <c r="A661" s="39" t="s">
        <v>28</v>
      </c>
      <c r="B661" s="38" t="s">
        <v>55</v>
      </c>
      <c r="C661" s="37"/>
      <c r="D661" s="37"/>
      <c r="E661" s="36"/>
      <c r="F661" s="35"/>
    </row>
    <row r="662" spans="1:6" ht="15" x14ac:dyDescent="0.3">
      <c r="A662" s="34" t="s">
        <v>26</v>
      </c>
      <c r="B662" s="34" t="s">
        <v>25</v>
      </c>
      <c r="C662" s="34" t="s">
        <v>24</v>
      </c>
      <c r="D662" s="34" t="s">
        <v>23</v>
      </c>
      <c r="E662" s="34" t="s">
        <v>22</v>
      </c>
      <c r="F662" s="34" t="s">
        <v>21</v>
      </c>
    </row>
    <row r="663" spans="1:6" ht="31.2" x14ac:dyDescent="0.3">
      <c r="A663" s="33">
        <v>4</v>
      </c>
      <c r="B663" s="32" t="s">
        <v>10</v>
      </c>
      <c r="C663" s="32" t="s">
        <v>120</v>
      </c>
      <c r="D663" s="96">
        <v>446.9</v>
      </c>
      <c r="E663" s="96">
        <f>+A663*D663</f>
        <v>1787.6</v>
      </c>
      <c r="F663" s="22"/>
    </row>
    <row r="664" spans="1:6" ht="15.6" x14ac:dyDescent="0.3">
      <c r="A664" s="29"/>
      <c r="B664" s="25"/>
      <c r="C664" s="25"/>
      <c r="D664" s="72"/>
      <c r="E664" s="93"/>
      <c r="F664" s="22"/>
    </row>
    <row r="665" spans="1:6" ht="15.6" x14ac:dyDescent="0.3">
      <c r="A665" s="29"/>
      <c r="B665" s="25"/>
      <c r="C665" s="25"/>
      <c r="D665" s="72"/>
      <c r="E665" s="93"/>
      <c r="F665" s="22"/>
    </row>
    <row r="666" spans="1:6" ht="15.6" x14ac:dyDescent="0.3">
      <c r="A666" s="29"/>
      <c r="B666" s="27"/>
      <c r="C666" s="27"/>
      <c r="D666" s="99"/>
      <c r="E666" s="93"/>
      <c r="F666" s="22"/>
    </row>
    <row r="667" spans="1:6" ht="15.6" x14ac:dyDescent="0.3">
      <c r="A667" s="29"/>
      <c r="B667" s="27"/>
      <c r="C667" s="28"/>
      <c r="D667" s="99"/>
      <c r="E667" s="93"/>
      <c r="F667" s="22"/>
    </row>
    <row r="668" spans="1:6" ht="15.6" x14ac:dyDescent="0.3">
      <c r="A668" s="29"/>
      <c r="B668" s="27"/>
      <c r="C668" s="28"/>
      <c r="D668" s="99"/>
      <c r="E668" s="93"/>
      <c r="F668" s="22"/>
    </row>
    <row r="669" spans="1:6" ht="15.6" x14ac:dyDescent="0.3">
      <c r="A669" s="29"/>
      <c r="B669" s="27"/>
      <c r="C669" s="28"/>
      <c r="D669" s="27"/>
      <c r="E669" s="102"/>
      <c r="F669" s="22"/>
    </row>
    <row r="670" spans="1:6" ht="15.6" x14ac:dyDescent="0.3">
      <c r="A670" s="26"/>
      <c r="B670" s="27"/>
      <c r="C670" s="27"/>
      <c r="D670" s="99"/>
      <c r="E670" s="93"/>
      <c r="F670" s="22"/>
    </row>
    <row r="671" spans="1:6" ht="15.6" x14ac:dyDescent="0.3">
      <c r="A671" s="26"/>
      <c r="B671" s="27"/>
      <c r="C671" s="27"/>
      <c r="D671" s="99"/>
      <c r="E671" s="93"/>
      <c r="F671" s="22"/>
    </row>
    <row r="672" spans="1:6" ht="15.6" x14ac:dyDescent="0.3">
      <c r="A672" s="26"/>
      <c r="B672" s="25"/>
      <c r="C672" s="25"/>
      <c r="D672" s="72"/>
      <c r="E672" s="93"/>
      <c r="F672" s="22"/>
    </row>
    <row r="673" spans="1:7" ht="15.6" x14ac:dyDescent="0.3">
      <c r="A673" s="26"/>
      <c r="B673" s="25"/>
      <c r="C673" s="25"/>
      <c r="D673" s="72"/>
      <c r="E673" s="93"/>
      <c r="F673" s="22"/>
    </row>
    <row r="674" spans="1:7" ht="15.6" x14ac:dyDescent="0.3">
      <c r="A674" s="26"/>
      <c r="B674" s="25"/>
      <c r="C674" s="25"/>
      <c r="D674" s="72"/>
      <c r="E674" s="93"/>
      <c r="F674" s="22"/>
    </row>
    <row r="675" spans="1:7" ht="15.6" x14ac:dyDescent="0.3">
      <c r="A675" s="26"/>
      <c r="B675" s="25"/>
      <c r="C675" s="25"/>
      <c r="D675" s="72"/>
      <c r="E675" s="93"/>
      <c r="F675" s="22"/>
    </row>
    <row r="676" spans="1:7" ht="15.6" x14ac:dyDescent="0.3">
      <c r="A676" s="26"/>
      <c r="B676" s="25"/>
      <c r="C676" s="25"/>
      <c r="D676" s="72"/>
      <c r="E676" s="93"/>
      <c r="F676" s="22"/>
    </row>
    <row r="677" spans="1:7" ht="15.6" x14ac:dyDescent="0.3">
      <c r="A677" s="21"/>
      <c r="B677" s="20"/>
      <c r="C677" s="20"/>
      <c r="D677" s="69"/>
      <c r="E677" s="91"/>
      <c r="F677" s="18"/>
    </row>
    <row r="678" spans="1:7" ht="17.399999999999999" x14ac:dyDescent="0.3">
      <c r="A678" s="17"/>
      <c r="B678" s="16"/>
      <c r="C678" s="294" t="s">
        <v>8</v>
      </c>
      <c r="D678" s="294"/>
      <c r="E678" s="15">
        <f>+E663</f>
        <v>1787.6</v>
      </c>
      <c r="F678" s="14"/>
    </row>
    <row r="679" spans="1:7" ht="17.399999999999999" x14ac:dyDescent="0.3">
      <c r="A679" s="11"/>
      <c r="B679" s="10"/>
      <c r="C679" s="294" t="s">
        <v>7</v>
      </c>
      <c r="D679" s="294"/>
      <c r="E679" s="13">
        <f>+E678*0.16</f>
        <v>286.01600000000002</v>
      </c>
      <c r="F679" s="12"/>
    </row>
    <row r="680" spans="1:7" ht="17.399999999999999" x14ac:dyDescent="0.3">
      <c r="A680" s="11"/>
      <c r="B680" s="10"/>
      <c r="C680" s="294" t="s">
        <v>6</v>
      </c>
      <c r="D680" s="294"/>
      <c r="E680" s="8">
        <f>+E678+E679</f>
        <v>2073.616</v>
      </c>
      <c r="F680" s="7"/>
    </row>
    <row r="681" spans="1:7" ht="15.6" x14ac:dyDescent="0.3">
      <c r="A681" s="6" t="s">
        <v>5</v>
      </c>
      <c r="B681" s="5"/>
      <c r="C681" s="5" t="s">
        <v>4</v>
      </c>
      <c r="D681" s="5"/>
      <c r="E681" s="5"/>
      <c r="F681" s="4" t="s">
        <v>3</v>
      </c>
    </row>
    <row r="682" spans="1:7" ht="15.6" x14ac:dyDescent="0.3">
      <c r="A682" s="3" t="s">
        <v>2</v>
      </c>
      <c r="B682" s="2"/>
      <c r="C682" s="2" t="s">
        <v>1</v>
      </c>
      <c r="D682" s="2"/>
      <c r="E682" s="2"/>
      <c r="F682" s="1" t="s">
        <v>70</v>
      </c>
    </row>
    <row r="685" spans="1:7" ht="21" x14ac:dyDescent="0.4">
      <c r="A685" s="55"/>
      <c r="B685" s="326" t="s">
        <v>38</v>
      </c>
      <c r="C685" s="327"/>
      <c r="D685" s="277" t="s">
        <v>37</v>
      </c>
      <c r="E685" s="278"/>
      <c r="F685" s="278"/>
      <c r="G685" s="279"/>
    </row>
    <row r="686" spans="1:7" ht="21" x14ac:dyDescent="0.4">
      <c r="A686" s="53"/>
      <c r="B686" s="328"/>
      <c r="C686" s="329"/>
      <c r="D686" s="280" t="s">
        <v>36</v>
      </c>
      <c r="E686" s="281"/>
      <c r="F686" s="282" t="s">
        <v>119</v>
      </c>
      <c r="G686" s="283"/>
    </row>
    <row r="687" spans="1:7" ht="21" x14ac:dyDescent="0.4">
      <c r="A687" s="53"/>
      <c r="B687" s="328"/>
      <c r="C687" s="329"/>
      <c r="D687" s="134" t="s">
        <v>118</v>
      </c>
      <c r="E687" s="133"/>
      <c r="F687" s="132">
        <v>18</v>
      </c>
      <c r="G687" s="50"/>
    </row>
    <row r="688" spans="1:7" ht="21" x14ac:dyDescent="0.4">
      <c r="A688" s="49"/>
      <c r="B688" s="330"/>
      <c r="C688" s="331"/>
      <c r="D688" s="285" t="s">
        <v>50</v>
      </c>
      <c r="E688" s="286"/>
      <c r="F688" s="287" t="s">
        <v>117</v>
      </c>
      <c r="G688" s="288"/>
    </row>
    <row r="689" spans="1:7" ht="20.399999999999999" x14ac:dyDescent="0.35">
      <c r="A689" s="39" t="s">
        <v>48</v>
      </c>
      <c r="B689" s="43" t="s">
        <v>70</v>
      </c>
      <c r="C689" s="42"/>
      <c r="D689" s="42"/>
      <c r="E689" s="289" t="s">
        <v>116</v>
      </c>
      <c r="F689" s="289"/>
      <c r="G689" s="290"/>
    </row>
    <row r="690" spans="1:7" ht="20.399999999999999" x14ac:dyDescent="0.35">
      <c r="A690" s="39" t="s">
        <v>30</v>
      </c>
      <c r="B690" s="291"/>
      <c r="C690" s="292"/>
      <c r="D690" s="292"/>
      <c r="E690" s="292"/>
      <c r="F690" s="292"/>
      <c r="G690" s="293"/>
    </row>
    <row r="691" spans="1:7" ht="20.399999999999999" x14ac:dyDescent="0.35">
      <c r="A691" s="39" t="s">
        <v>46</v>
      </c>
      <c r="B691" s="324" t="s">
        <v>115</v>
      </c>
      <c r="C691" s="292"/>
      <c r="D691" s="292"/>
      <c r="E691" s="292"/>
      <c r="F691" s="292"/>
      <c r="G691" s="293"/>
    </row>
    <row r="692" spans="1:7" ht="20.399999999999999" x14ac:dyDescent="0.35">
      <c r="A692" s="39" t="s">
        <v>28</v>
      </c>
      <c r="B692" s="291" t="s">
        <v>114</v>
      </c>
      <c r="C692" s="292"/>
      <c r="D692" s="292"/>
      <c r="E692" s="292"/>
      <c r="F692" s="292"/>
      <c r="G692" s="293"/>
    </row>
    <row r="693" spans="1:7" ht="15" x14ac:dyDescent="0.3">
      <c r="A693" s="34" t="s">
        <v>26</v>
      </c>
      <c r="B693" s="34" t="s">
        <v>25</v>
      </c>
      <c r="C693" s="34" t="s">
        <v>24</v>
      </c>
      <c r="D693" s="34" t="s">
        <v>43</v>
      </c>
      <c r="E693" s="34" t="s">
        <v>42</v>
      </c>
      <c r="F693" s="34" t="s">
        <v>22</v>
      </c>
      <c r="G693" s="34" t="s">
        <v>21</v>
      </c>
    </row>
    <row r="694" spans="1:7" ht="15.6" x14ac:dyDescent="0.3">
      <c r="A694" s="127">
        <v>8</v>
      </c>
      <c r="B694" s="131" t="s">
        <v>10</v>
      </c>
      <c r="C694" s="123" t="s">
        <v>113</v>
      </c>
      <c r="D694" s="130"/>
      <c r="E694" s="121">
        <v>1110.25</v>
      </c>
      <c r="F694" s="129">
        <f>A694*E694</f>
        <v>8882</v>
      </c>
      <c r="G694" s="128"/>
    </row>
    <row r="695" spans="1:7" ht="15.6" x14ac:dyDescent="0.3">
      <c r="A695" s="127"/>
      <c r="B695" s="126"/>
      <c r="C695" s="123"/>
      <c r="D695" s="122"/>
      <c r="E695" s="121"/>
      <c r="F695" s="113">
        <f>A695*E695</f>
        <v>0</v>
      </c>
      <c r="G695" s="70"/>
    </row>
    <row r="696" spans="1:7" ht="15.6" x14ac:dyDescent="0.3">
      <c r="A696" s="325" t="s">
        <v>112</v>
      </c>
      <c r="B696" s="325"/>
      <c r="C696" s="325"/>
      <c r="D696" s="124"/>
      <c r="E696" s="121"/>
      <c r="F696" s="113">
        <v>0</v>
      </c>
      <c r="G696" s="70"/>
    </row>
    <row r="697" spans="1:7" ht="15.6" x14ac:dyDescent="0.3">
      <c r="A697" s="125">
        <v>1</v>
      </c>
      <c r="B697" s="124"/>
      <c r="C697" s="123" t="s">
        <v>111</v>
      </c>
      <c r="D697" s="122"/>
      <c r="E697" s="121">
        <v>258.62</v>
      </c>
      <c r="F697" s="113">
        <f>A697*E697</f>
        <v>258.62</v>
      </c>
      <c r="G697" s="70"/>
    </row>
    <row r="698" spans="1:7" ht="15.6" x14ac:dyDescent="0.3">
      <c r="A698" s="94"/>
      <c r="B698" s="94"/>
      <c r="C698" s="29"/>
      <c r="D698" s="94"/>
      <c r="E698" s="120"/>
      <c r="F698" s="113">
        <f>A698*E698</f>
        <v>0</v>
      </c>
      <c r="G698" s="70"/>
    </row>
    <row r="699" spans="1:7" ht="15.6" x14ac:dyDescent="0.3">
      <c r="A699" s="94"/>
      <c r="B699" s="94"/>
      <c r="C699" s="29"/>
      <c r="D699" s="94"/>
      <c r="E699" s="71"/>
      <c r="F699" s="113">
        <f>A699*E699</f>
        <v>0</v>
      </c>
      <c r="G699" s="70"/>
    </row>
    <row r="700" spans="1:7" ht="15.6" x14ac:dyDescent="0.3">
      <c r="A700" s="111" t="s">
        <v>110</v>
      </c>
      <c r="B700" s="111"/>
      <c r="C700" s="119"/>
      <c r="D700" s="115"/>
      <c r="E700" s="71"/>
      <c r="F700" s="113">
        <v>0</v>
      </c>
      <c r="G700" s="70"/>
    </row>
    <row r="701" spans="1:7" ht="15.6" x14ac:dyDescent="0.3">
      <c r="A701" s="111" t="s">
        <v>109</v>
      </c>
      <c r="B701" s="111"/>
      <c r="C701" s="117"/>
      <c r="D701" s="115"/>
      <c r="E701" s="71"/>
      <c r="F701" s="113">
        <v>0</v>
      </c>
      <c r="G701" s="70"/>
    </row>
    <row r="702" spans="1:7" ht="15.6" x14ac:dyDescent="0.3">
      <c r="A702" s="111" t="s">
        <v>108</v>
      </c>
      <c r="B702" s="117"/>
      <c r="C702" s="117"/>
      <c r="D702" s="115"/>
      <c r="E702" s="71"/>
      <c r="F702" s="113">
        <v>0</v>
      </c>
      <c r="G702" s="70"/>
    </row>
    <row r="703" spans="1:7" ht="15.6" x14ac:dyDescent="0.3">
      <c r="A703" s="111" t="s">
        <v>107</v>
      </c>
      <c r="B703" s="117"/>
      <c r="C703" s="117"/>
      <c r="D703" s="115"/>
      <c r="E703" s="71"/>
      <c r="F703" s="113">
        <v>0</v>
      </c>
      <c r="G703" s="70"/>
    </row>
    <row r="704" spans="1:7" ht="15.6" x14ac:dyDescent="0.3">
      <c r="A704" s="111" t="s">
        <v>106</v>
      </c>
      <c r="B704" s="117"/>
      <c r="C704" s="117"/>
      <c r="D704" s="115"/>
      <c r="E704" s="118"/>
      <c r="F704" s="113">
        <v>0</v>
      </c>
      <c r="G704" s="70"/>
    </row>
    <row r="705" spans="1:7" ht="15.6" x14ac:dyDescent="0.3">
      <c r="A705" s="111"/>
      <c r="B705" s="117"/>
      <c r="C705" s="117"/>
      <c r="D705" s="115"/>
      <c r="E705" s="114"/>
      <c r="F705" s="113">
        <v>0</v>
      </c>
      <c r="G705" s="112"/>
    </row>
    <row r="706" spans="1:7" ht="15.6" x14ac:dyDescent="0.3">
      <c r="A706" s="111" t="s">
        <v>105</v>
      </c>
      <c r="B706" s="117"/>
      <c r="C706" s="117"/>
      <c r="D706" s="115"/>
      <c r="E706" s="114"/>
      <c r="F706" s="113">
        <v>0</v>
      </c>
      <c r="G706" s="112"/>
    </row>
    <row r="707" spans="1:7" ht="15.6" x14ac:dyDescent="0.3">
      <c r="A707" s="111" t="s">
        <v>104</v>
      </c>
      <c r="B707" s="117"/>
      <c r="C707" s="116"/>
      <c r="D707" s="115"/>
      <c r="E707" s="114"/>
      <c r="F707" s="113">
        <v>0</v>
      </c>
      <c r="G707" s="112"/>
    </row>
    <row r="708" spans="1:7" ht="17.399999999999999" x14ac:dyDescent="0.3">
      <c r="A708" s="111" t="s">
        <v>103</v>
      </c>
      <c r="B708" s="110"/>
      <c r="C708" s="110"/>
      <c r="D708" s="270" t="s">
        <v>8</v>
      </c>
      <c r="E708" s="270"/>
      <c r="F708" s="109">
        <f>SUM(F694:F706)</f>
        <v>9140.6200000000008</v>
      </c>
      <c r="G708" s="60"/>
    </row>
    <row r="709" spans="1:7" ht="17.399999999999999" x14ac:dyDescent="0.3">
      <c r="A709" s="11"/>
      <c r="B709" s="10"/>
      <c r="C709" s="270" t="s">
        <v>7</v>
      </c>
      <c r="D709" s="270"/>
      <c r="E709" s="270"/>
      <c r="F709" s="109">
        <f>F708*0.16</f>
        <v>1462.4992000000002</v>
      </c>
      <c r="G709" s="60"/>
    </row>
    <row r="710" spans="1:7" ht="17.399999999999999" x14ac:dyDescent="0.3">
      <c r="A710" s="11"/>
      <c r="B710" s="10"/>
      <c r="C710" s="295" t="s">
        <v>6</v>
      </c>
      <c r="D710" s="295"/>
      <c r="E710" s="295"/>
      <c r="F710" s="108">
        <f>+F708+F709</f>
        <v>10603.119200000001</v>
      </c>
      <c r="G710" s="56"/>
    </row>
    <row r="711" spans="1:7" ht="15.6" x14ac:dyDescent="0.3">
      <c r="A711" s="296" t="s">
        <v>5</v>
      </c>
      <c r="B711" s="297"/>
      <c r="C711" s="5" t="s">
        <v>4</v>
      </c>
      <c r="D711" s="5"/>
      <c r="E711" s="297" t="s">
        <v>3</v>
      </c>
      <c r="F711" s="297"/>
      <c r="G711" s="298"/>
    </row>
    <row r="712" spans="1:7" ht="15.6" x14ac:dyDescent="0.3">
      <c r="A712" s="299" t="s">
        <v>2</v>
      </c>
      <c r="B712" s="300"/>
      <c r="C712" s="2" t="s">
        <v>39</v>
      </c>
      <c r="D712" s="2"/>
      <c r="E712" s="300" t="s">
        <v>70</v>
      </c>
      <c r="F712" s="300"/>
      <c r="G712" s="301"/>
    </row>
    <row r="713" spans="1:7" x14ac:dyDescent="0.3">
      <c r="A713" s="107"/>
      <c r="B713" s="107"/>
      <c r="C713" s="107"/>
      <c r="D713" s="107"/>
      <c r="E713" s="107"/>
      <c r="F713" s="107"/>
      <c r="G713" s="107"/>
    </row>
    <row r="716" spans="1:7" ht="30" x14ac:dyDescent="0.4">
      <c r="A716" s="55"/>
      <c r="B716" s="271" t="s">
        <v>38</v>
      </c>
      <c r="C716" s="272"/>
      <c r="D716" s="54"/>
      <c r="E716" s="305" t="s">
        <v>37</v>
      </c>
      <c r="F716" s="307"/>
    </row>
    <row r="717" spans="1:7" ht="30" x14ac:dyDescent="0.4">
      <c r="A717" s="53"/>
      <c r="B717" s="273"/>
      <c r="C717" s="274"/>
      <c r="D717" s="52"/>
      <c r="E717" s="51" t="s">
        <v>36</v>
      </c>
      <c r="F717" s="50" t="s">
        <v>90</v>
      </c>
    </row>
    <row r="718" spans="1:7" ht="30" x14ac:dyDescent="0.4">
      <c r="A718" s="49"/>
      <c r="B718" s="275"/>
      <c r="C718" s="276"/>
      <c r="D718" s="48"/>
      <c r="E718" s="47" t="s">
        <v>34</v>
      </c>
      <c r="F718" s="46" t="s">
        <v>89</v>
      </c>
    </row>
    <row r="719" spans="1:7" ht="20.399999999999999" x14ac:dyDescent="0.35">
      <c r="A719" s="39" t="s">
        <v>32</v>
      </c>
      <c r="B719" s="43" t="s">
        <v>47</v>
      </c>
      <c r="C719" s="42"/>
      <c r="D719" s="42"/>
      <c r="E719" s="98"/>
      <c r="F719" s="97"/>
    </row>
    <row r="720" spans="1:7" ht="20.399999999999999" x14ac:dyDescent="0.35">
      <c r="A720" s="39" t="s">
        <v>30</v>
      </c>
      <c r="B720" s="43" t="s">
        <v>88</v>
      </c>
      <c r="C720" s="42"/>
      <c r="D720" s="42"/>
      <c r="E720" s="41"/>
      <c r="F720" s="40"/>
    </row>
    <row r="721" spans="1:6" ht="20.399999999999999" x14ac:dyDescent="0.35">
      <c r="A721" s="39"/>
      <c r="B721" s="38"/>
      <c r="C721" s="37"/>
      <c r="D721" s="37"/>
      <c r="E721" s="41"/>
      <c r="F721" s="40"/>
    </row>
    <row r="722" spans="1:6" ht="20.399999999999999" x14ac:dyDescent="0.35">
      <c r="A722" s="39" t="s">
        <v>28</v>
      </c>
      <c r="B722" s="38" t="s">
        <v>77</v>
      </c>
      <c r="C722" s="37"/>
      <c r="D722" s="37"/>
      <c r="E722" s="36"/>
      <c r="F722" s="35"/>
    </row>
    <row r="723" spans="1:6" ht="15" x14ac:dyDescent="0.3">
      <c r="A723" s="34" t="s">
        <v>26</v>
      </c>
      <c r="B723" s="34" t="s">
        <v>25</v>
      </c>
      <c r="C723" s="34" t="s">
        <v>24</v>
      </c>
      <c r="D723" s="34" t="s">
        <v>23</v>
      </c>
      <c r="E723" s="34" t="s">
        <v>22</v>
      </c>
      <c r="F723" s="34" t="s">
        <v>21</v>
      </c>
    </row>
    <row r="724" spans="1:6" ht="31.2" x14ac:dyDescent="0.3">
      <c r="A724" s="33">
        <v>9</v>
      </c>
      <c r="B724" s="32" t="s">
        <v>10</v>
      </c>
      <c r="C724" s="32" t="s">
        <v>102</v>
      </c>
      <c r="D724" s="96">
        <v>1406</v>
      </c>
      <c r="E724" s="96">
        <f>+A724*D724</f>
        <v>12654</v>
      </c>
      <c r="F724" s="22"/>
    </row>
    <row r="725" spans="1:6" ht="31.2" x14ac:dyDescent="0.3">
      <c r="A725" s="29">
        <v>9</v>
      </c>
      <c r="B725" s="25" t="s">
        <v>10</v>
      </c>
      <c r="C725" s="25" t="s">
        <v>101</v>
      </c>
      <c r="D725" s="73">
        <v>492.53</v>
      </c>
      <c r="E725" s="93">
        <f>+A725*D725</f>
        <v>4432.7699999999995</v>
      </c>
      <c r="F725" s="22"/>
    </row>
    <row r="726" spans="1:6" ht="15.6" x14ac:dyDescent="0.3">
      <c r="A726" s="29"/>
      <c r="B726" s="25"/>
      <c r="C726" s="25"/>
      <c r="D726" s="73"/>
      <c r="E726" s="93"/>
      <c r="F726" s="22"/>
    </row>
    <row r="727" spans="1:6" ht="15.6" x14ac:dyDescent="0.3">
      <c r="A727" s="29"/>
      <c r="B727" s="27"/>
      <c r="C727" s="27"/>
      <c r="D727" s="73"/>
      <c r="E727" s="93"/>
      <c r="F727" s="22"/>
    </row>
    <row r="728" spans="1:6" ht="15.6" x14ac:dyDescent="0.3">
      <c r="A728" s="29"/>
      <c r="B728" s="27"/>
      <c r="C728" s="28"/>
      <c r="D728" s="73"/>
      <c r="E728" s="93"/>
      <c r="F728" s="22"/>
    </row>
    <row r="729" spans="1:6" ht="15.6" x14ac:dyDescent="0.3">
      <c r="A729" s="29"/>
      <c r="B729" s="27"/>
      <c r="C729" s="28"/>
      <c r="D729" s="73"/>
      <c r="E729" s="93"/>
      <c r="F729" s="22"/>
    </row>
    <row r="730" spans="1:6" ht="15.6" x14ac:dyDescent="0.3">
      <c r="A730" s="29"/>
      <c r="B730" s="27"/>
      <c r="C730" s="28"/>
      <c r="D730" s="94"/>
      <c r="E730" s="102"/>
      <c r="F730" s="22"/>
    </row>
    <row r="731" spans="1:6" ht="15.6" x14ac:dyDescent="0.3">
      <c r="A731" s="26"/>
      <c r="B731" s="27"/>
      <c r="C731" s="27"/>
      <c r="D731" s="73"/>
      <c r="E731" s="93"/>
      <c r="F731" s="22"/>
    </row>
    <row r="732" spans="1:6" ht="15.6" x14ac:dyDescent="0.3">
      <c r="A732" s="26"/>
      <c r="B732" s="27"/>
      <c r="C732" s="27"/>
      <c r="D732" s="73"/>
      <c r="E732" s="93"/>
      <c r="F732" s="22"/>
    </row>
    <row r="733" spans="1:6" ht="15.6" x14ac:dyDescent="0.3">
      <c r="A733" s="26"/>
      <c r="B733" s="25"/>
      <c r="C733" s="25"/>
      <c r="D733" s="72"/>
      <c r="E733" s="93"/>
      <c r="F733" s="22"/>
    </row>
    <row r="734" spans="1:6" ht="15.6" x14ac:dyDescent="0.3">
      <c r="A734" s="26"/>
      <c r="B734" s="25"/>
      <c r="C734" s="25"/>
      <c r="D734" s="72"/>
      <c r="E734" s="93"/>
      <c r="F734" s="22"/>
    </row>
    <row r="735" spans="1:6" ht="15.6" x14ac:dyDescent="0.3">
      <c r="A735" s="26"/>
      <c r="B735" s="25"/>
      <c r="C735" s="25"/>
      <c r="D735" s="72"/>
      <c r="E735" s="93"/>
      <c r="F735" s="22"/>
    </row>
    <row r="736" spans="1:6" ht="15.6" x14ac:dyDescent="0.3">
      <c r="A736" s="26"/>
      <c r="B736" s="25"/>
      <c r="C736" s="25"/>
      <c r="D736" s="72"/>
      <c r="E736" s="93"/>
      <c r="F736" s="22"/>
    </row>
    <row r="737" spans="1:7" ht="15.6" x14ac:dyDescent="0.3">
      <c r="A737" s="26"/>
      <c r="B737" s="25"/>
      <c r="C737" s="25"/>
      <c r="D737" s="72"/>
      <c r="E737" s="93"/>
      <c r="F737" s="22"/>
    </row>
    <row r="738" spans="1:7" ht="15.6" x14ac:dyDescent="0.3">
      <c r="A738" s="21"/>
      <c r="B738" s="20"/>
      <c r="C738" s="20"/>
      <c r="D738" s="69"/>
      <c r="E738" s="91"/>
      <c r="F738" s="18"/>
    </row>
    <row r="739" spans="1:7" ht="17.399999999999999" x14ac:dyDescent="0.3">
      <c r="A739" s="17"/>
      <c r="B739" s="16"/>
      <c r="C739" s="294" t="s">
        <v>8</v>
      </c>
      <c r="D739" s="294"/>
      <c r="E739" s="15">
        <f>+E724</f>
        <v>12654</v>
      </c>
      <c r="F739" s="14"/>
    </row>
    <row r="740" spans="1:7" ht="17.399999999999999" x14ac:dyDescent="0.3">
      <c r="A740" s="11"/>
      <c r="B740" s="10"/>
      <c r="C740" s="294" t="s">
        <v>7</v>
      </c>
      <c r="D740" s="294"/>
      <c r="E740" s="13">
        <f>+E739*0.16</f>
        <v>2024.64</v>
      </c>
      <c r="F740" s="12"/>
    </row>
    <row r="741" spans="1:7" ht="17.399999999999999" x14ac:dyDescent="0.3">
      <c r="A741" s="11"/>
      <c r="B741" s="10"/>
      <c r="C741" s="294" t="s">
        <v>6</v>
      </c>
      <c r="D741" s="294"/>
      <c r="E741" s="8">
        <f>+E739+E740</f>
        <v>14678.64</v>
      </c>
      <c r="F741" s="7"/>
    </row>
    <row r="742" spans="1:7" ht="15.6" x14ac:dyDescent="0.3">
      <c r="A742" s="6" t="s">
        <v>5</v>
      </c>
      <c r="B742" s="5"/>
      <c r="C742" s="5" t="s">
        <v>4</v>
      </c>
      <c r="D742" s="5"/>
      <c r="E742" s="5"/>
      <c r="F742" s="4" t="s">
        <v>3</v>
      </c>
    </row>
    <row r="743" spans="1:7" ht="15.6" x14ac:dyDescent="0.3">
      <c r="A743" s="3" t="s">
        <v>2</v>
      </c>
      <c r="B743" s="2"/>
      <c r="C743" s="2" t="s">
        <v>1</v>
      </c>
      <c r="D743" s="2"/>
      <c r="E743" s="2"/>
      <c r="F743" s="1" t="s">
        <v>70</v>
      </c>
    </row>
    <row r="746" spans="1:7" ht="24.6" x14ac:dyDescent="0.3">
      <c r="A746" s="271" t="s">
        <v>100</v>
      </c>
      <c r="B746" s="302"/>
      <c r="C746" s="272"/>
      <c r="D746" s="305" t="s">
        <v>37</v>
      </c>
      <c r="E746" s="306"/>
      <c r="F746" s="306"/>
      <c r="G746" s="307"/>
    </row>
    <row r="747" spans="1:7" ht="21" x14ac:dyDescent="0.4">
      <c r="A747" s="273"/>
      <c r="B747" s="303"/>
      <c r="C747" s="274"/>
      <c r="D747" s="51" t="s">
        <v>36</v>
      </c>
      <c r="E747" s="308" t="s">
        <v>99</v>
      </c>
      <c r="F747" s="282"/>
      <c r="G747" s="50"/>
    </row>
    <row r="748" spans="1:7" ht="21" x14ac:dyDescent="0.4">
      <c r="A748" s="273"/>
      <c r="B748" s="303"/>
      <c r="C748" s="274"/>
      <c r="D748" s="51" t="s">
        <v>51</v>
      </c>
      <c r="E748" s="284">
        <v>16</v>
      </c>
      <c r="F748" s="282"/>
      <c r="G748" s="50"/>
    </row>
    <row r="749" spans="1:7" ht="30" x14ac:dyDescent="0.3">
      <c r="A749" s="275"/>
      <c r="B749" s="304"/>
      <c r="C749" s="276"/>
      <c r="D749" s="47" t="s">
        <v>50</v>
      </c>
      <c r="E749" s="287">
        <v>2244</v>
      </c>
      <c r="F749" s="287"/>
      <c r="G749" s="87"/>
    </row>
    <row r="750" spans="1:7" ht="20.399999999999999" x14ac:dyDescent="0.35">
      <c r="A750" s="39" t="s">
        <v>48</v>
      </c>
      <c r="B750" s="43" t="s">
        <v>47</v>
      </c>
      <c r="C750" s="42"/>
      <c r="D750" s="42"/>
      <c r="E750" s="42"/>
      <c r="F750" s="42"/>
      <c r="G750" s="106"/>
    </row>
    <row r="751" spans="1:7" ht="20.399999999999999" x14ac:dyDescent="0.35">
      <c r="A751" s="39" t="s">
        <v>30</v>
      </c>
      <c r="B751" s="38"/>
      <c r="C751" s="37"/>
      <c r="D751" s="37"/>
      <c r="E751" s="37"/>
      <c r="F751" s="37"/>
      <c r="G751" s="77"/>
    </row>
    <row r="752" spans="1:7" ht="20.399999999999999" x14ac:dyDescent="0.35">
      <c r="A752" s="39" t="s">
        <v>46</v>
      </c>
      <c r="B752" s="291" t="s">
        <v>98</v>
      </c>
      <c r="C752" s="292"/>
      <c r="D752" s="292"/>
      <c r="E752" s="292"/>
      <c r="F752" s="292"/>
      <c r="G752" s="293"/>
    </row>
    <row r="753" spans="1:7" ht="20.399999999999999" x14ac:dyDescent="0.35">
      <c r="A753" s="39" t="s">
        <v>28</v>
      </c>
      <c r="B753" s="38" t="s">
        <v>97</v>
      </c>
      <c r="C753" s="37"/>
      <c r="D753" s="37"/>
      <c r="E753" s="37"/>
      <c r="F753" s="37"/>
      <c r="G753" s="77"/>
    </row>
    <row r="754" spans="1:7" ht="15" x14ac:dyDescent="0.3">
      <c r="A754" s="34" t="s">
        <v>26</v>
      </c>
      <c r="B754" s="34" t="s">
        <v>25</v>
      </c>
      <c r="C754" s="34" t="s">
        <v>24</v>
      </c>
      <c r="D754" s="34" t="s">
        <v>43</v>
      </c>
      <c r="E754" s="34" t="s">
        <v>42</v>
      </c>
      <c r="F754" s="34" t="s">
        <v>22</v>
      </c>
      <c r="G754" s="34" t="s">
        <v>21</v>
      </c>
    </row>
    <row r="755" spans="1:7" ht="15.6" x14ac:dyDescent="0.3">
      <c r="A755" s="33"/>
      <c r="B755" s="32"/>
      <c r="C755" s="32"/>
      <c r="D755" s="76"/>
      <c r="E755" s="75"/>
      <c r="F755" s="75">
        <f t="shared" ref="F755:F769" si="9">A755*E755</f>
        <v>0</v>
      </c>
      <c r="G755" s="74"/>
    </row>
    <row r="756" spans="1:7" ht="15.6" x14ac:dyDescent="0.3">
      <c r="A756" s="29"/>
      <c r="B756" s="25"/>
      <c r="C756" s="25"/>
      <c r="D756" s="73"/>
      <c r="E756" s="71"/>
      <c r="F756" s="71">
        <f t="shared" si="9"/>
        <v>0</v>
      </c>
      <c r="G756" s="74"/>
    </row>
    <row r="757" spans="1:7" ht="15.6" x14ac:dyDescent="0.3">
      <c r="A757" s="29">
        <v>10</v>
      </c>
      <c r="B757" s="25" t="s">
        <v>94</v>
      </c>
      <c r="C757" s="25" t="s">
        <v>96</v>
      </c>
      <c r="D757" s="73" t="s">
        <v>95</v>
      </c>
      <c r="E757" s="71">
        <v>96.82</v>
      </c>
      <c r="F757" s="71">
        <f t="shared" si="9"/>
        <v>968.19999999999993</v>
      </c>
      <c r="G757" s="74"/>
    </row>
    <row r="758" spans="1:7" ht="15.6" x14ac:dyDescent="0.3">
      <c r="A758" s="29">
        <v>10</v>
      </c>
      <c r="B758" s="27" t="s">
        <v>94</v>
      </c>
      <c r="C758" s="27" t="s">
        <v>93</v>
      </c>
      <c r="D758" s="73" t="s">
        <v>92</v>
      </c>
      <c r="E758" s="71">
        <v>219.26</v>
      </c>
      <c r="F758" s="71">
        <f t="shared" si="9"/>
        <v>2192.6</v>
      </c>
      <c r="G758" s="70"/>
    </row>
    <row r="759" spans="1:7" ht="15.6" x14ac:dyDescent="0.3">
      <c r="A759" s="29"/>
      <c r="B759" s="27"/>
      <c r="C759" s="27"/>
      <c r="D759" s="73"/>
      <c r="E759" s="71"/>
      <c r="F759" s="71">
        <f t="shared" si="9"/>
        <v>0</v>
      </c>
      <c r="G759" s="70"/>
    </row>
    <row r="760" spans="1:7" ht="15.6" x14ac:dyDescent="0.3">
      <c r="A760" s="29"/>
      <c r="B760" s="27"/>
      <c r="C760" s="27"/>
      <c r="D760" s="73"/>
      <c r="E760" s="71"/>
      <c r="F760" s="71">
        <f t="shared" si="9"/>
        <v>0</v>
      </c>
      <c r="G760" s="70"/>
    </row>
    <row r="761" spans="1:7" ht="15.6" x14ac:dyDescent="0.3">
      <c r="A761" s="29"/>
      <c r="B761" s="27"/>
      <c r="C761" s="27"/>
      <c r="D761" s="73"/>
      <c r="E761" s="71"/>
      <c r="F761" s="71">
        <f t="shared" si="9"/>
        <v>0</v>
      </c>
      <c r="G761" s="70"/>
    </row>
    <row r="762" spans="1:7" ht="15.6" x14ac:dyDescent="0.3">
      <c r="A762" s="26"/>
      <c r="B762" s="27"/>
      <c r="C762" s="27"/>
      <c r="D762" s="73"/>
      <c r="E762" s="71"/>
      <c r="F762" s="71">
        <f t="shared" si="9"/>
        <v>0</v>
      </c>
      <c r="G762" s="70"/>
    </row>
    <row r="763" spans="1:7" ht="15.6" x14ac:dyDescent="0.3">
      <c r="A763" s="26"/>
      <c r="B763" s="27"/>
      <c r="C763" s="27"/>
      <c r="D763" s="99"/>
      <c r="E763" s="71"/>
      <c r="F763" s="71">
        <f t="shared" si="9"/>
        <v>0</v>
      </c>
      <c r="G763" s="70"/>
    </row>
    <row r="764" spans="1:7" ht="15.6" x14ac:dyDescent="0.3">
      <c r="A764" s="26"/>
      <c r="B764" s="25"/>
      <c r="C764" s="25"/>
      <c r="D764" s="72"/>
      <c r="E764" s="71"/>
      <c r="F764" s="71">
        <f t="shared" si="9"/>
        <v>0</v>
      </c>
      <c r="G764" s="70"/>
    </row>
    <row r="765" spans="1:7" ht="15.6" x14ac:dyDescent="0.3">
      <c r="A765" s="26"/>
      <c r="B765" s="25"/>
      <c r="C765" s="25"/>
      <c r="D765" s="72"/>
      <c r="E765" s="71"/>
      <c r="F765" s="71">
        <f t="shared" si="9"/>
        <v>0</v>
      </c>
      <c r="G765" s="70"/>
    </row>
    <row r="766" spans="1:7" ht="15.6" x14ac:dyDescent="0.3">
      <c r="A766" s="26"/>
      <c r="B766" s="25"/>
      <c r="C766" s="25"/>
      <c r="D766" s="72"/>
      <c r="E766" s="71"/>
      <c r="F766" s="71">
        <f t="shared" si="9"/>
        <v>0</v>
      </c>
      <c r="G766" s="70"/>
    </row>
    <row r="767" spans="1:7" ht="15.6" x14ac:dyDescent="0.3">
      <c r="A767" s="26"/>
      <c r="B767" s="25"/>
      <c r="C767" s="25"/>
      <c r="D767" s="72"/>
      <c r="E767" s="71"/>
      <c r="F767" s="71">
        <f t="shared" si="9"/>
        <v>0</v>
      </c>
      <c r="G767" s="70"/>
    </row>
    <row r="768" spans="1:7" ht="15.6" x14ac:dyDescent="0.3">
      <c r="A768" s="26"/>
      <c r="B768" s="25"/>
      <c r="C768" s="25"/>
      <c r="D768" s="72"/>
      <c r="E768" s="71"/>
      <c r="F768" s="71">
        <f t="shared" si="9"/>
        <v>0</v>
      </c>
      <c r="G768" s="70"/>
    </row>
    <row r="769" spans="1:7" ht="15.6" x14ac:dyDescent="0.3">
      <c r="A769" s="21"/>
      <c r="B769" s="20"/>
      <c r="C769" s="20"/>
      <c r="D769" s="69"/>
      <c r="E769" s="68"/>
      <c r="F769" s="68">
        <f t="shared" si="9"/>
        <v>0</v>
      </c>
      <c r="G769" s="67"/>
    </row>
    <row r="770" spans="1:7" ht="17.399999999999999" x14ac:dyDescent="0.3">
      <c r="A770" s="17"/>
      <c r="B770" s="16"/>
      <c r="C770" s="9" t="s">
        <v>8</v>
      </c>
      <c r="D770" s="9"/>
      <c r="E770" s="66"/>
      <c r="F770" s="105">
        <f>SUM(F755:F768)</f>
        <v>3160.7999999999997</v>
      </c>
      <c r="G770" s="64"/>
    </row>
    <row r="771" spans="1:7" ht="17.399999999999999" x14ac:dyDescent="0.3">
      <c r="A771" s="11"/>
      <c r="B771" s="10"/>
      <c r="C771" s="63" t="s">
        <v>7</v>
      </c>
      <c r="D771" s="63"/>
      <c r="E771" s="62"/>
      <c r="F771" s="104">
        <f>F770*0.16</f>
        <v>505.72799999999995</v>
      </c>
      <c r="G771" s="60"/>
    </row>
    <row r="772" spans="1:7" ht="17.399999999999999" x14ac:dyDescent="0.3">
      <c r="A772" s="11"/>
      <c r="B772" s="10"/>
      <c r="C772" s="59" t="s">
        <v>6</v>
      </c>
      <c r="D772" s="59"/>
      <c r="E772" s="58"/>
      <c r="F772" s="103">
        <f>F770+F771</f>
        <v>3666.5279999999998</v>
      </c>
      <c r="G772" s="56"/>
    </row>
    <row r="773" spans="1:7" ht="15.6" x14ac:dyDescent="0.3">
      <c r="A773" s="6" t="s">
        <v>5</v>
      </c>
      <c r="B773" s="5"/>
      <c r="C773" s="5" t="s">
        <v>4</v>
      </c>
      <c r="D773" s="5"/>
      <c r="E773" s="5" t="s">
        <v>3</v>
      </c>
      <c r="F773" s="5"/>
      <c r="G773" s="4"/>
    </row>
    <row r="774" spans="1:7" ht="15.6" x14ac:dyDescent="0.3">
      <c r="A774" s="3" t="s">
        <v>2</v>
      </c>
      <c r="B774" s="2"/>
      <c r="C774" s="2" t="s">
        <v>91</v>
      </c>
      <c r="D774" s="2"/>
      <c r="E774" s="2" t="s">
        <v>70</v>
      </c>
      <c r="F774" s="2"/>
      <c r="G774" s="1"/>
    </row>
    <row r="778" spans="1:7" ht="30" x14ac:dyDescent="0.4">
      <c r="A778" s="55"/>
      <c r="B778" s="271" t="s">
        <v>38</v>
      </c>
      <c r="C778" s="272"/>
      <c r="D778" s="54"/>
      <c r="E778" s="305" t="s">
        <v>37</v>
      </c>
      <c r="F778" s="307"/>
    </row>
    <row r="779" spans="1:7" ht="30" x14ac:dyDescent="0.4">
      <c r="A779" s="53"/>
      <c r="B779" s="273"/>
      <c r="C779" s="274"/>
      <c r="D779" s="52"/>
      <c r="E779" s="51" t="s">
        <v>36</v>
      </c>
      <c r="F779" s="50" t="s">
        <v>90</v>
      </c>
    </row>
    <row r="780" spans="1:7" ht="30" x14ac:dyDescent="0.4">
      <c r="A780" s="49"/>
      <c r="B780" s="275"/>
      <c r="C780" s="276"/>
      <c r="D780" s="48"/>
      <c r="E780" s="47" t="s">
        <v>34</v>
      </c>
      <c r="F780" s="46" t="s">
        <v>89</v>
      </c>
    </row>
    <row r="781" spans="1:7" ht="20.399999999999999" x14ac:dyDescent="0.35">
      <c r="A781" s="39" t="s">
        <v>32</v>
      </c>
      <c r="B781" s="43" t="s">
        <v>47</v>
      </c>
      <c r="C781" s="42"/>
      <c r="D781" s="42"/>
      <c r="E781" s="98"/>
      <c r="F781" s="97"/>
    </row>
    <row r="782" spans="1:7" ht="20.399999999999999" x14ac:dyDescent="0.35">
      <c r="A782" s="39" t="s">
        <v>30</v>
      </c>
      <c r="B782" s="43" t="s">
        <v>88</v>
      </c>
      <c r="C782" s="42"/>
      <c r="D782" s="42"/>
      <c r="E782" s="41"/>
      <c r="F782" s="40"/>
    </row>
    <row r="783" spans="1:7" ht="20.399999999999999" x14ac:dyDescent="0.35">
      <c r="A783" s="39"/>
      <c r="B783" s="38"/>
      <c r="C783" s="37"/>
      <c r="D783" s="37"/>
      <c r="E783" s="41"/>
      <c r="F783" s="40"/>
    </row>
    <row r="784" spans="1:7" ht="20.399999999999999" x14ac:dyDescent="0.35">
      <c r="A784" s="39" t="s">
        <v>28</v>
      </c>
      <c r="B784" s="38" t="s">
        <v>77</v>
      </c>
      <c r="C784" s="37"/>
      <c r="D784" s="37"/>
      <c r="E784" s="36"/>
      <c r="F784" s="35"/>
    </row>
    <row r="785" spans="1:6" ht="15" x14ac:dyDescent="0.3">
      <c r="A785" s="34" t="s">
        <v>26</v>
      </c>
      <c r="B785" s="34" t="s">
        <v>25</v>
      </c>
      <c r="C785" s="34" t="s">
        <v>24</v>
      </c>
      <c r="D785" s="34" t="s">
        <v>23</v>
      </c>
      <c r="E785" s="34" t="s">
        <v>22</v>
      </c>
      <c r="F785" s="34" t="s">
        <v>21</v>
      </c>
    </row>
    <row r="786" spans="1:6" ht="15.6" x14ac:dyDescent="0.3">
      <c r="A786" s="33"/>
      <c r="B786" s="32"/>
      <c r="C786" s="32"/>
      <c r="D786" s="96"/>
      <c r="E786" s="96"/>
      <c r="F786" s="22"/>
    </row>
    <row r="787" spans="1:6" ht="15.6" x14ac:dyDescent="0.3">
      <c r="A787" s="29"/>
      <c r="B787" s="25"/>
      <c r="C787" s="25"/>
      <c r="D787" s="73"/>
      <c r="E787" s="93"/>
      <c r="F787" s="22"/>
    </row>
    <row r="788" spans="1:6" ht="15.6" x14ac:dyDescent="0.3">
      <c r="A788" s="29"/>
      <c r="B788" s="25"/>
      <c r="C788" s="25"/>
      <c r="D788" s="73"/>
      <c r="E788" s="93"/>
      <c r="F788" s="22"/>
    </row>
    <row r="789" spans="1:6" ht="15.6" x14ac:dyDescent="0.3">
      <c r="A789" s="29"/>
      <c r="B789" s="27"/>
      <c r="C789" s="27"/>
      <c r="D789" s="73"/>
      <c r="E789" s="93"/>
      <c r="F789" s="22"/>
    </row>
    <row r="790" spans="1:6" ht="15.6" x14ac:dyDescent="0.3">
      <c r="A790" s="29"/>
      <c r="B790" s="27"/>
      <c r="C790" s="28"/>
      <c r="D790" s="73"/>
      <c r="E790" s="93"/>
      <c r="F790" s="22"/>
    </row>
    <row r="791" spans="1:6" ht="15.6" x14ac:dyDescent="0.3">
      <c r="A791" s="29"/>
      <c r="B791" s="27"/>
      <c r="C791" s="28"/>
      <c r="D791" s="73"/>
      <c r="E791" s="93"/>
      <c r="F791" s="22"/>
    </row>
    <row r="792" spans="1:6" ht="15.6" x14ac:dyDescent="0.3">
      <c r="A792" s="29"/>
      <c r="B792" s="27"/>
      <c r="C792" s="28"/>
      <c r="D792" s="94"/>
      <c r="E792" s="102"/>
      <c r="F792" s="22"/>
    </row>
    <row r="793" spans="1:6" ht="15.6" x14ac:dyDescent="0.3">
      <c r="A793" s="26"/>
      <c r="B793" s="27"/>
      <c r="C793" s="27"/>
      <c r="D793" s="73"/>
      <c r="E793" s="93"/>
      <c r="F793" s="22"/>
    </row>
    <row r="794" spans="1:6" ht="15.6" x14ac:dyDescent="0.3">
      <c r="A794" s="26"/>
      <c r="B794" s="27"/>
      <c r="C794" s="27"/>
      <c r="D794" s="73"/>
      <c r="E794" s="93"/>
      <c r="F794" s="22"/>
    </row>
    <row r="795" spans="1:6" ht="15.6" x14ac:dyDescent="0.3">
      <c r="A795" s="26"/>
      <c r="B795" s="25"/>
      <c r="C795" s="25"/>
      <c r="D795" s="72"/>
      <c r="E795" s="93"/>
      <c r="F795" s="22"/>
    </row>
    <row r="796" spans="1:6" ht="15.6" x14ac:dyDescent="0.3">
      <c r="A796" s="26"/>
      <c r="B796" s="25"/>
      <c r="C796" s="25"/>
      <c r="D796" s="72"/>
      <c r="E796" s="93"/>
      <c r="F796" s="22"/>
    </row>
    <row r="797" spans="1:6" ht="15.6" x14ac:dyDescent="0.3">
      <c r="A797" s="26"/>
      <c r="B797" s="25"/>
      <c r="C797" s="25"/>
      <c r="D797" s="72"/>
      <c r="E797" s="93"/>
      <c r="F797" s="22"/>
    </row>
    <row r="798" spans="1:6" ht="15.6" x14ac:dyDescent="0.3">
      <c r="A798" s="26"/>
      <c r="B798" s="25"/>
      <c r="C798" s="25"/>
      <c r="D798" s="72"/>
      <c r="E798" s="93"/>
      <c r="F798" s="22"/>
    </row>
    <row r="799" spans="1:6" ht="15.6" x14ac:dyDescent="0.3">
      <c r="A799" s="26"/>
      <c r="B799" s="25"/>
      <c r="C799" s="25"/>
      <c r="D799" s="72"/>
      <c r="E799" s="93"/>
      <c r="F799" s="22"/>
    </row>
    <row r="800" spans="1:6" ht="15.6" x14ac:dyDescent="0.3">
      <c r="A800" s="21"/>
      <c r="B800" s="20"/>
      <c r="C800" s="20"/>
      <c r="D800" s="69"/>
      <c r="E800" s="91"/>
      <c r="F800" s="18"/>
    </row>
    <row r="801" spans="1:6" ht="17.399999999999999" x14ac:dyDescent="0.3">
      <c r="A801" s="17"/>
      <c r="B801" s="16"/>
      <c r="C801" s="294" t="s">
        <v>8</v>
      </c>
      <c r="D801" s="294"/>
      <c r="E801" s="15">
        <f>+E786</f>
        <v>0</v>
      </c>
      <c r="F801" s="14"/>
    </row>
    <row r="802" spans="1:6" ht="17.399999999999999" x14ac:dyDescent="0.3">
      <c r="A802" s="11"/>
      <c r="B802" s="10"/>
      <c r="C802" s="294" t="s">
        <v>7</v>
      </c>
      <c r="D802" s="294"/>
      <c r="E802" s="13">
        <f>+E801*0.16</f>
        <v>0</v>
      </c>
      <c r="F802" s="12"/>
    </row>
    <row r="803" spans="1:6" ht="17.399999999999999" x14ac:dyDescent="0.3">
      <c r="A803" s="11"/>
      <c r="B803" s="10"/>
      <c r="C803" s="294" t="s">
        <v>6</v>
      </c>
      <c r="D803" s="294"/>
      <c r="E803" s="8">
        <f>+E801+E802</f>
        <v>0</v>
      </c>
      <c r="F803" s="7"/>
    </row>
    <row r="804" spans="1:6" ht="15.6" x14ac:dyDescent="0.3">
      <c r="A804" s="6" t="s">
        <v>5</v>
      </c>
      <c r="B804" s="5"/>
      <c r="C804" s="5" t="s">
        <v>4</v>
      </c>
      <c r="D804" s="5"/>
      <c r="E804" s="5"/>
      <c r="F804" s="4" t="s">
        <v>3</v>
      </c>
    </row>
    <row r="805" spans="1:6" ht="15.6" x14ac:dyDescent="0.3">
      <c r="A805" s="3" t="s">
        <v>2</v>
      </c>
      <c r="B805" s="2"/>
      <c r="C805" s="2" t="s">
        <v>1</v>
      </c>
      <c r="D805" s="2"/>
      <c r="E805" s="2"/>
      <c r="F805" s="1" t="s">
        <v>70</v>
      </c>
    </row>
    <row r="808" spans="1:6" ht="30" x14ac:dyDescent="0.4">
      <c r="A808" s="55"/>
      <c r="B808" s="271" t="s">
        <v>38</v>
      </c>
      <c r="C808" s="272"/>
      <c r="D808" s="54"/>
      <c r="E808" s="305" t="s">
        <v>37</v>
      </c>
      <c r="F808" s="307"/>
    </row>
    <row r="809" spans="1:6" ht="30" x14ac:dyDescent="0.4">
      <c r="A809" s="53"/>
      <c r="B809" s="273"/>
      <c r="C809" s="274"/>
      <c r="D809" s="52"/>
      <c r="E809" s="51" t="s">
        <v>36</v>
      </c>
      <c r="F809" s="50" t="s">
        <v>80</v>
      </c>
    </row>
    <row r="810" spans="1:6" ht="30" x14ac:dyDescent="0.4">
      <c r="A810" s="53"/>
      <c r="B810" s="273"/>
      <c r="C810" s="274"/>
      <c r="D810" s="52"/>
      <c r="E810" s="51" t="s">
        <v>87</v>
      </c>
      <c r="F810" s="50">
        <v>19</v>
      </c>
    </row>
    <row r="811" spans="1:6" ht="30" x14ac:dyDescent="0.4">
      <c r="A811" s="49"/>
      <c r="B811" s="275"/>
      <c r="C811" s="276"/>
      <c r="D811" s="48"/>
      <c r="E811" s="47" t="s">
        <v>34</v>
      </c>
      <c r="F811" s="46" t="s">
        <v>86</v>
      </c>
    </row>
    <row r="812" spans="1:6" ht="20.399999999999999" x14ac:dyDescent="0.35">
      <c r="A812" s="39" t="s">
        <v>5</v>
      </c>
      <c r="B812" s="43" t="s">
        <v>47</v>
      </c>
      <c r="C812" s="42"/>
      <c r="D812" s="42"/>
      <c r="E812" s="98"/>
      <c r="F812" s="97"/>
    </row>
    <row r="813" spans="1:6" ht="20.399999999999999" x14ac:dyDescent="0.35">
      <c r="A813" s="39" t="s">
        <v>30</v>
      </c>
      <c r="B813" s="43"/>
      <c r="C813" s="42"/>
      <c r="D813" s="42"/>
      <c r="E813" s="41"/>
      <c r="F813" s="40"/>
    </row>
    <row r="814" spans="1:6" ht="20.399999999999999" x14ac:dyDescent="0.35">
      <c r="A814" s="39" t="s">
        <v>73</v>
      </c>
      <c r="B814" s="38" t="s">
        <v>85</v>
      </c>
      <c r="C814" s="37"/>
      <c r="D814" s="37"/>
      <c r="E814" s="41"/>
      <c r="F814" s="40"/>
    </row>
    <row r="815" spans="1:6" ht="20.399999999999999" x14ac:dyDescent="0.35">
      <c r="A815" s="39" t="s">
        <v>28</v>
      </c>
      <c r="B815" s="38" t="s">
        <v>55</v>
      </c>
      <c r="C815" s="37"/>
      <c r="D815" s="37"/>
      <c r="E815" s="36"/>
      <c r="F815" s="35"/>
    </row>
    <row r="816" spans="1:6" ht="15" x14ac:dyDescent="0.3">
      <c r="A816" s="34" t="s">
        <v>26</v>
      </c>
      <c r="B816" s="34" t="s">
        <v>25</v>
      </c>
      <c r="C816" s="34" t="s">
        <v>24</v>
      </c>
      <c r="D816" s="34" t="s">
        <v>23</v>
      </c>
      <c r="E816" s="34" t="s">
        <v>22</v>
      </c>
      <c r="F816" s="34" t="s">
        <v>21</v>
      </c>
    </row>
    <row r="817" spans="1:6" ht="15.6" x14ac:dyDescent="0.3">
      <c r="A817" s="33">
        <v>80</v>
      </c>
      <c r="B817" s="32" t="s">
        <v>83</v>
      </c>
      <c r="C817" s="32" t="s">
        <v>84</v>
      </c>
      <c r="D817" s="101">
        <v>105</v>
      </c>
      <c r="E817" s="96">
        <f t="shared" ref="E817:E830" si="10">+A817*D817</f>
        <v>8400</v>
      </c>
      <c r="F817" s="22"/>
    </row>
    <row r="818" spans="1:6" ht="15.6" x14ac:dyDescent="0.3">
      <c r="A818" s="29">
        <v>80</v>
      </c>
      <c r="B818" s="25" t="s">
        <v>83</v>
      </c>
      <c r="C818" s="25" t="s">
        <v>82</v>
      </c>
      <c r="D818" s="100">
        <v>80</v>
      </c>
      <c r="E818" s="93">
        <f t="shared" si="10"/>
        <v>6400</v>
      </c>
      <c r="F818" s="22"/>
    </row>
    <row r="819" spans="1:6" ht="15.6" x14ac:dyDescent="0.3">
      <c r="A819" s="29"/>
      <c r="B819" s="25"/>
      <c r="C819" s="25"/>
      <c r="D819" s="100"/>
      <c r="E819" s="93">
        <f t="shared" si="10"/>
        <v>0</v>
      </c>
      <c r="F819" s="22"/>
    </row>
    <row r="820" spans="1:6" ht="15.6" x14ac:dyDescent="0.3">
      <c r="A820" s="29"/>
      <c r="B820" s="27"/>
      <c r="C820" s="27"/>
      <c r="D820" s="100"/>
      <c r="E820" s="93">
        <f t="shared" si="10"/>
        <v>0</v>
      </c>
      <c r="F820" s="22"/>
    </row>
    <row r="821" spans="1:6" ht="15.6" x14ac:dyDescent="0.3">
      <c r="A821" s="29"/>
      <c r="B821" s="27"/>
      <c r="C821" s="28"/>
      <c r="D821" s="100"/>
      <c r="E821" s="93">
        <f t="shared" si="10"/>
        <v>0</v>
      </c>
      <c r="F821" s="22"/>
    </row>
    <row r="822" spans="1:6" ht="15.6" x14ac:dyDescent="0.3">
      <c r="A822" s="29"/>
      <c r="B822" s="27"/>
      <c r="C822" s="28"/>
      <c r="D822" s="100"/>
      <c r="E822" s="93">
        <f t="shared" si="10"/>
        <v>0</v>
      </c>
      <c r="F822" s="22"/>
    </row>
    <row r="823" spans="1:6" ht="15.6" x14ac:dyDescent="0.3">
      <c r="A823" s="29"/>
      <c r="B823" s="27"/>
      <c r="C823" s="28"/>
      <c r="D823" s="100"/>
      <c r="E823" s="93">
        <f t="shared" si="10"/>
        <v>0</v>
      </c>
      <c r="F823" s="22"/>
    </row>
    <row r="824" spans="1:6" ht="15.6" x14ac:dyDescent="0.3">
      <c r="A824" s="26"/>
      <c r="B824" s="27"/>
      <c r="C824" s="27"/>
      <c r="D824" s="100"/>
      <c r="E824" s="93">
        <f t="shared" si="10"/>
        <v>0</v>
      </c>
      <c r="F824" s="22"/>
    </row>
    <row r="825" spans="1:6" ht="15.6" x14ac:dyDescent="0.3">
      <c r="A825" s="26"/>
      <c r="B825" s="27"/>
      <c r="C825" s="27"/>
      <c r="D825" s="100"/>
      <c r="E825" s="93">
        <f t="shared" si="10"/>
        <v>0</v>
      </c>
      <c r="F825" s="22"/>
    </row>
    <row r="826" spans="1:6" ht="15.6" x14ac:dyDescent="0.3">
      <c r="A826" s="26"/>
      <c r="B826" s="25"/>
      <c r="C826" s="25"/>
      <c r="D826" s="100"/>
      <c r="E826" s="93">
        <f t="shared" si="10"/>
        <v>0</v>
      </c>
      <c r="F826" s="22"/>
    </row>
    <row r="827" spans="1:6" ht="15.6" x14ac:dyDescent="0.3">
      <c r="A827" s="26"/>
      <c r="B827" s="25"/>
      <c r="C827" s="25"/>
      <c r="D827" s="100"/>
      <c r="E827" s="93">
        <f t="shared" si="10"/>
        <v>0</v>
      </c>
      <c r="F827" s="22"/>
    </row>
    <row r="828" spans="1:6" ht="15.6" x14ac:dyDescent="0.3">
      <c r="A828" s="26"/>
      <c r="B828" s="25"/>
      <c r="C828" s="25"/>
      <c r="D828" s="100"/>
      <c r="E828" s="93">
        <f t="shared" si="10"/>
        <v>0</v>
      </c>
      <c r="F828" s="22"/>
    </row>
    <row r="829" spans="1:6" ht="15.6" x14ac:dyDescent="0.3">
      <c r="A829" s="26"/>
      <c r="B829" s="25"/>
      <c r="C829" s="25"/>
      <c r="D829" s="100"/>
      <c r="E829" s="93">
        <f t="shared" si="10"/>
        <v>0</v>
      </c>
      <c r="F829" s="22"/>
    </row>
    <row r="830" spans="1:6" ht="15.6" x14ac:dyDescent="0.3">
      <c r="A830" s="26"/>
      <c r="B830" s="25"/>
      <c r="C830" s="25"/>
      <c r="D830" s="100"/>
      <c r="E830" s="93">
        <f t="shared" si="10"/>
        <v>0</v>
      </c>
      <c r="F830" s="22"/>
    </row>
    <row r="831" spans="1:6" ht="15.6" x14ac:dyDescent="0.3">
      <c r="A831" s="21"/>
      <c r="B831" s="20"/>
      <c r="C831" s="20"/>
      <c r="D831" s="69"/>
      <c r="E831" s="91"/>
      <c r="F831" s="18"/>
    </row>
    <row r="832" spans="1:6" ht="17.399999999999999" x14ac:dyDescent="0.3">
      <c r="A832" s="17"/>
      <c r="B832" s="16"/>
      <c r="C832" s="294" t="s">
        <v>8</v>
      </c>
      <c r="D832" s="294"/>
      <c r="E832" s="15">
        <f>SUM(E817:E829)</f>
        <v>14800</v>
      </c>
      <c r="F832" s="14"/>
    </row>
    <row r="833" spans="1:7" ht="17.399999999999999" x14ac:dyDescent="0.3">
      <c r="A833" s="11"/>
      <c r="B833" s="10"/>
      <c r="C833" s="294" t="s">
        <v>7</v>
      </c>
      <c r="D833" s="294"/>
      <c r="E833" s="13">
        <f>+E832*0.16</f>
        <v>2368</v>
      </c>
      <c r="F833" s="12"/>
    </row>
    <row r="834" spans="1:7" ht="17.399999999999999" x14ac:dyDescent="0.3">
      <c r="A834" s="11"/>
      <c r="B834" s="10"/>
      <c r="C834" s="294" t="s">
        <v>6</v>
      </c>
      <c r="D834" s="294"/>
      <c r="E834" s="8">
        <f>+E832+E833</f>
        <v>17168</v>
      </c>
      <c r="F834" s="7"/>
    </row>
    <row r="835" spans="1:7" ht="15.6" x14ac:dyDescent="0.3">
      <c r="A835" s="6" t="s">
        <v>5</v>
      </c>
      <c r="B835" s="5"/>
      <c r="C835" s="5" t="s">
        <v>4</v>
      </c>
      <c r="D835" s="5"/>
      <c r="E835" s="5"/>
      <c r="F835" s="4" t="s">
        <v>3</v>
      </c>
    </row>
    <row r="836" spans="1:7" ht="15.6" x14ac:dyDescent="0.3">
      <c r="A836" s="3" t="s">
        <v>2</v>
      </c>
      <c r="B836" s="2"/>
      <c r="C836" s="2" t="s">
        <v>81</v>
      </c>
      <c r="D836" s="2"/>
      <c r="E836" s="2"/>
      <c r="F836" s="1" t="s">
        <v>70</v>
      </c>
    </row>
    <row r="839" spans="1:7" ht="24.6" x14ac:dyDescent="0.3">
      <c r="A839" s="271" t="s">
        <v>38</v>
      </c>
      <c r="B839" s="302"/>
      <c r="C839" s="272"/>
      <c r="D839" s="305" t="s">
        <v>37</v>
      </c>
      <c r="E839" s="306"/>
      <c r="F839" s="306"/>
      <c r="G839" s="307"/>
    </row>
    <row r="840" spans="1:7" ht="21" x14ac:dyDescent="0.4">
      <c r="A840" s="273"/>
      <c r="B840" s="303"/>
      <c r="C840" s="274"/>
      <c r="D840" s="51" t="s">
        <v>36</v>
      </c>
      <c r="E840" s="308" t="s">
        <v>80</v>
      </c>
      <c r="F840" s="282"/>
      <c r="G840" s="50"/>
    </row>
    <row r="841" spans="1:7" ht="21" x14ac:dyDescent="0.4">
      <c r="A841" s="273"/>
      <c r="B841" s="303"/>
      <c r="C841" s="274"/>
      <c r="D841" s="51" t="s">
        <v>51</v>
      </c>
      <c r="E841" s="284">
        <v>19</v>
      </c>
      <c r="F841" s="282"/>
      <c r="G841" s="50"/>
    </row>
    <row r="842" spans="1:7" ht="30" x14ac:dyDescent="0.3">
      <c r="A842" s="275"/>
      <c r="B842" s="304"/>
      <c r="C842" s="276"/>
      <c r="D842" s="47" t="s">
        <v>50</v>
      </c>
      <c r="E842" s="287" t="s">
        <v>79</v>
      </c>
      <c r="F842" s="287"/>
      <c r="G842" s="87"/>
    </row>
    <row r="843" spans="1:7" ht="20.399999999999999" x14ac:dyDescent="0.35">
      <c r="A843" s="39" t="s">
        <v>48</v>
      </c>
      <c r="B843" s="43" t="s">
        <v>47</v>
      </c>
      <c r="C843" s="42"/>
      <c r="D843" s="42"/>
      <c r="E843" s="309"/>
      <c r="F843" s="310"/>
      <c r="G843" s="311"/>
    </row>
    <row r="844" spans="1:7" ht="20.399999999999999" x14ac:dyDescent="0.35">
      <c r="A844" s="39" t="s">
        <v>30</v>
      </c>
      <c r="B844" s="38"/>
      <c r="C844" s="37"/>
      <c r="D844" s="37"/>
      <c r="E844" s="312"/>
      <c r="F844" s="313"/>
      <c r="G844" s="314"/>
    </row>
    <row r="845" spans="1:7" ht="20.399999999999999" x14ac:dyDescent="0.35">
      <c r="A845" s="39" t="s">
        <v>46</v>
      </c>
      <c r="B845" s="38" t="s">
        <v>78</v>
      </c>
      <c r="C845" s="37"/>
      <c r="D845" s="37"/>
      <c r="E845" s="315"/>
      <c r="F845" s="316"/>
      <c r="G845" s="317"/>
    </row>
    <row r="846" spans="1:7" ht="20.399999999999999" x14ac:dyDescent="0.35">
      <c r="A846" s="39" t="s">
        <v>28</v>
      </c>
      <c r="B846" s="38" t="s">
        <v>77</v>
      </c>
      <c r="C846" s="37"/>
      <c r="D846" s="37"/>
      <c r="E846" s="37"/>
      <c r="F846" s="37"/>
      <c r="G846" s="77"/>
    </row>
    <row r="847" spans="1:7" ht="15" x14ac:dyDescent="0.3">
      <c r="A847" s="34" t="s">
        <v>26</v>
      </c>
      <c r="B847" s="34" t="s">
        <v>25</v>
      </c>
      <c r="C847" s="34" t="s">
        <v>24</v>
      </c>
      <c r="D847" s="34" t="s">
        <v>43</v>
      </c>
      <c r="E847" s="34" t="s">
        <v>42</v>
      </c>
      <c r="F847" s="34" t="s">
        <v>22</v>
      </c>
      <c r="G847" s="34" t="s">
        <v>21</v>
      </c>
    </row>
    <row r="848" spans="1:7" ht="15.6" x14ac:dyDescent="0.3">
      <c r="A848" s="33">
        <v>10</v>
      </c>
      <c r="B848" s="32" t="s">
        <v>19</v>
      </c>
      <c r="C848" s="32" t="s">
        <v>76</v>
      </c>
      <c r="D848" s="76"/>
      <c r="E848" s="75">
        <v>168.54</v>
      </c>
      <c r="F848" s="75">
        <f t="shared" ref="F848:F862" si="11">A848*E848</f>
        <v>1685.3999999999999</v>
      </c>
      <c r="G848" s="74"/>
    </row>
    <row r="849" spans="1:7" ht="15.6" x14ac:dyDescent="0.3">
      <c r="A849" s="29"/>
      <c r="B849" s="25"/>
      <c r="C849" s="25"/>
      <c r="D849" s="73"/>
      <c r="E849" s="71"/>
      <c r="F849" s="71">
        <f t="shared" si="11"/>
        <v>0</v>
      </c>
      <c r="G849" s="74"/>
    </row>
    <row r="850" spans="1:7" ht="15.6" x14ac:dyDescent="0.3">
      <c r="A850" s="29"/>
      <c r="B850" s="25"/>
      <c r="C850" s="25"/>
      <c r="D850" s="73"/>
      <c r="E850" s="71"/>
      <c r="F850" s="71">
        <f t="shared" si="11"/>
        <v>0</v>
      </c>
      <c r="G850" s="74"/>
    </row>
    <row r="851" spans="1:7" ht="15.6" x14ac:dyDescent="0.3">
      <c r="A851" s="29"/>
      <c r="B851" s="27"/>
      <c r="C851" s="27"/>
      <c r="D851" s="73"/>
      <c r="E851" s="71"/>
      <c r="F851" s="71">
        <f t="shared" si="11"/>
        <v>0</v>
      </c>
      <c r="G851" s="70"/>
    </row>
    <row r="852" spans="1:7" ht="15.6" x14ac:dyDescent="0.3">
      <c r="A852" s="29"/>
      <c r="B852" s="27"/>
      <c r="C852" s="27"/>
      <c r="D852" s="73"/>
      <c r="E852" s="71"/>
      <c r="F852" s="71">
        <f t="shared" si="11"/>
        <v>0</v>
      </c>
      <c r="G852" s="70"/>
    </row>
    <row r="853" spans="1:7" ht="15.6" x14ac:dyDescent="0.3">
      <c r="A853" s="29"/>
      <c r="B853" s="27"/>
      <c r="C853" s="27"/>
      <c r="D853" s="73"/>
      <c r="E853" s="71"/>
      <c r="F853" s="71">
        <f t="shared" si="11"/>
        <v>0</v>
      </c>
      <c r="G853" s="70"/>
    </row>
    <row r="854" spans="1:7" ht="15.6" x14ac:dyDescent="0.3">
      <c r="A854" s="29"/>
      <c r="B854" s="27"/>
      <c r="C854" s="27"/>
      <c r="D854" s="73"/>
      <c r="E854" s="71"/>
      <c r="F854" s="71">
        <f t="shared" si="11"/>
        <v>0</v>
      </c>
      <c r="G854" s="70"/>
    </row>
    <row r="855" spans="1:7" ht="15.6" x14ac:dyDescent="0.3">
      <c r="A855" s="26"/>
      <c r="B855" s="27"/>
      <c r="C855" s="27"/>
      <c r="D855" s="73"/>
      <c r="E855" s="71"/>
      <c r="F855" s="71">
        <f t="shared" si="11"/>
        <v>0</v>
      </c>
      <c r="G855" s="70"/>
    </row>
    <row r="856" spans="1:7" ht="15.6" x14ac:dyDescent="0.3">
      <c r="A856" s="26"/>
      <c r="B856" s="27"/>
      <c r="C856" s="27"/>
      <c r="D856" s="99"/>
      <c r="E856" s="71"/>
      <c r="F856" s="71">
        <f t="shared" si="11"/>
        <v>0</v>
      </c>
      <c r="G856" s="70"/>
    </row>
    <row r="857" spans="1:7" ht="15.6" x14ac:dyDescent="0.3">
      <c r="A857" s="26"/>
      <c r="B857" s="25"/>
      <c r="C857" s="25"/>
      <c r="D857" s="72"/>
      <c r="E857" s="71"/>
      <c r="F857" s="71">
        <f t="shared" si="11"/>
        <v>0</v>
      </c>
      <c r="G857" s="70"/>
    </row>
    <row r="858" spans="1:7" ht="15.6" x14ac:dyDescent="0.3">
      <c r="A858" s="26"/>
      <c r="B858" s="25"/>
      <c r="C858" s="25"/>
      <c r="D858" s="72"/>
      <c r="E858" s="71"/>
      <c r="F858" s="71">
        <f t="shared" si="11"/>
        <v>0</v>
      </c>
      <c r="G858" s="70"/>
    </row>
    <row r="859" spans="1:7" ht="15.6" x14ac:dyDescent="0.3">
      <c r="A859" s="26"/>
      <c r="B859" s="25"/>
      <c r="C859" s="25"/>
      <c r="D859" s="72"/>
      <c r="E859" s="71"/>
      <c r="F859" s="71">
        <f t="shared" si="11"/>
        <v>0</v>
      </c>
      <c r="G859" s="70"/>
    </row>
    <row r="860" spans="1:7" ht="15.6" x14ac:dyDescent="0.3">
      <c r="A860" s="26"/>
      <c r="B860" s="25"/>
      <c r="C860" s="25"/>
      <c r="D860" s="72"/>
      <c r="E860" s="71"/>
      <c r="F860" s="71">
        <f t="shared" si="11"/>
        <v>0</v>
      </c>
      <c r="G860" s="70"/>
    </row>
    <row r="861" spans="1:7" ht="15.6" x14ac:dyDescent="0.3">
      <c r="A861" s="26"/>
      <c r="B861" s="25"/>
      <c r="C861" s="25"/>
      <c r="D861" s="72"/>
      <c r="E861" s="71"/>
      <c r="F861" s="71">
        <f t="shared" si="11"/>
        <v>0</v>
      </c>
      <c r="G861" s="70"/>
    </row>
    <row r="862" spans="1:7" ht="15.6" x14ac:dyDescent="0.3">
      <c r="A862" s="21"/>
      <c r="B862" s="20"/>
      <c r="C862" s="20"/>
      <c r="D862" s="69"/>
      <c r="E862" s="68"/>
      <c r="F862" s="68">
        <f t="shared" si="11"/>
        <v>0</v>
      </c>
      <c r="G862" s="67"/>
    </row>
    <row r="863" spans="1:7" ht="17.399999999999999" x14ac:dyDescent="0.3">
      <c r="A863" s="17"/>
      <c r="B863" s="16"/>
      <c r="C863" s="9" t="s">
        <v>8</v>
      </c>
      <c r="D863" s="9"/>
      <c r="E863" s="66"/>
      <c r="F863" s="65">
        <f>SUM(F848:F861)</f>
        <v>1685.3999999999999</v>
      </c>
      <c r="G863" s="64"/>
    </row>
    <row r="864" spans="1:7" ht="17.399999999999999" x14ac:dyDescent="0.3">
      <c r="A864" s="11"/>
      <c r="B864" s="10"/>
      <c r="C864" s="63" t="s">
        <v>7</v>
      </c>
      <c r="D864" s="63"/>
      <c r="E864" s="62"/>
      <c r="F864" s="61">
        <f>F863*0.16</f>
        <v>269.66399999999999</v>
      </c>
      <c r="G864" s="60"/>
    </row>
    <row r="865" spans="1:7" ht="17.399999999999999" x14ac:dyDescent="0.3">
      <c r="A865" s="11"/>
      <c r="B865" s="10"/>
      <c r="C865" s="59" t="s">
        <v>6</v>
      </c>
      <c r="D865" s="59"/>
      <c r="E865" s="58"/>
      <c r="F865" s="57">
        <f>F863+F864</f>
        <v>1955.0639999999999</v>
      </c>
      <c r="G865" s="56"/>
    </row>
    <row r="866" spans="1:7" ht="15.6" x14ac:dyDescent="0.3">
      <c r="A866" s="6" t="s">
        <v>5</v>
      </c>
      <c r="B866" s="5"/>
      <c r="C866" s="5" t="s">
        <v>4</v>
      </c>
      <c r="D866" s="5"/>
      <c r="E866" s="5" t="s">
        <v>3</v>
      </c>
      <c r="F866" s="5"/>
      <c r="G866" s="4"/>
    </row>
    <row r="867" spans="1:7" ht="15.6" x14ac:dyDescent="0.3">
      <c r="A867" s="3" t="s">
        <v>75</v>
      </c>
      <c r="B867" s="2"/>
      <c r="C867" s="2" t="s">
        <v>39</v>
      </c>
      <c r="D867" s="2"/>
      <c r="E867" s="2" t="s">
        <v>70</v>
      </c>
      <c r="F867" s="2"/>
      <c r="G867" s="1"/>
    </row>
    <row r="871" spans="1:7" ht="30" x14ac:dyDescent="0.4">
      <c r="A871" s="55"/>
      <c r="B871" s="271" t="s">
        <v>38</v>
      </c>
      <c r="C871" s="272"/>
      <c r="D871" s="54"/>
      <c r="E871" s="305" t="s">
        <v>37</v>
      </c>
      <c r="F871" s="307"/>
    </row>
    <row r="872" spans="1:7" ht="30" x14ac:dyDescent="0.4">
      <c r="A872" s="53"/>
      <c r="B872" s="273"/>
      <c r="C872" s="274"/>
      <c r="D872" s="52"/>
      <c r="E872" s="51" t="s">
        <v>36</v>
      </c>
      <c r="F872" s="50" t="s">
        <v>35</v>
      </c>
    </row>
    <row r="873" spans="1:7" ht="30" x14ac:dyDescent="0.4">
      <c r="A873" s="49"/>
      <c r="B873" s="275"/>
      <c r="C873" s="276"/>
      <c r="D873" s="48"/>
      <c r="E873" s="47" t="s">
        <v>34</v>
      </c>
      <c r="F873" s="46" t="s">
        <v>74</v>
      </c>
    </row>
    <row r="874" spans="1:7" ht="20.399999999999999" x14ac:dyDescent="0.35">
      <c r="A874" s="39" t="s">
        <v>32</v>
      </c>
      <c r="B874" s="43" t="s">
        <v>0</v>
      </c>
      <c r="C874" s="42"/>
      <c r="D874" s="42"/>
      <c r="E874" s="98"/>
      <c r="F874" s="97"/>
    </row>
    <row r="875" spans="1:7" ht="20.399999999999999" x14ac:dyDescent="0.35">
      <c r="A875" s="39" t="s">
        <v>30</v>
      </c>
      <c r="B875" s="43"/>
      <c r="C875" s="42"/>
      <c r="D875" s="42"/>
      <c r="E875" s="41"/>
      <c r="F875" s="40"/>
    </row>
    <row r="876" spans="1:7" ht="20.399999999999999" x14ac:dyDescent="0.35">
      <c r="A876" s="39" t="s">
        <v>73</v>
      </c>
      <c r="B876" s="38"/>
      <c r="C876" s="37"/>
      <c r="D876" s="37"/>
      <c r="E876" s="41"/>
      <c r="F876" s="40"/>
    </row>
    <row r="877" spans="1:7" ht="20.399999999999999" x14ac:dyDescent="0.35">
      <c r="A877" s="39" t="s">
        <v>28</v>
      </c>
      <c r="B877" s="38" t="s">
        <v>72</v>
      </c>
      <c r="C877" s="37"/>
      <c r="D877" s="37"/>
      <c r="E877" s="36"/>
      <c r="F877" s="35"/>
    </row>
    <row r="878" spans="1:7" ht="15" x14ac:dyDescent="0.3">
      <c r="A878" s="34" t="s">
        <v>26</v>
      </c>
      <c r="B878" s="34" t="s">
        <v>25</v>
      </c>
      <c r="C878" s="34" t="s">
        <v>24</v>
      </c>
      <c r="D878" s="34" t="s">
        <v>23</v>
      </c>
      <c r="E878" s="34" t="s">
        <v>22</v>
      </c>
      <c r="F878" s="34" t="s">
        <v>21</v>
      </c>
    </row>
    <row r="879" spans="1:7" ht="15.6" x14ac:dyDescent="0.3">
      <c r="A879" s="33">
        <v>20</v>
      </c>
      <c r="B879" s="32" t="s">
        <v>10</v>
      </c>
      <c r="C879" s="32" t="s">
        <v>71</v>
      </c>
      <c r="D879" s="96">
        <v>787.07</v>
      </c>
      <c r="E879" s="96">
        <f t="shared" ref="E879:E891" si="12">+A879*D879</f>
        <v>15741.400000000001</v>
      </c>
      <c r="F879" s="22"/>
    </row>
    <row r="880" spans="1:7" ht="15.6" x14ac:dyDescent="0.3">
      <c r="A880" s="29"/>
      <c r="B880" s="25"/>
      <c r="C880" s="95"/>
      <c r="D880" s="73"/>
      <c r="E880" s="93">
        <f t="shared" si="12"/>
        <v>0</v>
      </c>
      <c r="F880" s="22"/>
    </row>
    <row r="881" spans="1:6" ht="15.6" x14ac:dyDescent="0.3">
      <c r="A881" s="29"/>
      <c r="B881" s="25"/>
      <c r="C881" s="25"/>
      <c r="D881" s="73"/>
      <c r="E881" s="93">
        <f t="shared" si="12"/>
        <v>0</v>
      </c>
      <c r="F881" s="22"/>
    </row>
    <row r="882" spans="1:6" ht="15.6" x14ac:dyDescent="0.3">
      <c r="A882" s="29"/>
      <c r="B882" s="27"/>
      <c r="C882" s="27"/>
      <c r="D882" s="73"/>
      <c r="E882" s="93">
        <f t="shared" si="12"/>
        <v>0</v>
      </c>
      <c r="F882" s="22"/>
    </row>
    <row r="883" spans="1:6" ht="15.6" x14ac:dyDescent="0.3">
      <c r="A883" s="29"/>
      <c r="B883" s="27"/>
      <c r="C883" s="28"/>
      <c r="D883" s="73"/>
      <c r="E883" s="93">
        <f t="shared" si="12"/>
        <v>0</v>
      </c>
      <c r="F883" s="22"/>
    </row>
    <row r="884" spans="1:6" ht="15.6" x14ac:dyDescent="0.3">
      <c r="A884" s="29"/>
      <c r="B884" s="27"/>
      <c r="C884" s="28"/>
      <c r="D884" s="73"/>
      <c r="E884" s="93">
        <f t="shared" si="12"/>
        <v>0</v>
      </c>
      <c r="F884" s="22"/>
    </row>
    <row r="885" spans="1:6" ht="15.6" x14ac:dyDescent="0.3">
      <c r="A885" s="29"/>
      <c r="B885" s="27"/>
      <c r="C885" s="28"/>
      <c r="D885" s="94"/>
      <c r="E885" s="93">
        <f t="shared" si="12"/>
        <v>0</v>
      </c>
      <c r="F885" s="22"/>
    </row>
    <row r="886" spans="1:6" ht="15.6" x14ac:dyDescent="0.3">
      <c r="A886" s="26"/>
      <c r="B886" s="27"/>
      <c r="C886" s="27"/>
      <c r="D886" s="73"/>
      <c r="E886" s="93">
        <f t="shared" si="12"/>
        <v>0</v>
      </c>
      <c r="F886" s="22"/>
    </row>
    <row r="887" spans="1:6" ht="15.6" x14ac:dyDescent="0.3">
      <c r="A887" s="26"/>
      <c r="B887" s="27"/>
      <c r="C887" s="27"/>
      <c r="D887" s="73"/>
      <c r="E887" s="93">
        <f t="shared" si="12"/>
        <v>0</v>
      </c>
      <c r="F887" s="22"/>
    </row>
    <row r="888" spans="1:6" ht="15.6" x14ac:dyDescent="0.3">
      <c r="A888" s="26"/>
      <c r="B888" s="25"/>
      <c r="C888" s="25"/>
      <c r="D888" s="73"/>
      <c r="E888" s="93">
        <f t="shared" si="12"/>
        <v>0</v>
      </c>
      <c r="F888" s="22"/>
    </row>
    <row r="889" spans="1:6" ht="15.6" x14ac:dyDescent="0.3">
      <c r="A889" s="26"/>
      <c r="B889" s="25"/>
      <c r="C889" s="25"/>
      <c r="D889" s="73"/>
      <c r="E889" s="93">
        <f t="shared" si="12"/>
        <v>0</v>
      </c>
      <c r="F889" s="22"/>
    </row>
    <row r="890" spans="1:6" ht="15.6" x14ac:dyDescent="0.3">
      <c r="A890" s="26"/>
      <c r="B890" s="25"/>
      <c r="C890" s="25"/>
      <c r="D890" s="73"/>
      <c r="E890" s="93">
        <f t="shared" si="12"/>
        <v>0</v>
      </c>
      <c r="F890" s="22"/>
    </row>
    <row r="891" spans="1:6" ht="15.6" x14ac:dyDescent="0.3">
      <c r="A891" s="26"/>
      <c r="B891" s="25"/>
      <c r="C891" s="25"/>
      <c r="D891" s="73"/>
      <c r="E891" s="93">
        <f t="shared" si="12"/>
        <v>0</v>
      </c>
      <c r="F891" s="22"/>
    </row>
    <row r="892" spans="1:6" ht="15.6" x14ac:dyDescent="0.3">
      <c r="A892" s="26"/>
      <c r="B892" s="25"/>
      <c r="C892" s="25"/>
      <c r="D892" s="73"/>
      <c r="E892" s="93"/>
      <c r="F892" s="22"/>
    </row>
    <row r="893" spans="1:6" ht="15.6" x14ac:dyDescent="0.3">
      <c r="A893" s="21"/>
      <c r="B893" s="20"/>
      <c r="C893" s="20"/>
      <c r="D893" s="92"/>
      <c r="E893" s="91"/>
      <c r="F893" s="18"/>
    </row>
    <row r="894" spans="1:6" ht="17.399999999999999" x14ac:dyDescent="0.3">
      <c r="A894" s="17"/>
      <c r="B894" s="16"/>
      <c r="C894" s="294" t="s">
        <v>8</v>
      </c>
      <c r="D894" s="294"/>
      <c r="E894" s="15">
        <f>SUM(E879:E891)</f>
        <v>15741.400000000001</v>
      </c>
      <c r="F894" s="14"/>
    </row>
    <row r="895" spans="1:6" ht="17.399999999999999" x14ac:dyDescent="0.3">
      <c r="A895" s="11"/>
      <c r="B895" s="10"/>
      <c r="C895" s="294" t="s">
        <v>7</v>
      </c>
      <c r="D895" s="294"/>
      <c r="E895" s="13">
        <f>+E894*0.16</f>
        <v>2518.6240000000003</v>
      </c>
      <c r="F895" s="12"/>
    </row>
    <row r="896" spans="1:6" ht="17.399999999999999" x14ac:dyDescent="0.3">
      <c r="A896" s="11"/>
      <c r="B896" s="10"/>
      <c r="C896" s="294" t="s">
        <v>6</v>
      </c>
      <c r="D896" s="294"/>
      <c r="E896" s="8">
        <f>+E894+E895</f>
        <v>18260.024000000001</v>
      </c>
      <c r="F896" s="7"/>
    </row>
    <row r="897" spans="1:7" ht="15.6" x14ac:dyDescent="0.3">
      <c r="A897" s="6" t="s">
        <v>5</v>
      </c>
      <c r="B897" s="5"/>
      <c r="C897" s="5" t="s">
        <v>4</v>
      </c>
      <c r="D897" s="5"/>
      <c r="E897" s="5"/>
      <c r="F897" s="4" t="s">
        <v>3</v>
      </c>
    </row>
    <row r="898" spans="1:7" ht="15.6" x14ac:dyDescent="0.3">
      <c r="A898" s="3" t="s">
        <v>2</v>
      </c>
      <c r="B898" s="2"/>
      <c r="C898" s="2" t="s">
        <v>1</v>
      </c>
      <c r="D898" s="2"/>
      <c r="E898" s="2"/>
      <c r="F898" s="1" t="s">
        <v>70</v>
      </c>
    </row>
    <row r="902" spans="1:7" ht="24.6" x14ac:dyDescent="0.3">
      <c r="A902" s="271" t="s">
        <v>38</v>
      </c>
      <c r="B902" s="302"/>
      <c r="C902" s="272"/>
      <c r="D902" s="305" t="s">
        <v>37</v>
      </c>
      <c r="E902" s="306"/>
      <c r="F902" s="306"/>
      <c r="G902" s="307"/>
    </row>
    <row r="903" spans="1:7" ht="21" x14ac:dyDescent="0.4">
      <c r="A903" s="273"/>
      <c r="B903" s="303"/>
      <c r="C903" s="274"/>
      <c r="D903" s="51" t="s">
        <v>36</v>
      </c>
      <c r="E903" s="308" t="s">
        <v>35</v>
      </c>
      <c r="F903" s="282"/>
      <c r="G903" s="50"/>
    </row>
    <row r="904" spans="1:7" ht="21" x14ac:dyDescent="0.4">
      <c r="A904" s="273"/>
      <c r="B904" s="303"/>
      <c r="C904" s="274"/>
      <c r="D904" s="51" t="s">
        <v>51</v>
      </c>
      <c r="E904" s="284">
        <v>19</v>
      </c>
      <c r="F904" s="282"/>
      <c r="G904" s="50"/>
    </row>
    <row r="905" spans="1:7" ht="30" x14ac:dyDescent="0.3">
      <c r="A905" s="275"/>
      <c r="B905" s="304"/>
      <c r="C905" s="276"/>
      <c r="D905" s="47" t="s">
        <v>50</v>
      </c>
      <c r="E905" s="287" t="s">
        <v>69</v>
      </c>
      <c r="F905" s="287"/>
      <c r="G905" s="87"/>
    </row>
    <row r="906" spans="1:7" ht="20.399999999999999" x14ac:dyDescent="0.35">
      <c r="A906" s="39" t="s">
        <v>48</v>
      </c>
      <c r="B906" s="43" t="s">
        <v>47</v>
      </c>
      <c r="C906" s="42"/>
      <c r="D906" s="42"/>
      <c r="E906" s="86"/>
      <c r="F906" s="85"/>
      <c r="G906" s="84"/>
    </row>
    <row r="907" spans="1:7" ht="20.399999999999999" x14ac:dyDescent="0.35">
      <c r="A907" s="39" t="s">
        <v>30</v>
      </c>
      <c r="B907" s="38"/>
      <c r="C907" s="37"/>
      <c r="D907" s="37"/>
      <c r="E907" s="83" t="s">
        <v>68</v>
      </c>
      <c r="F907" s="82"/>
      <c r="G907" s="81"/>
    </row>
    <row r="908" spans="1:7" ht="20.399999999999999" x14ac:dyDescent="0.35">
      <c r="A908" s="39" t="s">
        <v>46</v>
      </c>
      <c r="B908" s="38" t="s">
        <v>45</v>
      </c>
      <c r="C908" s="37"/>
      <c r="D908" s="37"/>
      <c r="E908" s="80"/>
      <c r="F908" s="79"/>
      <c r="G908" s="78"/>
    </row>
    <row r="909" spans="1:7" ht="20.399999999999999" x14ac:dyDescent="0.35">
      <c r="A909" s="39" t="s">
        <v>28</v>
      </c>
      <c r="B909" s="38" t="s">
        <v>55</v>
      </c>
      <c r="C909" s="37"/>
      <c r="D909" s="37"/>
      <c r="E909" s="37"/>
      <c r="F909" s="37"/>
      <c r="G909" s="77"/>
    </row>
    <row r="910" spans="1:7" ht="15" x14ac:dyDescent="0.3">
      <c r="A910" s="34" t="s">
        <v>26</v>
      </c>
      <c r="B910" s="34" t="s">
        <v>25</v>
      </c>
      <c r="C910" s="34" t="s">
        <v>24</v>
      </c>
      <c r="D910" s="34" t="s">
        <v>43</v>
      </c>
      <c r="E910" s="34" t="s">
        <v>42</v>
      </c>
      <c r="F910" s="34" t="s">
        <v>22</v>
      </c>
      <c r="G910" s="34" t="s">
        <v>21</v>
      </c>
    </row>
    <row r="911" spans="1:7" ht="15.6" x14ac:dyDescent="0.3">
      <c r="A911" s="33">
        <v>6</v>
      </c>
      <c r="B911" s="32" t="s">
        <v>19</v>
      </c>
      <c r="C911" s="32" t="s">
        <v>67</v>
      </c>
      <c r="D911" s="76" t="s">
        <v>57</v>
      </c>
      <c r="E911" s="75">
        <v>1156.57</v>
      </c>
      <c r="F911" s="75">
        <f t="shared" ref="F911:F925" si="13">A911*E911</f>
        <v>6939.42</v>
      </c>
      <c r="G911" s="74"/>
    </row>
    <row r="912" spans="1:7" ht="15.6" x14ac:dyDescent="0.3">
      <c r="A912" s="29">
        <v>6</v>
      </c>
      <c r="B912" s="25" t="s">
        <v>19</v>
      </c>
      <c r="C912" s="25" t="s">
        <v>66</v>
      </c>
      <c r="D912" s="73" t="s">
        <v>57</v>
      </c>
      <c r="E912" s="71">
        <v>1156.57</v>
      </c>
      <c r="F912" s="71">
        <f t="shared" si="13"/>
        <v>6939.42</v>
      </c>
      <c r="G912" s="74"/>
    </row>
    <row r="913" spans="1:7" ht="15.6" x14ac:dyDescent="0.3">
      <c r="A913" s="29">
        <v>6</v>
      </c>
      <c r="B913" s="25" t="s">
        <v>19</v>
      </c>
      <c r="C913" s="25" t="s">
        <v>65</v>
      </c>
      <c r="D913" s="73" t="s">
        <v>57</v>
      </c>
      <c r="E913" s="71">
        <v>1156.57</v>
      </c>
      <c r="F913" s="71">
        <f t="shared" si="13"/>
        <v>6939.42</v>
      </c>
      <c r="G913" s="74"/>
    </row>
    <row r="914" spans="1:7" ht="15.6" x14ac:dyDescent="0.3">
      <c r="A914" s="29">
        <v>6</v>
      </c>
      <c r="B914" s="27" t="s">
        <v>19</v>
      </c>
      <c r="C914" s="27" t="s">
        <v>64</v>
      </c>
      <c r="D914" s="73" t="s">
        <v>57</v>
      </c>
      <c r="E914" s="71">
        <v>1156.57</v>
      </c>
      <c r="F914" s="71">
        <f t="shared" si="13"/>
        <v>6939.42</v>
      </c>
      <c r="G914" s="70"/>
    </row>
    <row r="915" spans="1:7" ht="15.6" x14ac:dyDescent="0.3">
      <c r="A915" s="29">
        <v>6</v>
      </c>
      <c r="B915" s="27" t="s">
        <v>19</v>
      </c>
      <c r="C915" s="27" t="s">
        <v>63</v>
      </c>
      <c r="D915" s="73" t="s">
        <v>57</v>
      </c>
      <c r="E915" s="71">
        <v>823.71</v>
      </c>
      <c r="F915" s="71">
        <f t="shared" si="13"/>
        <v>4942.26</v>
      </c>
      <c r="G915" s="70"/>
    </row>
    <row r="916" spans="1:7" ht="15.6" x14ac:dyDescent="0.3">
      <c r="A916" s="29">
        <v>3</v>
      </c>
      <c r="B916" s="27" t="s">
        <v>19</v>
      </c>
      <c r="C916" s="27" t="s">
        <v>62</v>
      </c>
      <c r="D916" s="73" t="s">
        <v>57</v>
      </c>
      <c r="E916" s="71">
        <v>823.71</v>
      </c>
      <c r="F916" s="71">
        <f t="shared" si="13"/>
        <v>2471.13</v>
      </c>
      <c r="G916" s="70"/>
    </row>
    <row r="917" spans="1:7" ht="15.6" x14ac:dyDescent="0.3">
      <c r="A917" s="29">
        <v>3</v>
      </c>
      <c r="B917" s="27" t="s">
        <v>19</v>
      </c>
      <c r="C917" s="27" t="s">
        <v>61</v>
      </c>
      <c r="D917" s="73" t="s">
        <v>57</v>
      </c>
      <c r="E917" s="71">
        <v>823.71</v>
      </c>
      <c r="F917" s="71">
        <f t="shared" si="13"/>
        <v>2471.13</v>
      </c>
      <c r="G917" s="70"/>
    </row>
    <row r="918" spans="1:7" ht="15.6" x14ac:dyDescent="0.3">
      <c r="A918" s="26">
        <v>1</v>
      </c>
      <c r="B918" s="27" t="s">
        <v>19</v>
      </c>
      <c r="C918" s="27" t="s">
        <v>60</v>
      </c>
      <c r="D918" s="73" t="s">
        <v>57</v>
      </c>
      <c r="E918" s="71">
        <v>1832.43</v>
      </c>
      <c r="F918" s="71">
        <f t="shared" si="13"/>
        <v>1832.43</v>
      </c>
      <c r="G918" s="70"/>
    </row>
    <row r="919" spans="1:7" ht="15.6" x14ac:dyDescent="0.3">
      <c r="A919" s="26">
        <v>1</v>
      </c>
      <c r="B919" s="27" t="s">
        <v>19</v>
      </c>
      <c r="C919" s="27" t="s">
        <v>59</v>
      </c>
      <c r="D919" s="73" t="s">
        <v>57</v>
      </c>
      <c r="E919" s="71">
        <v>2956.05</v>
      </c>
      <c r="F919" s="71">
        <f t="shared" si="13"/>
        <v>2956.05</v>
      </c>
      <c r="G919" s="70"/>
    </row>
    <row r="920" spans="1:7" ht="15.6" x14ac:dyDescent="0.3">
      <c r="A920" s="26">
        <v>1</v>
      </c>
      <c r="B920" s="25" t="s">
        <v>19</v>
      </c>
      <c r="C920" s="27" t="s">
        <v>58</v>
      </c>
      <c r="D920" s="73" t="s">
        <v>57</v>
      </c>
      <c r="E920" s="71">
        <v>2956.05</v>
      </c>
      <c r="F920" s="71">
        <f t="shared" si="13"/>
        <v>2956.05</v>
      </c>
      <c r="G920" s="70"/>
    </row>
    <row r="921" spans="1:7" ht="15.6" x14ac:dyDescent="0.3">
      <c r="A921" s="26"/>
      <c r="B921" s="25"/>
      <c r="C921" s="25"/>
      <c r="D921" s="72"/>
      <c r="E921" s="71"/>
      <c r="F921" s="71">
        <f t="shared" si="13"/>
        <v>0</v>
      </c>
      <c r="G921" s="70"/>
    </row>
    <row r="922" spans="1:7" ht="15.6" x14ac:dyDescent="0.3">
      <c r="A922" s="26"/>
      <c r="B922" s="25"/>
      <c r="C922" s="25"/>
      <c r="D922" s="72"/>
      <c r="E922" s="71"/>
      <c r="F922" s="71">
        <f t="shared" si="13"/>
        <v>0</v>
      </c>
      <c r="G922" s="70"/>
    </row>
    <row r="923" spans="1:7" ht="15.6" x14ac:dyDescent="0.3">
      <c r="A923" s="26"/>
      <c r="B923" s="25"/>
      <c r="C923" s="25"/>
      <c r="D923" s="72"/>
      <c r="E923" s="71"/>
      <c r="F923" s="71">
        <f t="shared" si="13"/>
        <v>0</v>
      </c>
      <c r="G923" s="70"/>
    </row>
    <row r="924" spans="1:7" ht="15.6" x14ac:dyDescent="0.3">
      <c r="A924" s="26"/>
      <c r="B924" s="25"/>
      <c r="C924" s="25"/>
      <c r="D924" s="72"/>
      <c r="E924" s="71"/>
      <c r="F924" s="71">
        <f t="shared" si="13"/>
        <v>0</v>
      </c>
      <c r="G924" s="70"/>
    </row>
    <row r="925" spans="1:7" ht="15.6" x14ac:dyDescent="0.3">
      <c r="A925" s="21"/>
      <c r="B925" s="20"/>
      <c r="C925" s="20"/>
      <c r="D925" s="69"/>
      <c r="E925" s="68"/>
      <c r="F925" s="68">
        <f t="shared" si="13"/>
        <v>0</v>
      </c>
      <c r="G925" s="67"/>
    </row>
    <row r="926" spans="1:7" ht="17.399999999999999" x14ac:dyDescent="0.3">
      <c r="A926" s="17"/>
      <c r="B926" s="16"/>
      <c r="C926" s="9" t="s">
        <v>8</v>
      </c>
      <c r="D926" s="9"/>
      <c r="E926" s="66"/>
      <c r="F926" s="65">
        <f>SUM(F911:F924)</f>
        <v>45386.73</v>
      </c>
      <c r="G926" s="64"/>
    </row>
    <row r="927" spans="1:7" ht="17.399999999999999" x14ac:dyDescent="0.3">
      <c r="A927" s="11"/>
      <c r="B927" s="10"/>
      <c r="C927" s="63" t="s">
        <v>7</v>
      </c>
      <c r="D927" s="63"/>
      <c r="E927" s="62"/>
      <c r="F927" s="61">
        <f>F926*0.16</f>
        <v>7261.8768000000009</v>
      </c>
      <c r="G927" s="60"/>
    </row>
    <row r="928" spans="1:7" ht="17.399999999999999" x14ac:dyDescent="0.3">
      <c r="A928" s="11"/>
      <c r="B928" s="10"/>
      <c r="C928" s="59" t="s">
        <v>6</v>
      </c>
      <c r="D928" s="59"/>
      <c r="E928" s="58"/>
      <c r="F928" s="57">
        <f>F926+F927</f>
        <v>52648.606800000001</v>
      </c>
      <c r="G928" s="56"/>
    </row>
    <row r="929" spans="1:7" ht="15.6" x14ac:dyDescent="0.3">
      <c r="A929" s="6" t="s">
        <v>5</v>
      </c>
      <c r="B929" s="5"/>
      <c r="C929" s="5" t="s">
        <v>4</v>
      </c>
      <c r="D929" s="5"/>
      <c r="E929" s="5" t="s">
        <v>3</v>
      </c>
      <c r="F929" s="5"/>
      <c r="G929" s="4"/>
    </row>
    <row r="930" spans="1:7" ht="15.6" x14ac:dyDescent="0.3">
      <c r="A930" s="3" t="s">
        <v>2</v>
      </c>
      <c r="B930" s="2"/>
      <c r="C930" s="2" t="s">
        <v>39</v>
      </c>
      <c r="D930" s="2"/>
      <c r="E930" s="2" t="s">
        <v>0</v>
      </c>
      <c r="F930" s="2"/>
      <c r="G930" s="1"/>
    </row>
    <row r="934" spans="1:7" ht="24.6" x14ac:dyDescent="0.3">
      <c r="A934" s="271" t="s">
        <v>38</v>
      </c>
      <c r="B934" s="302"/>
      <c r="C934" s="272"/>
      <c r="D934" s="305" t="s">
        <v>37</v>
      </c>
      <c r="E934" s="306"/>
      <c r="F934" s="306"/>
      <c r="G934" s="307"/>
    </row>
    <row r="935" spans="1:7" ht="21" x14ac:dyDescent="0.4">
      <c r="A935" s="273"/>
      <c r="B935" s="303"/>
      <c r="C935" s="274"/>
      <c r="D935" s="51" t="s">
        <v>36</v>
      </c>
      <c r="E935" s="308" t="s">
        <v>35</v>
      </c>
      <c r="F935" s="282"/>
      <c r="G935" s="50"/>
    </row>
    <row r="936" spans="1:7" ht="21" x14ac:dyDescent="0.4">
      <c r="A936" s="273"/>
      <c r="B936" s="303"/>
      <c r="C936" s="274"/>
      <c r="D936" s="51" t="s">
        <v>51</v>
      </c>
      <c r="E936" s="284">
        <v>19</v>
      </c>
      <c r="F936" s="282"/>
      <c r="G936" s="50"/>
    </row>
    <row r="937" spans="1:7" ht="30" x14ac:dyDescent="0.3">
      <c r="A937" s="275"/>
      <c r="B937" s="304"/>
      <c r="C937" s="276"/>
      <c r="D937" s="47" t="s">
        <v>50</v>
      </c>
      <c r="E937" s="287" t="s">
        <v>56</v>
      </c>
      <c r="F937" s="287"/>
      <c r="G937" s="87"/>
    </row>
    <row r="938" spans="1:7" ht="20.399999999999999" x14ac:dyDescent="0.35">
      <c r="A938" s="39" t="s">
        <v>48</v>
      </c>
      <c r="B938" s="43" t="s">
        <v>47</v>
      </c>
      <c r="C938" s="42"/>
      <c r="D938" s="42"/>
      <c r="E938" s="86"/>
      <c r="F938" s="85"/>
      <c r="G938" s="84"/>
    </row>
    <row r="939" spans="1:7" ht="20.399999999999999" x14ac:dyDescent="0.35">
      <c r="A939" s="39" t="s">
        <v>30</v>
      </c>
      <c r="B939" s="38"/>
      <c r="C939" s="37"/>
      <c r="D939" s="37"/>
      <c r="E939" s="83"/>
      <c r="F939" s="82"/>
      <c r="G939" s="81"/>
    </row>
    <row r="940" spans="1:7" ht="20.399999999999999" x14ac:dyDescent="0.35">
      <c r="A940" s="39" t="s">
        <v>46</v>
      </c>
      <c r="B940" s="38" t="s">
        <v>45</v>
      </c>
      <c r="C940" s="37"/>
      <c r="D940" s="37"/>
      <c r="E940" s="80"/>
      <c r="F940" s="79"/>
      <c r="G940" s="78"/>
    </row>
    <row r="941" spans="1:7" ht="20.399999999999999" x14ac:dyDescent="0.35">
      <c r="A941" s="39" t="s">
        <v>28</v>
      </c>
      <c r="B941" s="38" t="s">
        <v>55</v>
      </c>
      <c r="C941" s="37"/>
      <c r="D941" s="37"/>
      <c r="E941" s="37"/>
      <c r="F941" s="37"/>
      <c r="G941" s="77"/>
    </row>
    <row r="942" spans="1:7" ht="15" x14ac:dyDescent="0.3">
      <c r="A942" s="34" t="s">
        <v>26</v>
      </c>
      <c r="B942" s="34" t="s">
        <v>25</v>
      </c>
      <c r="C942" s="34" t="s">
        <v>24</v>
      </c>
      <c r="D942" s="34" t="s">
        <v>43</v>
      </c>
      <c r="E942" s="34" t="s">
        <v>42</v>
      </c>
      <c r="F942" s="34" t="s">
        <v>22</v>
      </c>
      <c r="G942" s="34" t="s">
        <v>21</v>
      </c>
    </row>
    <row r="943" spans="1:7" ht="15.6" x14ac:dyDescent="0.3">
      <c r="A943" s="33">
        <v>1</v>
      </c>
      <c r="B943" s="32" t="s">
        <v>53</v>
      </c>
      <c r="C943" s="32" t="s">
        <v>54</v>
      </c>
      <c r="D943" s="76">
        <v>196774</v>
      </c>
      <c r="E943" s="75">
        <v>2454.44</v>
      </c>
      <c r="F943" s="75">
        <f t="shared" ref="F943:F957" si="14">A943*E943</f>
        <v>2454.44</v>
      </c>
      <c r="G943" s="74"/>
    </row>
    <row r="944" spans="1:7" ht="15.6" x14ac:dyDescent="0.3">
      <c r="A944" s="29">
        <v>2</v>
      </c>
      <c r="B944" s="25" t="s">
        <v>53</v>
      </c>
      <c r="C944" s="25" t="s">
        <v>52</v>
      </c>
      <c r="D944" s="73">
        <v>852314</v>
      </c>
      <c r="E944" s="71">
        <v>1395.69</v>
      </c>
      <c r="F944" s="71">
        <f t="shared" si="14"/>
        <v>2791.38</v>
      </c>
      <c r="G944" s="74"/>
    </row>
    <row r="945" spans="1:7" ht="15.6" x14ac:dyDescent="0.3">
      <c r="A945" s="29"/>
      <c r="B945" s="25"/>
      <c r="C945" s="25"/>
      <c r="D945" s="73"/>
      <c r="E945" s="71"/>
      <c r="F945" s="71">
        <f t="shared" si="14"/>
        <v>0</v>
      </c>
      <c r="G945" s="74"/>
    </row>
    <row r="946" spans="1:7" ht="15.6" x14ac:dyDescent="0.3">
      <c r="A946" s="29"/>
      <c r="B946" s="27"/>
      <c r="C946" s="27"/>
      <c r="D946" s="73"/>
      <c r="E946" s="71"/>
      <c r="F946" s="71">
        <f t="shared" si="14"/>
        <v>0</v>
      </c>
      <c r="G946" s="70"/>
    </row>
    <row r="947" spans="1:7" ht="15.6" x14ac:dyDescent="0.3">
      <c r="A947" s="29"/>
      <c r="B947" s="27"/>
      <c r="C947" s="27"/>
      <c r="D947" s="73"/>
      <c r="E947" s="71"/>
      <c r="F947" s="71">
        <f t="shared" si="14"/>
        <v>0</v>
      </c>
      <c r="G947" s="70"/>
    </row>
    <row r="948" spans="1:7" ht="15.6" x14ac:dyDescent="0.3">
      <c r="A948" s="29"/>
      <c r="B948" s="27"/>
      <c r="C948" s="27"/>
      <c r="D948" s="73"/>
      <c r="E948" s="71"/>
      <c r="F948" s="71">
        <f t="shared" si="14"/>
        <v>0</v>
      </c>
      <c r="G948" s="70"/>
    </row>
    <row r="949" spans="1:7" ht="15.6" x14ac:dyDescent="0.3">
      <c r="A949" s="29"/>
      <c r="B949" s="27"/>
      <c r="C949" s="27"/>
      <c r="D949" s="73"/>
      <c r="E949" s="71"/>
      <c r="F949" s="71">
        <f t="shared" si="14"/>
        <v>0</v>
      </c>
      <c r="G949" s="70"/>
    </row>
    <row r="950" spans="1:7" ht="15.6" x14ac:dyDescent="0.3">
      <c r="A950" s="26"/>
      <c r="B950" s="27"/>
      <c r="C950" s="27"/>
      <c r="D950" s="73"/>
      <c r="E950" s="71"/>
      <c r="F950" s="71">
        <f t="shared" si="14"/>
        <v>0</v>
      </c>
      <c r="G950" s="70"/>
    </row>
    <row r="951" spans="1:7" ht="15.6" x14ac:dyDescent="0.3">
      <c r="A951" s="26"/>
      <c r="B951" s="27"/>
      <c r="C951" s="27"/>
      <c r="D951" s="73"/>
      <c r="E951" s="71"/>
      <c r="F951" s="71">
        <f t="shared" si="14"/>
        <v>0</v>
      </c>
      <c r="G951" s="70"/>
    </row>
    <row r="952" spans="1:7" ht="15.6" x14ac:dyDescent="0.3">
      <c r="A952" s="26"/>
      <c r="B952" s="25"/>
      <c r="C952" s="27"/>
      <c r="D952" s="73"/>
      <c r="E952" s="71"/>
      <c r="F952" s="71">
        <f t="shared" si="14"/>
        <v>0</v>
      </c>
      <c r="G952" s="70"/>
    </row>
    <row r="953" spans="1:7" ht="15.6" x14ac:dyDescent="0.3">
      <c r="A953" s="26"/>
      <c r="B953" s="25"/>
      <c r="C953" s="25"/>
      <c r="D953" s="72"/>
      <c r="E953" s="71"/>
      <c r="F953" s="71">
        <f t="shared" si="14"/>
        <v>0</v>
      </c>
      <c r="G953" s="70"/>
    </row>
    <row r="954" spans="1:7" ht="15.6" x14ac:dyDescent="0.3">
      <c r="A954" s="26"/>
      <c r="B954" s="25"/>
      <c r="C954" s="25"/>
      <c r="D954" s="72"/>
      <c r="E954" s="71"/>
      <c r="F954" s="71">
        <f t="shared" si="14"/>
        <v>0</v>
      </c>
      <c r="G954" s="70"/>
    </row>
    <row r="955" spans="1:7" ht="15.6" x14ac:dyDescent="0.3">
      <c r="A955" s="26"/>
      <c r="B955" s="25"/>
      <c r="C955" s="25"/>
      <c r="D955" s="72"/>
      <c r="E955" s="71"/>
      <c r="F955" s="71">
        <f t="shared" si="14"/>
        <v>0</v>
      </c>
      <c r="G955" s="70"/>
    </row>
    <row r="956" spans="1:7" ht="15.6" x14ac:dyDescent="0.3">
      <c r="A956" s="26"/>
      <c r="B956" s="25"/>
      <c r="C956" s="25"/>
      <c r="D956" s="72"/>
      <c r="E956" s="71"/>
      <c r="F956" s="71">
        <f t="shared" si="14"/>
        <v>0</v>
      </c>
      <c r="G956" s="70"/>
    </row>
    <row r="957" spans="1:7" ht="15.6" x14ac:dyDescent="0.3">
      <c r="A957" s="21"/>
      <c r="B957" s="20"/>
      <c r="C957" s="20"/>
      <c r="D957" s="69"/>
      <c r="E957" s="68"/>
      <c r="F957" s="68">
        <f t="shared" si="14"/>
        <v>0</v>
      </c>
      <c r="G957" s="67"/>
    </row>
    <row r="958" spans="1:7" ht="17.399999999999999" x14ac:dyDescent="0.3">
      <c r="A958" s="17"/>
      <c r="B958" s="16"/>
      <c r="C958" s="9" t="s">
        <v>8</v>
      </c>
      <c r="D958" s="9"/>
      <c r="E958" s="66"/>
      <c r="F958" s="65">
        <f>SUM(F943:F956)</f>
        <v>5245.82</v>
      </c>
      <c r="G958" s="64"/>
    </row>
    <row r="959" spans="1:7" ht="17.399999999999999" x14ac:dyDescent="0.3">
      <c r="A959" s="11"/>
      <c r="B959" s="10"/>
      <c r="C959" s="63" t="s">
        <v>7</v>
      </c>
      <c r="D959" s="63"/>
      <c r="E959" s="62"/>
      <c r="F959" s="61">
        <f>F958*0.16</f>
        <v>839.33119999999997</v>
      </c>
      <c r="G959" s="60"/>
    </row>
    <row r="960" spans="1:7" ht="17.399999999999999" x14ac:dyDescent="0.3">
      <c r="A960" s="11"/>
      <c r="B960" s="10"/>
      <c r="C960" s="59" t="s">
        <v>6</v>
      </c>
      <c r="D960" s="59"/>
      <c r="E960" s="58"/>
      <c r="F960" s="57">
        <f>F958+F959</f>
        <v>6085.1511999999993</v>
      </c>
      <c r="G960" s="56"/>
    </row>
    <row r="961" spans="1:7" ht="15.6" x14ac:dyDescent="0.3">
      <c r="A961" s="6" t="s">
        <v>5</v>
      </c>
      <c r="B961" s="5"/>
      <c r="C961" s="5" t="s">
        <v>4</v>
      </c>
      <c r="D961" s="5"/>
      <c r="E961" s="5" t="s">
        <v>3</v>
      </c>
      <c r="F961" s="5"/>
      <c r="G961" s="4"/>
    </row>
    <row r="962" spans="1:7" ht="15.6" x14ac:dyDescent="0.3">
      <c r="A962" s="3" t="s">
        <v>2</v>
      </c>
      <c r="B962" s="2"/>
      <c r="C962" s="2" t="s">
        <v>39</v>
      </c>
      <c r="D962" s="2"/>
      <c r="E962" s="2" t="s">
        <v>0</v>
      </c>
      <c r="F962" s="2"/>
      <c r="G962" s="1"/>
    </row>
    <row r="966" spans="1:7" ht="24.6" x14ac:dyDescent="0.3">
      <c r="A966" s="271" t="s">
        <v>38</v>
      </c>
      <c r="B966" s="302"/>
      <c r="C966" s="272"/>
      <c r="D966" s="305" t="s">
        <v>37</v>
      </c>
      <c r="E966" s="306"/>
      <c r="F966" s="306"/>
      <c r="G966" s="307"/>
    </row>
    <row r="967" spans="1:7" ht="21" x14ac:dyDescent="0.4">
      <c r="A967" s="273"/>
      <c r="B967" s="303"/>
      <c r="C967" s="274"/>
      <c r="D967" s="51" t="s">
        <v>36</v>
      </c>
      <c r="E967" s="308" t="s">
        <v>35</v>
      </c>
      <c r="F967" s="282"/>
      <c r="G967" s="50"/>
    </row>
    <row r="968" spans="1:7" ht="21" x14ac:dyDescent="0.4">
      <c r="A968" s="273"/>
      <c r="B968" s="303"/>
      <c r="C968" s="274"/>
      <c r="D968" s="51" t="s">
        <v>51</v>
      </c>
      <c r="E968" s="284">
        <v>19</v>
      </c>
      <c r="F968" s="282"/>
      <c r="G968" s="50"/>
    </row>
    <row r="969" spans="1:7" ht="30" x14ac:dyDescent="0.3">
      <c r="A969" s="275"/>
      <c r="B969" s="304"/>
      <c r="C969" s="276"/>
      <c r="D969" s="47" t="s">
        <v>50</v>
      </c>
      <c r="E969" s="287" t="s">
        <v>49</v>
      </c>
      <c r="F969" s="287"/>
      <c r="G969" s="87"/>
    </row>
    <row r="970" spans="1:7" ht="20.399999999999999" x14ac:dyDescent="0.35">
      <c r="A970" s="39" t="s">
        <v>48</v>
      </c>
      <c r="B970" s="43" t="s">
        <v>47</v>
      </c>
      <c r="C970" s="42"/>
      <c r="D970" s="42"/>
      <c r="E970" s="86"/>
      <c r="F970" s="85"/>
      <c r="G970" s="84"/>
    </row>
    <row r="971" spans="1:7" ht="20.399999999999999" x14ac:dyDescent="0.35">
      <c r="A971" s="39" t="s">
        <v>30</v>
      </c>
      <c r="B971" s="38"/>
      <c r="C971" s="37"/>
      <c r="D971" s="37"/>
      <c r="E971" s="83"/>
      <c r="F971" s="82"/>
      <c r="G971" s="81"/>
    </row>
    <row r="972" spans="1:7" ht="20.399999999999999" x14ac:dyDescent="0.35">
      <c r="A972" s="39" t="s">
        <v>46</v>
      </c>
      <c r="B972" s="38" t="s">
        <v>45</v>
      </c>
      <c r="C972" s="37"/>
      <c r="D972" s="37"/>
      <c r="E972" s="80"/>
      <c r="F972" s="79"/>
      <c r="G972" s="78"/>
    </row>
    <row r="973" spans="1:7" ht="20.399999999999999" x14ac:dyDescent="0.35">
      <c r="A973" s="39" t="s">
        <v>28</v>
      </c>
      <c r="B973" s="38" t="s">
        <v>44</v>
      </c>
      <c r="C973" s="37"/>
      <c r="D973" s="37"/>
      <c r="E973" s="37"/>
      <c r="F973" s="37"/>
      <c r="G973" s="77"/>
    </row>
    <row r="974" spans="1:7" ht="15" x14ac:dyDescent="0.3">
      <c r="A974" s="34" t="s">
        <v>26</v>
      </c>
      <c r="B974" s="34" t="s">
        <v>25</v>
      </c>
      <c r="C974" s="34" t="s">
        <v>24</v>
      </c>
      <c r="D974" s="34" t="s">
        <v>43</v>
      </c>
      <c r="E974" s="34" t="s">
        <v>42</v>
      </c>
      <c r="F974" s="34" t="s">
        <v>22</v>
      </c>
      <c r="G974" s="34" t="s">
        <v>21</v>
      </c>
    </row>
    <row r="975" spans="1:7" ht="31.2" x14ac:dyDescent="0.3">
      <c r="A975" s="33">
        <v>3</v>
      </c>
      <c r="B975" s="32" t="s">
        <v>10</v>
      </c>
      <c r="C975" s="32" t="s">
        <v>41</v>
      </c>
      <c r="D975" s="76"/>
      <c r="E975" s="75">
        <v>1177.6500000000001</v>
      </c>
      <c r="F975" s="75">
        <f t="shared" ref="F975:F989" si="15">A975*E975</f>
        <v>3532.9500000000003</v>
      </c>
      <c r="G975" s="74"/>
    </row>
    <row r="976" spans="1:7" ht="31.2" x14ac:dyDescent="0.3">
      <c r="A976" s="29">
        <v>1</v>
      </c>
      <c r="B976" s="25" t="s">
        <v>10</v>
      </c>
      <c r="C976" s="25" t="s">
        <v>40</v>
      </c>
      <c r="D976" s="73">
        <v>11775</v>
      </c>
      <c r="E976" s="71">
        <v>4572.04</v>
      </c>
      <c r="F976" s="71">
        <f t="shared" si="15"/>
        <v>4572.04</v>
      </c>
      <c r="G976" s="74"/>
    </row>
    <row r="977" spans="1:7" ht="15.6" x14ac:dyDescent="0.3">
      <c r="A977" s="29"/>
      <c r="B977" s="25"/>
      <c r="C977" s="25"/>
      <c r="D977" s="73"/>
      <c r="E977" s="71"/>
      <c r="F977" s="71">
        <f t="shared" si="15"/>
        <v>0</v>
      </c>
      <c r="G977" s="74"/>
    </row>
    <row r="978" spans="1:7" ht="15.6" x14ac:dyDescent="0.3">
      <c r="A978" s="29"/>
      <c r="B978" s="27"/>
      <c r="C978" s="27"/>
      <c r="D978" s="73"/>
      <c r="E978" s="71"/>
      <c r="F978" s="71">
        <f t="shared" si="15"/>
        <v>0</v>
      </c>
      <c r="G978" s="70"/>
    </row>
    <row r="979" spans="1:7" ht="15.6" x14ac:dyDescent="0.3">
      <c r="A979" s="29"/>
      <c r="B979" s="27"/>
      <c r="C979" s="27"/>
      <c r="D979" s="73"/>
      <c r="E979" s="71"/>
      <c r="F979" s="71">
        <f t="shared" si="15"/>
        <v>0</v>
      </c>
      <c r="G979" s="70"/>
    </row>
    <row r="980" spans="1:7" ht="15.6" x14ac:dyDescent="0.3">
      <c r="A980" s="29"/>
      <c r="B980" s="27"/>
      <c r="C980" s="27"/>
      <c r="D980" s="73"/>
      <c r="E980" s="71"/>
      <c r="F980" s="71">
        <f t="shared" si="15"/>
        <v>0</v>
      </c>
      <c r="G980" s="70"/>
    </row>
    <row r="981" spans="1:7" ht="15.6" x14ac:dyDescent="0.3">
      <c r="A981" s="29"/>
      <c r="B981" s="27"/>
      <c r="C981" s="27"/>
      <c r="D981" s="73"/>
      <c r="E981" s="71"/>
      <c r="F981" s="71">
        <f t="shared" si="15"/>
        <v>0</v>
      </c>
      <c r="G981" s="70"/>
    </row>
    <row r="982" spans="1:7" ht="15.6" x14ac:dyDescent="0.3">
      <c r="A982" s="26"/>
      <c r="B982" s="27"/>
      <c r="C982" s="27"/>
      <c r="D982" s="73"/>
      <c r="E982" s="71"/>
      <c r="F982" s="71">
        <f t="shared" si="15"/>
        <v>0</v>
      </c>
      <c r="G982" s="70"/>
    </row>
    <row r="983" spans="1:7" ht="15.6" x14ac:dyDescent="0.3">
      <c r="A983" s="26"/>
      <c r="B983" s="27"/>
      <c r="C983" s="27"/>
      <c r="D983" s="73"/>
      <c r="E983" s="71"/>
      <c r="F983" s="71">
        <f t="shared" si="15"/>
        <v>0</v>
      </c>
      <c r="G983" s="70"/>
    </row>
    <row r="984" spans="1:7" ht="15.6" x14ac:dyDescent="0.3">
      <c r="A984" s="26"/>
      <c r="B984" s="25"/>
      <c r="C984" s="27"/>
      <c r="D984" s="73"/>
      <c r="E984" s="71"/>
      <c r="F984" s="71">
        <f t="shared" si="15"/>
        <v>0</v>
      </c>
      <c r="G984" s="70"/>
    </row>
    <row r="985" spans="1:7" ht="15.6" x14ac:dyDescent="0.3">
      <c r="A985" s="26"/>
      <c r="B985" s="25"/>
      <c r="C985" s="25"/>
      <c r="D985" s="72"/>
      <c r="E985" s="71"/>
      <c r="F985" s="71">
        <f t="shared" si="15"/>
        <v>0</v>
      </c>
      <c r="G985" s="70"/>
    </row>
    <row r="986" spans="1:7" ht="15.6" x14ac:dyDescent="0.3">
      <c r="A986" s="26"/>
      <c r="B986" s="25"/>
      <c r="C986" s="25"/>
      <c r="D986" s="72"/>
      <c r="E986" s="71"/>
      <c r="F986" s="71">
        <f t="shared" si="15"/>
        <v>0</v>
      </c>
      <c r="G986" s="70"/>
    </row>
    <row r="987" spans="1:7" ht="15.6" x14ac:dyDescent="0.3">
      <c r="A987" s="26"/>
      <c r="B987" s="25"/>
      <c r="C987" s="25"/>
      <c r="D987" s="72"/>
      <c r="E987" s="71"/>
      <c r="F987" s="71">
        <f t="shared" si="15"/>
        <v>0</v>
      </c>
      <c r="G987" s="70"/>
    </row>
    <row r="988" spans="1:7" ht="15.6" x14ac:dyDescent="0.3">
      <c r="A988" s="26"/>
      <c r="B988" s="25"/>
      <c r="C988" s="25"/>
      <c r="D988" s="72"/>
      <c r="E988" s="71"/>
      <c r="F988" s="71">
        <f t="shared" si="15"/>
        <v>0</v>
      </c>
      <c r="G988" s="70"/>
    </row>
    <row r="989" spans="1:7" ht="15.6" x14ac:dyDescent="0.3">
      <c r="A989" s="21"/>
      <c r="B989" s="20"/>
      <c r="C989" s="20"/>
      <c r="D989" s="69"/>
      <c r="E989" s="68"/>
      <c r="F989" s="68">
        <f t="shared" si="15"/>
        <v>0</v>
      </c>
      <c r="G989" s="67"/>
    </row>
    <row r="990" spans="1:7" ht="17.399999999999999" x14ac:dyDescent="0.3">
      <c r="A990" s="17"/>
      <c r="B990" s="16"/>
      <c r="C990" s="9" t="s">
        <v>8</v>
      </c>
      <c r="D990" s="9"/>
      <c r="E990" s="66"/>
      <c r="F990" s="65">
        <f>SUM(F975:F988)</f>
        <v>8104.99</v>
      </c>
      <c r="G990" s="64"/>
    </row>
    <row r="991" spans="1:7" ht="17.399999999999999" x14ac:dyDescent="0.3">
      <c r="A991" s="11"/>
      <c r="B991" s="10"/>
      <c r="C991" s="63" t="s">
        <v>7</v>
      </c>
      <c r="D991" s="63"/>
      <c r="E991" s="62"/>
      <c r="F991" s="61">
        <f>F990*0.16</f>
        <v>1296.7983999999999</v>
      </c>
      <c r="G991" s="60"/>
    </row>
    <row r="992" spans="1:7" ht="17.399999999999999" x14ac:dyDescent="0.3">
      <c r="A992" s="11"/>
      <c r="B992" s="10"/>
      <c r="C992" s="59" t="s">
        <v>6</v>
      </c>
      <c r="D992" s="59"/>
      <c r="E992" s="58"/>
      <c r="F992" s="57">
        <f>F990+F991</f>
        <v>9401.7883999999995</v>
      </c>
      <c r="G992" s="56"/>
    </row>
    <row r="993" spans="1:7" ht="15.6" x14ac:dyDescent="0.3">
      <c r="A993" s="6" t="s">
        <v>5</v>
      </c>
      <c r="B993" s="5"/>
      <c r="C993" s="5" t="s">
        <v>4</v>
      </c>
      <c r="D993" s="5"/>
      <c r="E993" s="5" t="s">
        <v>3</v>
      </c>
      <c r="F993" s="5"/>
      <c r="G993" s="4"/>
    </row>
    <row r="994" spans="1:7" ht="15.6" x14ac:dyDescent="0.3">
      <c r="A994" s="3" t="s">
        <v>2</v>
      </c>
      <c r="B994" s="2"/>
      <c r="C994" s="2" t="s">
        <v>39</v>
      </c>
      <c r="D994" s="2"/>
      <c r="E994" s="2" t="s">
        <v>0</v>
      </c>
      <c r="F994" s="2"/>
      <c r="G994" s="1"/>
    </row>
    <row r="997" spans="1:7" ht="30" x14ac:dyDescent="0.4">
      <c r="A997" s="55"/>
      <c r="B997" s="271" t="s">
        <v>38</v>
      </c>
      <c r="C997" s="272"/>
      <c r="D997" s="54"/>
      <c r="E997" s="305" t="s">
        <v>37</v>
      </c>
      <c r="F997" s="307"/>
    </row>
    <row r="998" spans="1:7" ht="30" x14ac:dyDescent="0.4">
      <c r="A998" s="53"/>
      <c r="B998" s="273"/>
      <c r="C998" s="274"/>
      <c r="D998" s="52"/>
      <c r="E998" s="51" t="s">
        <v>36</v>
      </c>
      <c r="F998" s="50" t="s">
        <v>35</v>
      </c>
    </row>
    <row r="999" spans="1:7" ht="30" x14ac:dyDescent="0.4">
      <c r="A999" s="49"/>
      <c r="B999" s="275"/>
      <c r="C999" s="276"/>
      <c r="D999" s="48"/>
      <c r="E999" s="47" t="s">
        <v>34</v>
      </c>
      <c r="F999" s="46" t="s">
        <v>33</v>
      </c>
    </row>
    <row r="1000" spans="1:7" ht="20.399999999999999" x14ac:dyDescent="0.35">
      <c r="A1000" s="39" t="s">
        <v>32</v>
      </c>
      <c r="B1000" s="43" t="s">
        <v>0</v>
      </c>
      <c r="C1000" s="42"/>
      <c r="D1000" s="42"/>
      <c r="E1000" s="45" t="s">
        <v>31</v>
      </c>
      <c r="F1000" s="44">
        <v>19</v>
      </c>
    </row>
    <row r="1001" spans="1:7" ht="20.399999999999999" x14ac:dyDescent="0.35">
      <c r="A1001" s="39" t="s">
        <v>30</v>
      </c>
      <c r="B1001" s="43" t="s">
        <v>29</v>
      </c>
      <c r="C1001" s="42"/>
      <c r="D1001" s="42"/>
      <c r="E1001" s="41"/>
      <c r="F1001" s="40"/>
    </row>
    <row r="1002" spans="1:7" ht="20.399999999999999" x14ac:dyDescent="0.35">
      <c r="A1002" s="39"/>
      <c r="B1002" s="38"/>
      <c r="C1002" s="37"/>
      <c r="D1002" s="37"/>
      <c r="E1002" s="41"/>
      <c r="F1002" s="40"/>
    </row>
    <row r="1003" spans="1:7" ht="20.399999999999999" x14ac:dyDescent="0.35">
      <c r="A1003" s="39" t="s">
        <v>28</v>
      </c>
      <c r="B1003" s="38" t="s">
        <v>27</v>
      </c>
      <c r="C1003" s="37"/>
      <c r="D1003" s="37"/>
      <c r="E1003" s="36"/>
      <c r="F1003" s="35"/>
    </row>
    <row r="1004" spans="1:7" ht="15" x14ac:dyDescent="0.3">
      <c r="A1004" s="34" t="s">
        <v>26</v>
      </c>
      <c r="B1004" s="34" t="s">
        <v>25</v>
      </c>
      <c r="C1004" s="34" t="s">
        <v>24</v>
      </c>
      <c r="D1004" s="34" t="s">
        <v>23</v>
      </c>
      <c r="E1004" s="34" t="s">
        <v>22</v>
      </c>
      <c r="F1004" s="34" t="s">
        <v>21</v>
      </c>
    </row>
    <row r="1005" spans="1:7" ht="15.6" x14ac:dyDescent="0.3">
      <c r="A1005" s="33">
        <v>25</v>
      </c>
      <c r="B1005" s="32" t="s">
        <v>10</v>
      </c>
      <c r="C1005" s="32" t="s">
        <v>20</v>
      </c>
      <c r="D1005" s="31">
        <v>25.9</v>
      </c>
      <c r="E1005" s="30">
        <f t="shared" ref="E1005:E1020" si="16">+A1005*D1005</f>
        <v>647.5</v>
      </c>
      <c r="F1005" s="22"/>
    </row>
    <row r="1006" spans="1:7" ht="15.6" x14ac:dyDescent="0.3">
      <c r="A1006" s="29">
        <v>2</v>
      </c>
      <c r="B1006" s="25" t="s">
        <v>19</v>
      </c>
      <c r="C1006" s="25" t="s">
        <v>18</v>
      </c>
      <c r="D1006" s="24">
        <f>27.15*10</f>
        <v>271.5</v>
      </c>
      <c r="E1006" s="23">
        <f t="shared" si="16"/>
        <v>543</v>
      </c>
      <c r="F1006" s="22"/>
    </row>
    <row r="1007" spans="1:7" ht="15.6" x14ac:dyDescent="0.3">
      <c r="A1007" s="29">
        <v>5</v>
      </c>
      <c r="B1007" s="25" t="s">
        <v>10</v>
      </c>
      <c r="C1007" s="25" t="s">
        <v>17</v>
      </c>
      <c r="D1007" s="24">
        <v>29.48</v>
      </c>
      <c r="E1007" s="23">
        <f t="shared" si="16"/>
        <v>147.4</v>
      </c>
      <c r="F1007" s="22"/>
    </row>
    <row r="1008" spans="1:7" ht="31.2" x14ac:dyDescent="0.3">
      <c r="A1008" s="29">
        <v>2</v>
      </c>
      <c r="B1008" s="27" t="s">
        <v>16</v>
      </c>
      <c r="C1008" s="27" t="s">
        <v>15</v>
      </c>
      <c r="D1008" s="24">
        <v>148.58000000000001</v>
      </c>
      <c r="E1008" s="23">
        <f t="shared" si="16"/>
        <v>297.16000000000003</v>
      </c>
      <c r="F1008" s="22"/>
    </row>
    <row r="1009" spans="1:6" ht="15.6" x14ac:dyDescent="0.3">
      <c r="A1009" s="29">
        <v>3</v>
      </c>
      <c r="B1009" s="27" t="s">
        <v>10</v>
      </c>
      <c r="C1009" s="28" t="s">
        <v>14</v>
      </c>
      <c r="D1009" s="24">
        <v>39.17</v>
      </c>
      <c r="E1009" s="23">
        <f t="shared" si="16"/>
        <v>117.51</v>
      </c>
      <c r="F1009" s="22"/>
    </row>
    <row r="1010" spans="1:6" ht="15.6" x14ac:dyDescent="0.3">
      <c r="A1010" s="29">
        <v>5</v>
      </c>
      <c r="B1010" s="27" t="s">
        <v>10</v>
      </c>
      <c r="C1010" s="28" t="s">
        <v>13</v>
      </c>
      <c r="D1010" s="24">
        <v>57.91</v>
      </c>
      <c r="E1010" s="23">
        <f t="shared" si="16"/>
        <v>289.54999999999995</v>
      </c>
      <c r="F1010" s="22"/>
    </row>
    <row r="1011" spans="1:6" ht="15.6" x14ac:dyDescent="0.3">
      <c r="A1011" s="29">
        <v>4</v>
      </c>
      <c r="B1011" s="27" t="s">
        <v>10</v>
      </c>
      <c r="C1011" s="28" t="s">
        <v>12</v>
      </c>
      <c r="D1011" s="23">
        <v>92.24</v>
      </c>
      <c r="E1011" s="23">
        <f t="shared" si="16"/>
        <v>368.96</v>
      </c>
      <c r="F1011" s="22"/>
    </row>
    <row r="1012" spans="1:6" ht="15.6" x14ac:dyDescent="0.3">
      <c r="A1012" s="26">
        <v>4</v>
      </c>
      <c r="B1012" s="27" t="s">
        <v>10</v>
      </c>
      <c r="C1012" s="27" t="s">
        <v>11</v>
      </c>
      <c r="D1012" s="24">
        <v>20.95</v>
      </c>
      <c r="E1012" s="23">
        <f t="shared" si="16"/>
        <v>83.8</v>
      </c>
      <c r="F1012" s="22"/>
    </row>
    <row r="1013" spans="1:6" ht="15.6" x14ac:dyDescent="0.3">
      <c r="A1013" s="26">
        <v>4</v>
      </c>
      <c r="B1013" s="27" t="s">
        <v>10</v>
      </c>
      <c r="C1013" s="27" t="s">
        <v>9</v>
      </c>
      <c r="D1013" s="24">
        <v>12.41</v>
      </c>
      <c r="E1013" s="23">
        <f t="shared" si="16"/>
        <v>49.64</v>
      </c>
      <c r="F1013" s="22"/>
    </row>
    <row r="1014" spans="1:6" ht="15.6" x14ac:dyDescent="0.3">
      <c r="A1014" s="26"/>
      <c r="B1014" s="25"/>
      <c r="C1014" s="25"/>
      <c r="D1014" s="24"/>
      <c r="E1014" s="23">
        <f t="shared" si="16"/>
        <v>0</v>
      </c>
      <c r="F1014" s="22"/>
    </row>
    <row r="1015" spans="1:6" ht="15.6" x14ac:dyDescent="0.3">
      <c r="A1015" s="26"/>
      <c r="B1015" s="25"/>
      <c r="C1015" s="25"/>
      <c r="D1015" s="24"/>
      <c r="E1015" s="23">
        <f t="shared" si="16"/>
        <v>0</v>
      </c>
      <c r="F1015" s="22"/>
    </row>
    <row r="1016" spans="1:6" ht="15.6" x14ac:dyDescent="0.3">
      <c r="A1016" s="26"/>
      <c r="B1016" s="25"/>
      <c r="C1016" s="25"/>
      <c r="D1016" s="24"/>
      <c r="E1016" s="23">
        <f t="shared" si="16"/>
        <v>0</v>
      </c>
      <c r="F1016" s="22"/>
    </row>
    <row r="1017" spans="1:6" ht="15.6" x14ac:dyDescent="0.3">
      <c r="A1017" s="26"/>
      <c r="B1017" s="25"/>
      <c r="C1017" s="25"/>
      <c r="D1017" s="24"/>
      <c r="E1017" s="23">
        <f t="shared" si="16"/>
        <v>0</v>
      </c>
      <c r="F1017" s="22"/>
    </row>
    <row r="1018" spans="1:6" ht="15.6" x14ac:dyDescent="0.3">
      <c r="A1018" s="26"/>
      <c r="B1018" s="25"/>
      <c r="C1018" s="25"/>
      <c r="D1018" s="24"/>
      <c r="E1018" s="23">
        <f t="shared" si="16"/>
        <v>0</v>
      </c>
      <c r="F1018" s="22"/>
    </row>
    <row r="1019" spans="1:6" ht="15.6" x14ac:dyDescent="0.3">
      <c r="A1019" s="26"/>
      <c r="B1019" s="25"/>
      <c r="C1019" s="25"/>
      <c r="D1019" s="24"/>
      <c r="E1019" s="23">
        <f t="shared" si="16"/>
        <v>0</v>
      </c>
      <c r="F1019" s="22"/>
    </row>
    <row r="1020" spans="1:6" ht="15.6" x14ac:dyDescent="0.3">
      <c r="A1020" s="21"/>
      <c r="B1020" s="20"/>
      <c r="C1020" s="20"/>
      <c r="D1020" s="19"/>
      <c r="E1020" s="19">
        <f t="shared" si="16"/>
        <v>0</v>
      </c>
      <c r="F1020" s="18"/>
    </row>
    <row r="1021" spans="1:6" ht="17.399999999999999" x14ac:dyDescent="0.3">
      <c r="A1021" s="17"/>
      <c r="B1021" s="16"/>
      <c r="C1021" s="294" t="s">
        <v>8</v>
      </c>
      <c r="D1021" s="294"/>
      <c r="E1021" s="15">
        <f>SUM(E1005:E1020)</f>
        <v>2544.52</v>
      </c>
      <c r="F1021" s="14"/>
    </row>
    <row r="1022" spans="1:6" ht="17.399999999999999" x14ac:dyDescent="0.3">
      <c r="A1022" s="11"/>
      <c r="B1022" s="10"/>
      <c r="C1022" s="294" t="s">
        <v>7</v>
      </c>
      <c r="D1022" s="294"/>
      <c r="E1022" s="13">
        <f>+E1021*0.16</f>
        <v>407.1232</v>
      </c>
      <c r="F1022" s="12"/>
    </row>
    <row r="1023" spans="1:6" ht="17.399999999999999" x14ac:dyDescent="0.3">
      <c r="A1023" s="11"/>
      <c r="B1023" s="10"/>
      <c r="C1023" s="294" t="s">
        <v>6</v>
      </c>
      <c r="D1023" s="294"/>
      <c r="E1023" s="8">
        <f>+E1021+E1022</f>
        <v>2951.6432</v>
      </c>
      <c r="F1023" s="7"/>
    </row>
    <row r="1024" spans="1:6" ht="15.6" x14ac:dyDescent="0.3">
      <c r="A1024" s="6" t="s">
        <v>5</v>
      </c>
      <c r="B1024" s="5"/>
      <c r="C1024" s="5" t="s">
        <v>4</v>
      </c>
      <c r="D1024" s="5"/>
      <c r="E1024" s="5"/>
      <c r="F1024" s="4" t="s">
        <v>3</v>
      </c>
    </row>
    <row r="1025" spans="1:7" ht="15.6" x14ac:dyDescent="0.3">
      <c r="A1025" s="3" t="s">
        <v>2</v>
      </c>
      <c r="B1025" s="2"/>
      <c r="C1025" s="2" t="s">
        <v>1</v>
      </c>
      <c r="D1025" s="2"/>
      <c r="E1025" s="2"/>
      <c r="F1025" s="1" t="s">
        <v>0</v>
      </c>
    </row>
    <row r="1029" spans="1:7" ht="24.6" x14ac:dyDescent="0.3">
      <c r="A1029" s="271" t="s">
        <v>38</v>
      </c>
      <c r="B1029" s="302"/>
      <c r="C1029" s="272"/>
      <c r="D1029" s="305" t="s">
        <v>37</v>
      </c>
      <c r="E1029" s="306"/>
      <c r="F1029" s="306"/>
      <c r="G1029" s="307"/>
    </row>
    <row r="1030" spans="1:7" ht="21" x14ac:dyDescent="0.4">
      <c r="A1030" s="273"/>
      <c r="B1030" s="303"/>
      <c r="C1030" s="274"/>
      <c r="D1030" s="51" t="s">
        <v>36</v>
      </c>
      <c r="E1030" s="308" t="s">
        <v>256</v>
      </c>
      <c r="F1030" s="282"/>
      <c r="G1030" s="50"/>
    </row>
    <row r="1031" spans="1:7" ht="21" x14ac:dyDescent="0.4">
      <c r="A1031" s="273"/>
      <c r="B1031" s="303"/>
      <c r="C1031" s="274"/>
      <c r="D1031" s="51" t="s">
        <v>51</v>
      </c>
      <c r="E1031" s="284">
        <v>19</v>
      </c>
      <c r="F1031" s="282"/>
      <c r="G1031" s="50"/>
    </row>
    <row r="1032" spans="1:7" ht="30" x14ac:dyDescent="0.3">
      <c r="A1032" s="275"/>
      <c r="B1032" s="304"/>
      <c r="C1032" s="276"/>
      <c r="D1032" s="47" t="s">
        <v>50</v>
      </c>
      <c r="E1032" s="287" t="s">
        <v>257</v>
      </c>
      <c r="F1032" s="287"/>
      <c r="G1032" s="87"/>
    </row>
    <row r="1033" spans="1:7" ht="20.399999999999999" x14ac:dyDescent="0.35">
      <c r="A1033" s="39" t="s">
        <v>48</v>
      </c>
      <c r="B1033" s="43" t="s">
        <v>47</v>
      </c>
      <c r="C1033" s="42"/>
      <c r="D1033" s="42"/>
      <c r="E1033" s="86"/>
      <c r="F1033" s="85"/>
      <c r="G1033" s="84"/>
    </row>
    <row r="1034" spans="1:7" ht="20.399999999999999" x14ac:dyDescent="0.35">
      <c r="A1034" s="39" t="s">
        <v>30</v>
      </c>
      <c r="B1034" s="38"/>
      <c r="C1034" s="37"/>
      <c r="D1034" s="37"/>
      <c r="E1034" s="83"/>
      <c r="F1034" s="82"/>
      <c r="G1034" s="81"/>
    </row>
    <row r="1035" spans="1:7" ht="20.399999999999999" x14ac:dyDescent="0.35">
      <c r="A1035" s="39" t="s">
        <v>46</v>
      </c>
      <c r="B1035" s="38" t="s">
        <v>45</v>
      </c>
      <c r="C1035" s="37"/>
      <c r="D1035" s="37"/>
      <c r="E1035" s="80"/>
      <c r="F1035" s="79"/>
      <c r="G1035" s="78"/>
    </row>
    <row r="1036" spans="1:7" ht="20.399999999999999" x14ac:dyDescent="0.35">
      <c r="A1036" s="39" t="s">
        <v>28</v>
      </c>
      <c r="B1036" s="38" t="s">
        <v>55</v>
      </c>
      <c r="C1036" s="37"/>
      <c r="D1036" s="37"/>
      <c r="E1036" s="37"/>
      <c r="F1036" s="37"/>
      <c r="G1036" s="77"/>
    </row>
    <row r="1037" spans="1:7" ht="15" x14ac:dyDescent="0.3">
      <c r="A1037" s="34" t="s">
        <v>26</v>
      </c>
      <c r="B1037" s="34" t="s">
        <v>25</v>
      </c>
      <c r="C1037" s="34" t="s">
        <v>24</v>
      </c>
      <c r="D1037" s="34" t="s">
        <v>43</v>
      </c>
      <c r="E1037" s="34" t="s">
        <v>42</v>
      </c>
      <c r="F1037" s="34" t="s">
        <v>22</v>
      </c>
      <c r="G1037" s="34" t="s">
        <v>21</v>
      </c>
    </row>
    <row r="1038" spans="1:7" ht="15.6" x14ac:dyDescent="0.3">
      <c r="A1038" s="33">
        <v>1</v>
      </c>
      <c r="B1038" s="32" t="s">
        <v>53</v>
      </c>
      <c r="C1038" s="32" t="s">
        <v>54</v>
      </c>
      <c r="D1038" s="76">
        <v>196774</v>
      </c>
      <c r="E1038" s="75">
        <v>2454.44</v>
      </c>
      <c r="F1038" s="75">
        <f t="shared" ref="F1038:F1052" si="17">A1038*E1038</f>
        <v>2454.44</v>
      </c>
      <c r="G1038" s="74"/>
    </row>
    <row r="1039" spans="1:7" ht="15.6" x14ac:dyDescent="0.3">
      <c r="A1039" s="29">
        <v>2</v>
      </c>
      <c r="B1039" s="25" t="s">
        <v>53</v>
      </c>
      <c r="C1039" s="25" t="s">
        <v>52</v>
      </c>
      <c r="D1039" s="73">
        <v>852314</v>
      </c>
      <c r="E1039" s="71">
        <v>1395.69</v>
      </c>
      <c r="F1039" s="71">
        <f t="shared" si="17"/>
        <v>2791.38</v>
      </c>
      <c r="G1039" s="74"/>
    </row>
    <row r="1040" spans="1:7" ht="15.6" x14ac:dyDescent="0.3">
      <c r="A1040" s="29"/>
      <c r="B1040" s="25"/>
      <c r="C1040" s="25"/>
      <c r="D1040" s="73"/>
      <c r="E1040" s="71"/>
      <c r="F1040" s="71">
        <f t="shared" si="17"/>
        <v>0</v>
      </c>
      <c r="G1040" s="74"/>
    </row>
    <row r="1041" spans="1:7" ht="15.6" x14ac:dyDescent="0.3">
      <c r="A1041" s="29"/>
      <c r="B1041" s="27"/>
      <c r="C1041" s="27"/>
      <c r="D1041" s="73"/>
      <c r="E1041" s="71"/>
      <c r="F1041" s="71">
        <f t="shared" si="17"/>
        <v>0</v>
      </c>
      <c r="G1041" s="70"/>
    </row>
    <row r="1042" spans="1:7" ht="15.6" x14ac:dyDescent="0.3">
      <c r="A1042" s="29"/>
      <c r="B1042" s="27"/>
      <c r="C1042" s="27"/>
      <c r="D1042" s="73"/>
      <c r="E1042" s="71"/>
      <c r="F1042" s="71">
        <f t="shared" si="17"/>
        <v>0</v>
      </c>
      <c r="G1042" s="70"/>
    </row>
    <row r="1043" spans="1:7" ht="15.6" x14ac:dyDescent="0.3">
      <c r="A1043" s="29"/>
      <c r="B1043" s="27"/>
      <c r="C1043" s="27"/>
      <c r="D1043" s="73"/>
      <c r="E1043" s="71"/>
      <c r="F1043" s="71">
        <f t="shared" si="17"/>
        <v>0</v>
      </c>
      <c r="G1043" s="70"/>
    </row>
    <row r="1044" spans="1:7" ht="15.6" x14ac:dyDescent="0.3">
      <c r="A1044" s="29"/>
      <c r="B1044" s="27"/>
      <c r="C1044" s="27"/>
      <c r="D1044" s="73"/>
      <c r="E1044" s="71"/>
      <c r="F1044" s="71">
        <f t="shared" si="17"/>
        <v>0</v>
      </c>
      <c r="G1044" s="70"/>
    </row>
    <row r="1045" spans="1:7" ht="15.6" x14ac:dyDescent="0.3">
      <c r="A1045" s="26"/>
      <c r="B1045" s="27"/>
      <c r="C1045" s="27"/>
      <c r="D1045" s="73"/>
      <c r="E1045" s="71"/>
      <c r="F1045" s="71">
        <f t="shared" si="17"/>
        <v>0</v>
      </c>
      <c r="G1045" s="70"/>
    </row>
    <row r="1046" spans="1:7" ht="15.6" x14ac:dyDescent="0.3">
      <c r="A1046" s="26"/>
      <c r="B1046" s="27"/>
      <c r="C1046" s="27"/>
      <c r="D1046" s="73"/>
      <c r="E1046" s="71"/>
      <c r="F1046" s="71">
        <f t="shared" si="17"/>
        <v>0</v>
      </c>
      <c r="G1046" s="70"/>
    </row>
    <row r="1047" spans="1:7" ht="15.6" x14ac:dyDescent="0.3">
      <c r="A1047" s="26"/>
      <c r="B1047" s="25"/>
      <c r="C1047" s="27"/>
      <c r="D1047" s="73"/>
      <c r="E1047" s="71"/>
      <c r="F1047" s="71">
        <f t="shared" si="17"/>
        <v>0</v>
      </c>
      <c r="G1047" s="70"/>
    </row>
    <row r="1048" spans="1:7" ht="15.6" x14ac:dyDescent="0.3">
      <c r="A1048" s="26"/>
      <c r="B1048" s="25"/>
      <c r="C1048" s="25"/>
      <c r="D1048" s="72"/>
      <c r="E1048" s="71"/>
      <c r="F1048" s="71">
        <f t="shared" si="17"/>
        <v>0</v>
      </c>
      <c r="G1048" s="70"/>
    </row>
    <row r="1049" spans="1:7" ht="15.6" x14ac:dyDescent="0.3">
      <c r="A1049" s="26"/>
      <c r="B1049" s="25"/>
      <c r="C1049" s="25"/>
      <c r="D1049" s="72"/>
      <c r="E1049" s="71"/>
      <c r="F1049" s="71">
        <f t="shared" si="17"/>
        <v>0</v>
      </c>
      <c r="G1049" s="70"/>
    </row>
    <row r="1050" spans="1:7" ht="15.6" x14ac:dyDescent="0.3">
      <c r="A1050" s="26"/>
      <c r="B1050" s="25"/>
      <c r="C1050" s="25"/>
      <c r="D1050" s="72"/>
      <c r="E1050" s="71"/>
      <c r="F1050" s="71">
        <f t="shared" si="17"/>
        <v>0</v>
      </c>
      <c r="G1050" s="70"/>
    </row>
    <row r="1051" spans="1:7" ht="15.6" x14ac:dyDescent="0.3">
      <c r="A1051" s="26"/>
      <c r="B1051" s="25"/>
      <c r="C1051" s="25"/>
      <c r="D1051" s="72"/>
      <c r="E1051" s="71"/>
      <c r="F1051" s="71">
        <f t="shared" si="17"/>
        <v>0</v>
      </c>
      <c r="G1051" s="70"/>
    </row>
    <row r="1052" spans="1:7" ht="15.6" x14ac:dyDescent="0.3">
      <c r="A1052" s="21"/>
      <c r="B1052" s="20"/>
      <c r="C1052" s="20"/>
      <c r="D1052" s="69"/>
      <c r="E1052" s="68"/>
      <c r="F1052" s="68">
        <f t="shared" si="17"/>
        <v>0</v>
      </c>
      <c r="G1052" s="67"/>
    </row>
    <row r="1053" spans="1:7" ht="17.399999999999999" x14ac:dyDescent="0.3">
      <c r="A1053" s="17"/>
      <c r="B1053" s="16"/>
      <c r="C1053" s="9" t="s">
        <v>8</v>
      </c>
      <c r="D1053" s="9"/>
      <c r="E1053" s="66"/>
      <c r="F1053" s="65">
        <f>SUM(F1038:F1051)</f>
        <v>5245.82</v>
      </c>
      <c r="G1053" s="64"/>
    </row>
    <row r="1054" spans="1:7" ht="17.399999999999999" x14ac:dyDescent="0.3">
      <c r="A1054" s="11"/>
      <c r="B1054" s="10"/>
      <c r="C1054" s="63" t="s">
        <v>7</v>
      </c>
      <c r="D1054" s="63"/>
      <c r="E1054" s="62"/>
      <c r="F1054" s="61">
        <f>F1053*0.16</f>
        <v>839.33119999999997</v>
      </c>
      <c r="G1054" s="60"/>
    </row>
    <row r="1055" spans="1:7" ht="17.399999999999999" x14ac:dyDescent="0.3">
      <c r="A1055" s="11"/>
      <c r="B1055" s="10"/>
      <c r="C1055" s="59" t="s">
        <v>6</v>
      </c>
      <c r="D1055" s="59"/>
      <c r="E1055" s="58"/>
      <c r="F1055" s="57">
        <f>F1053+F1054</f>
        <v>6085.1511999999993</v>
      </c>
      <c r="G1055" s="56"/>
    </row>
    <row r="1056" spans="1:7" ht="15.6" x14ac:dyDescent="0.3">
      <c r="A1056" s="6" t="s">
        <v>5</v>
      </c>
      <c r="B1056" s="5"/>
      <c r="C1056" s="5" t="s">
        <v>4</v>
      </c>
      <c r="D1056" s="5"/>
      <c r="E1056" s="5" t="s">
        <v>3</v>
      </c>
      <c r="F1056" s="5"/>
      <c r="G1056" s="4"/>
    </row>
    <row r="1057" spans="1:7" ht="15.6" x14ac:dyDescent="0.3">
      <c r="A1057" s="3" t="s">
        <v>2</v>
      </c>
      <c r="B1057" s="2"/>
      <c r="C1057" s="2" t="s">
        <v>39</v>
      </c>
      <c r="D1057" s="2"/>
      <c r="E1057" s="2" t="s">
        <v>0</v>
      </c>
      <c r="F1057" s="2"/>
      <c r="G1057" s="1"/>
    </row>
    <row r="1061" spans="1:7" ht="24.6" x14ac:dyDescent="0.3">
      <c r="A1061" s="271" t="s">
        <v>38</v>
      </c>
      <c r="B1061" s="302"/>
      <c r="C1061" s="272"/>
      <c r="D1061" s="305" t="s">
        <v>37</v>
      </c>
      <c r="E1061" s="306"/>
      <c r="F1061" s="306"/>
      <c r="G1061" s="307"/>
    </row>
    <row r="1062" spans="1:7" ht="21" x14ac:dyDescent="0.4">
      <c r="A1062" s="273"/>
      <c r="B1062" s="303"/>
      <c r="C1062" s="274"/>
      <c r="D1062" s="51" t="s">
        <v>36</v>
      </c>
      <c r="E1062" s="308" t="s">
        <v>256</v>
      </c>
      <c r="F1062" s="282"/>
      <c r="G1062" s="50"/>
    </row>
    <row r="1063" spans="1:7" ht="21" x14ac:dyDescent="0.4">
      <c r="A1063" s="273"/>
      <c r="B1063" s="303"/>
      <c r="C1063" s="274"/>
      <c r="D1063" s="51" t="s">
        <v>51</v>
      </c>
      <c r="E1063" s="284">
        <v>19</v>
      </c>
      <c r="F1063" s="282"/>
      <c r="G1063" s="50"/>
    </row>
    <row r="1064" spans="1:7" ht="30" x14ac:dyDescent="0.3">
      <c r="A1064" s="275"/>
      <c r="B1064" s="304"/>
      <c r="C1064" s="276"/>
      <c r="D1064" s="47" t="s">
        <v>50</v>
      </c>
      <c r="E1064" s="287" t="s">
        <v>263</v>
      </c>
      <c r="F1064" s="287"/>
      <c r="G1064" s="87"/>
    </row>
    <row r="1065" spans="1:7" ht="20.399999999999999" x14ac:dyDescent="0.35">
      <c r="A1065" s="39" t="s">
        <v>48</v>
      </c>
      <c r="B1065" s="43" t="s">
        <v>0</v>
      </c>
      <c r="C1065" s="42"/>
      <c r="D1065" s="42"/>
      <c r="E1065" s="86"/>
      <c r="F1065" s="85"/>
      <c r="G1065" s="84"/>
    </row>
    <row r="1066" spans="1:7" ht="20.399999999999999" x14ac:dyDescent="0.35">
      <c r="A1066" s="39" t="s">
        <v>30</v>
      </c>
      <c r="B1066" s="38"/>
      <c r="C1066" s="37"/>
      <c r="D1066" s="37"/>
      <c r="E1066" s="83"/>
      <c r="F1066" s="82"/>
      <c r="G1066" s="81"/>
    </row>
    <row r="1067" spans="1:7" ht="20.399999999999999" x14ac:dyDescent="0.35">
      <c r="A1067" s="39" t="s">
        <v>46</v>
      </c>
      <c r="B1067" s="38" t="s">
        <v>262</v>
      </c>
      <c r="C1067" s="37"/>
      <c r="D1067" s="37"/>
      <c r="E1067" s="80"/>
      <c r="F1067" s="79"/>
      <c r="G1067" s="78"/>
    </row>
    <row r="1068" spans="1:7" ht="20.399999999999999" x14ac:dyDescent="0.35">
      <c r="A1068" s="39" t="s">
        <v>28</v>
      </c>
      <c r="B1068" s="38" t="s">
        <v>258</v>
      </c>
      <c r="C1068" s="37"/>
      <c r="D1068" s="37"/>
      <c r="E1068" s="37"/>
      <c r="F1068" s="37"/>
      <c r="G1068" s="77"/>
    </row>
    <row r="1069" spans="1:7" ht="15" x14ac:dyDescent="0.3">
      <c r="A1069" s="34" t="s">
        <v>26</v>
      </c>
      <c r="B1069" s="34" t="s">
        <v>25</v>
      </c>
      <c r="C1069" s="34" t="s">
        <v>24</v>
      </c>
      <c r="D1069" s="34" t="s">
        <v>43</v>
      </c>
      <c r="E1069" s="34" t="s">
        <v>42</v>
      </c>
      <c r="F1069" s="34" t="s">
        <v>22</v>
      </c>
      <c r="G1069" s="34" t="s">
        <v>21</v>
      </c>
    </row>
    <row r="1070" spans="1:7" ht="31.2" x14ac:dyDescent="0.3">
      <c r="A1070" s="33">
        <f>19*3</f>
        <v>57</v>
      </c>
      <c r="B1070" s="32" t="s">
        <v>53</v>
      </c>
      <c r="C1070" s="32" t="s">
        <v>259</v>
      </c>
      <c r="D1070" s="76"/>
      <c r="E1070" s="75">
        <v>236.68</v>
      </c>
      <c r="F1070" s="75">
        <f t="shared" ref="F1070:F1084" si="18">A1070*E1070</f>
        <v>13490.76</v>
      </c>
      <c r="G1070" s="74"/>
    </row>
    <row r="1071" spans="1:7" ht="31.2" x14ac:dyDescent="0.3">
      <c r="A1071" s="29">
        <v>12</v>
      </c>
      <c r="B1071" s="25" t="s">
        <v>53</v>
      </c>
      <c r="C1071" s="25" t="s">
        <v>260</v>
      </c>
      <c r="D1071" s="73" t="s">
        <v>261</v>
      </c>
      <c r="E1071" s="71">
        <v>327</v>
      </c>
      <c r="F1071" s="71">
        <f t="shared" si="18"/>
        <v>3924</v>
      </c>
      <c r="G1071" s="74"/>
    </row>
    <row r="1072" spans="1:7" ht="15.6" x14ac:dyDescent="0.3">
      <c r="A1072" s="29"/>
      <c r="B1072" s="25"/>
      <c r="C1072" s="25"/>
      <c r="D1072" s="73"/>
      <c r="E1072" s="71"/>
      <c r="F1072" s="71">
        <f t="shared" si="18"/>
        <v>0</v>
      </c>
      <c r="G1072" s="74"/>
    </row>
    <row r="1073" spans="1:7" ht="15.6" x14ac:dyDescent="0.3">
      <c r="A1073" s="29"/>
      <c r="B1073" s="27"/>
      <c r="C1073" s="27"/>
      <c r="D1073" s="73"/>
      <c r="E1073" s="71"/>
      <c r="F1073" s="71">
        <f t="shared" si="18"/>
        <v>0</v>
      </c>
      <c r="G1073" s="70"/>
    </row>
    <row r="1074" spans="1:7" ht="15.6" x14ac:dyDescent="0.3">
      <c r="A1074" s="29"/>
      <c r="B1074" s="27"/>
      <c r="C1074" s="27"/>
      <c r="D1074" s="73"/>
      <c r="E1074" s="71"/>
      <c r="F1074" s="71">
        <f t="shared" si="18"/>
        <v>0</v>
      </c>
      <c r="G1074" s="70"/>
    </row>
    <row r="1075" spans="1:7" ht="15.6" x14ac:dyDescent="0.3">
      <c r="A1075" s="29"/>
      <c r="B1075" s="27"/>
      <c r="C1075" s="27"/>
      <c r="D1075" s="73"/>
      <c r="E1075" s="71"/>
      <c r="F1075" s="71">
        <f t="shared" si="18"/>
        <v>0</v>
      </c>
      <c r="G1075" s="70"/>
    </row>
    <row r="1076" spans="1:7" ht="15.6" x14ac:dyDescent="0.3">
      <c r="A1076" s="29"/>
      <c r="B1076" s="27"/>
      <c r="C1076" s="27"/>
      <c r="D1076" s="73"/>
      <c r="E1076" s="71"/>
      <c r="F1076" s="71">
        <f t="shared" si="18"/>
        <v>0</v>
      </c>
      <c r="G1076" s="70"/>
    </row>
    <row r="1077" spans="1:7" ht="15.6" x14ac:dyDescent="0.3">
      <c r="A1077" s="26"/>
      <c r="B1077" s="27"/>
      <c r="C1077" s="27"/>
      <c r="D1077" s="73"/>
      <c r="E1077" s="71"/>
      <c r="F1077" s="71">
        <f t="shared" si="18"/>
        <v>0</v>
      </c>
      <c r="G1077" s="70"/>
    </row>
    <row r="1078" spans="1:7" ht="15.6" x14ac:dyDescent="0.3">
      <c r="A1078" s="26"/>
      <c r="B1078" s="27"/>
      <c r="C1078" s="27"/>
      <c r="D1078" s="73"/>
      <c r="E1078" s="71"/>
      <c r="F1078" s="71">
        <f t="shared" si="18"/>
        <v>0</v>
      </c>
      <c r="G1078" s="70"/>
    </row>
    <row r="1079" spans="1:7" ht="15.6" x14ac:dyDescent="0.3">
      <c r="A1079" s="26"/>
      <c r="B1079" s="25"/>
      <c r="C1079" s="27"/>
      <c r="D1079" s="73"/>
      <c r="E1079" s="71"/>
      <c r="F1079" s="71">
        <f t="shared" si="18"/>
        <v>0</v>
      </c>
      <c r="G1079" s="70"/>
    </row>
    <row r="1080" spans="1:7" ht="15.6" x14ac:dyDescent="0.3">
      <c r="A1080" s="26"/>
      <c r="B1080" s="25"/>
      <c r="C1080" s="25"/>
      <c r="D1080" s="72"/>
      <c r="E1080" s="71"/>
      <c r="F1080" s="71">
        <f t="shared" si="18"/>
        <v>0</v>
      </c>
      <c r="G1080" s="70"/>
    </row>
    <row r="1081" spans="1:7" ht="15.6" x14ac:dyDescent="0.3">
      <c r="A1081" s="26"/>
      <c r="B1081" s="25"/>
      <c r="C1081" s="25"/>
      <c r="D1081" s="72"/>
      <c r="E1081" s="71"/>
      <c r="F1081" s="71">
        <f t="shared" si="18"/>
        <v>0</v>
      </c>
      <c r="G1081" s="70"/>
    </row>
    <row r="1082" spans="1:7" ht="15.6" x14ac:dyDescent="0.3">
      <c r="A1082" s="26"/>
      <c r="B1082" s="25"/>
      <c r="C1082" s="25"/>
      <c r="D1082" s="72"/>
      <c r="E1082" s="71"/>
      <c r="F1082" s="71">
        <f t="shared" si="18"/>
        <v>0</v>
      </c>
      <c r="G1082" s="70"/>
    </row>
    <row r="1083" spans="1:7" ht="15.6" x14ac:dyDescent="0.3">
      <c r="A1083" s="26"/>
      <c r="B1083" s="25"/>
      <c r="C1083" s="25"/>
      <c r="D1083" s="72"/>
      <c r="E1083" s="71"/>
      <c r="F1083" s="71">
        <f t="shared" si="18"/>
        <v>0</v>
      </c>
      <c r="G1083" s="70"/>
    </row>
    <row r="1084" spans="1:7" ht="15.6" x14ac:dyDescent="0.3">
      <c r="A1084" s="21"/>
      <c r="B1084" s="20"/>
      <c r="C1084" s="20"/>
      <c r="D1084" s="69"/>
      <c r="E1084" s="68"/>
      <c r="F1084" s="68">
        <f t="shared" si="18"/>
        <v>0</v>
      </c>
      <c r="G1084" s="67"/>
    </row>
    <row r="1085" spans="1:7" ht="17.399999999999999" x14ac:dyDescent="0.3">
      <c r="A1085" s="17"/>
      <c r="B1085" s="16"/>
      <c r="C1085" s="9" t="s">
        <v>8</v>
      </c>
      <c r="D1085" s="9"/>
      <c r="E1085" s="66"/>
      <c r="F1085" s="65">
        <f>SUM(F1070:F1083)</f>
        <v>17414.760000000002</v>
      </c>
      <c r="G1085" s="64"/>
    </row>
    <row r="1086" spans="1:7" ht="17.399999999999999" x14ac:dyDescent="0.3">
      <c r="A1086" s="11"/>
      <c r="B1086" s="10"/>
      <c r="C1086" s="63" t="s">
        <v>7</v>
      </c>
      <c r="D1086" s="63"/>
      <c r="E1086" s="62"/>
      <c r="F1086" s="61">
        <f>F1085*0.16</f>
        <v>2786.3616000000002</v>
      </c>
      <c r="G1086" s="60"/>
    </row>
    <row r="1087" spans="1:7" ht="17.399999999999999" x14ac:dyDescent="0.3">
      <c r="A1087" s="11"/>
      <c r="B1087" s="10"/>
      <c r="C1087" s="59" t="s">
        <v>6</v>
      </c>
      <c r="D1087" s="59"/>
      <c r="E1087" s="58"/>
      <c r="F1087" s="57">
        <f>F1085+F1086</f>
        <v>20201.121600000002</v>
      </c>
      <c r="G1087" s="56"/>
    </row>
    <row r="1088" spans="1:7" ht="15.6" x14ac:dyDescent="0.3">
      <c r="A1088" s="6" t="s">
        <v>5</v>
      </c>
      <c r="B1088" s="5"/>
      <c r="C1088" s="5" t="s">
        <v>4</v>
      </c>
      <c r="D1088" s="5"/>
      <c r="E1088" s="5" t="s">
        <v>3</v>
      </c>
      <c r="F1088" s="5"/>
      <c r="G1088" s="4"/>
    </row>
    <row r="1089" spans="1:9" ht="15.6" x14ac:dyDescent="0.3">
      <c r="A1089" s="3" t="s">
        <v>2</v>
      </c>
      <c r="B1089" s="2"/>
      <c r="C1089" s="2" t="s">
        <v>39</v>
      </c>
      <c r="D1089" s="2"/>
      <c r="E1089" s="2" t="s">
        <v>0</v>
      </c>
      <c r="F1089" s="2"/>
      <c r="G1089" s="1"/>
    </row>
    <row r="1093" spans="1:9" ht="21" x14ac:dyDescent="0.4">
      <c r="A1093" s="55"/>
      <c r="B1093" s="326" t="s">
        <v>38</v>
      </c>
      <c r="C1093" s="327"/>
      <c r="D1093" s="277" t="s">
        <v>37</v>
      </c>
      <c r="E1093" s="278"/>
      <c r="F1093" s="278"/>
      <c r="G1093" s="279"/>
    </row>
    <row r="1094" spans="1:9" ht="21" x14ac:dyDescent="0.4">
      <c r="A1094" s="53"/>
      <c r="B1094" s="328"/>
      <c r="C1094" s="329"/>
      <c r="D1094" s="280" t="s">
        <v>36</v>
      </c>
      <c r="E1094" s="281"/>
      <c r="F1094" s="282" t="s">
        <v>256</v>
      </c>
      <c r="G1094" s="283"/>
    </row>
    <row r="1095" spans="1:9" ht="21" x14ac:dyDescent="0.4">
      <c r="A1095" s="53"/>
      <c r="B1095" s="328"/>
      <c r="C1095" s="329"/>
      <c r="D1095" s="135" t="s">
        <v>118</v>
      </c>
      <c r="E1095" s="136"/>
      <c r="F1095" s="90">
        <v>19</v>
      </c>
      <c r="G1095" s="50"/>
    </row>
    <row r="1096" spans="1:9" ht="21" x14ac:dyDescent="0.4">
      <c r="A1096" s="49"/>
      <c r="B1096" s="330"/>
      <c r="C1096" s="331"/>
      <c r="D1096" s="338" t="s">
        <v>50</v>
      </c>
      <c r="E1096" s="339"/>
      <c r="F1096" s="340" t="s">
        <v>298</v>
      </c>
      <c r="G1096" s="341"/>
    </row>
    <row r="1097" spans="1:9" ht="20.399999999999999" x14ac:dyDescent="0.35">
      <c r="A1097" s="39" t="s">
        <v>48</v>
      </c>
      <c r="B1097" s="43" t="s">
        <v>70</v>
      </c>
      <c r="C1097" s="42"/>
      <c r="D1097" s="42"/>
      <c r="E1097" s="289" t="s">
        <v>116</v>
      </c>
      <c r="F1097" s="289"/>
      <c r="G1097" s="290"/>
    </row>
    <row r="1098" spans="1:9" ht="20.399999999999999" x14ac:dyDescent="0.35">
      <c r="A1098" s="39" t="s">
        <v>30</v>
      </c>
      <c r="B1098" s="291"/>
      <c r="C1098" s="292"/>
      <c r="D1098" s="292"/>
      <c r="E1098" s="292"/>
      <c r="F1098" s="292"/>
      <c r="G1098" s="293"/>
    </row>
    <row r="1099" spans="1:9" ht="20.399999999999999" x14ac:dyDescent="0.35">
      <c r="A1099" s="39" t="s">
        <v>46</v>
      </c>
      <c r="B1099" s="291" t="s">
        <v>297</v>
      </c>
      <c r="C1099" s="292"/>
      <c r="D1099" s="292"/>
      <c r="E1099" s="292"/>
      <c r="F1099" s="292"/>
      <c r="G1099" s="293"/>
    </row>
    <row r="1100" spans="1:9" ht="20.399999999999999" x14ac:dyDescent="0.35">
      <c r="A1100" s="39" t="s">
        <v>28</v>
      </c>
      <c r="B1100" s="291" t="s">
        <v>299</v>
      </c>
      <c r="C1100" s="292"/>
      <c r="D1100" s="292"/>
      <c r="E1100" s="292"/>
      <c r="F1100" s="292"/>
      <c r="G1100" s="293"/>
    </row>
    <row r="1101" spans="1:9" ht="15" x14ac:dyDescent="0.3">
      <c r="A1101" s="34" t="s">
        <v>26</v>
      </c>
      <c r="B1101" s="34" t="s">
        <v>25</v>
      </c>
      <c r="C1101" s="34" t="s">
        <v>24</v>
      </c>
      <c r="D1101" s="34" t="s">
        <v>43</v>
      </c>
      <c r="E1101" s="34" t="s">
        <v>42</v>
      </c>
      <c r="F1101" s="34" t="s">
        <v>22</v>
      </c>
      <c r="G1101" s="34" t="s">
        <v>21</v>
      </c>
    </row>
    <row r="1102" spans="1:9" ht="42" x14ac:dyDescent="0.3">
      <c r="A1102" s="176">
        <v>62</v>
      </c>
      <c r="B1102" s="74" t="s">
        <v>10</v>
      </c>
      <c r="C1102" s="137" t="s">
        <v>264</v>
      </c>
      <c r="D1102" s="94" t="s">
        <v>265</v>
      </c>
      <c r="E1102" s="138">
        <v>16.11</v>
      </c>
      <c r="F1102" s="138">
        <f>A1102*E1102</f>
        <v>998.81999999999994</v>
      </c>
      <c r="G1102" s="139" t="s">
        <v>266</v>
      </c>
    </row>
    <row r="1103" spans="1:9" ht="42" x14ac:dyDescent="0.3">
      <c r="A1103" s="74">
        <v>13</v>
      </c>
      <c r="B1103" s="74" t="s">
        <v>10</v>
      </c>
      <c r="C1103" s="137" t="s">
        <v>267</v>
      </c>
      <c r="D1103" s="94" t="s">
        <v>268</v>
      </c>
      <c r="E1103" s="138">
        <v>16.11</v>
      </c>
      <c r="F1103" s="138">
        <f t="shared" ref="F1103:F1121" si="19">A1103*E1103</f>
        <v>209.43</v>
      </c>
      <c r="G1103" s="139" t="s">
        <v>266</v>
      </c>
      <c r="H1103">
        <v>4</v>
      </c>
      <c r="I1103" s="177">
        <v>9</v>
      </c>
    </row>
    <row r="1104" spans="1:9" ht="42" x14ac:dyDescent="0.3">
      <c r="A1104" s="176">
        <v>5</v>
      </c>
      <c r="B1104" s="74" t="s">
        <v>10</v>
      </c>
      <c r="C1104" s="137" t="s">
        <v>269</v>
      </c>
      <c r="D1104" s="74" t="s">
        <v>270</v>
      </c>
      <c r="E1104" s="138">
        <v>16.11</v>
      </c>
      <c r="F1104" s="138">
        <f t="shared" si="19"/>
        <v>80.55</v>
      </c>
      <c r="G1104" s="139" t="s">
        <v>266</v>
      </c>
    </row>
    <row r="1105" spans="1:8" ht="42" x14ac:dyDescent="0.3">
      <c r="A1105" s="176">
        <f>16+13</f>
        <v>29</v>
      </c>
      <c r="B1105" s="74" t="s">
        <v>10</v>
      </c>
      <c r="C1105" s="137" t="s">
        <v>271</v>
      </c>
      <c r="D1105" s="74" t="s">
        <v>272</v>
      </c>
      <c r="E1105" s="138">
        <v>15.98</v>
      </c>
      <c r="F1105" s="138">
        <f t="shared" si="19"/>
        <v>463.42</v>
      </c>
      <c r="G1105" s="139" t="s">
        <v>266</v>
      </c>
    </row>
    <row r="1106" spans="1:8" ht="42" x14ac:dyDescent="0.3">
      <c r="A1106" s="176">
        <f>26+2</f>
        <v>28</v>
      </c>
      <c r="B1106" s="74" t="s">
        <v>10</v>
      </c>
      <c r="C1106" s="137" t="s">
        <v>273</v>
      </c>
      <c r="D1106" s="94" t="s">
        <v>274</v>
      </c>
      <c r="E1106" s="138">
        <v>20.87</v>
      </c>
      <c r="F1106" s="138">
        <f t="shared" si="19"/>
        <v>584.36</v>
      </c>
      <c r="G1106" s="139" t="s">
        <v>266</v>
      </c>
    </row>
    <row r="1107" spans="1:8" ht="42" x14ac:dyDescent="0.3">
      <c r="A1107" s="176">
        <v>3</v>
      </c>
      <c r="B1107" s="74" t="s">
        <v>10</v>
      </c>
      <c r="C1107" s="137" t="s">
        <v>275</v>
      </c>
      <c r="D1107" s="74" t="s">
        <v>276</v>
      </c>
      <c r="E1107" s="138">
        <v>18.45</v>
      </c>
      <c r="F1107" s="138">
        <f t="shared" si="19"/>
        <v>55.349999999999994</v>
      </c>
      <c r="G1107" s="139" t="s">
        <v>266</v>
      </c>
    </row>
    <row r="1108" spans="1:8" ht="42" x14ac:dyDescent="0.3">
      <c r="A1108" s="176">
        <v>70</v>
      </c>
      <c r="B1108" s="74" t="s">
        <v>10</v>
      </c>
      <c r="C1108" s="137" t="s">
        <v>277</v>
      </c>
      <c r="D1108" s="74" t="s">
        <v>278</v>
      </c>
      <c r="E1108" s="138">
        <v>31.28</v>
      </c>
      <c r="F1108" s="138">
        <f t="shared" si="19"/>
        <v>2189.6</v>
      </c>
      <c r="G1108" s="139" t="s">
        <v>266</v>
      </c>
    </row>
    <row r="1109" spans="1:8" ht="55.2" x14ac:dyDescent="0.3">
      <c r="A1109" s="176">
        <v>16</v>
      </c>
      <c r="B1109" s="74" t="s">
        <v>10</v>
      </c>
      <c r="C1109" s="137" t="s">
        <v>279</v>
      </c>
      <c r="D1109" s="74" t="s">
        <v>280</v>
      </c>
      <c r="E1109" s="138">
        <v>203.44</v>
      </c>
      <c r="F1109" s="138">
        <f t="shared" si="19"/>
        <v>3255.04</v>
      </c>
      <c r="G1109" s="139" t="s">
        <v>266</v>
      </c>
      <c r="H1109">
        <v>5</v>
      </c>
    </row>
    <row r="1110" spans="1:8" ht="42" x14ac:dyDescent="0.3">
      <c r="A1110" s="176">
        <v>8</v>
      </c>
      <c r="B1110" s="74" t="s">
        <v>10</v>
      </c>
      <c r="C1110" s="137" t="s">
        <v>281</v>
      </c>
      <c r="D1110" s="74" t="s">
        <v>282</v>
      </c>
      <c r="E1110" s="138">
        <v>16.98</v>
      </c>
      <c r="F1110" s="138">
        <f t="shared" si="19"/>
        <v>135.84</v>
      </c>
      <c r="G1110" s="139" t="s">
        <v>266</v>
      </c>
    </row>
    <row r="1111" spans="1:8" ht="42" x14ac:dyDescent="0.3">
      <c r="A1111" s="176">
        <v>15</v>
      </c>
      <c r="B1111" s="74" t="s">
        <v>10</v>
      </c>
      <c r="C1111" s="137" t="s">
        <v>283</v>
      </c>
      <c r="D1111" s="74" t="s">
        <v>284</v>
      </c>
      <c r="E1111" s="138">
        <v>23.37</v>
      </c>
      <c r="F1111" s="138">
        <f t="shared" si="19"/>
        <v>350.55</v>
      </c>
      <c r="G1111" s="139" t="s">
        <v>266</v>
      </c>
    </row>
    <row r="1112" spans="1:8" ht="42" x14ac:dyDescent="0.3">
      <c r="A1112" s="176">
        <v>3</v>
      </c>
      <c r="B1112" s="74" t="s">
        <v>10</v>
      </c>
      <c r="C1112" s="137" t="s">
        <v>285</v>
      </c>
      <c r="D1112" s="74" t="s">
        <v>286</v>
      </c>
      <c r="E1112" s="138">
        <v>44.11</v>
      </c>
      <c r="F1112" s="138">
        <f t="shared" si="19"/>
        <v>132.32999999999998</v>
      </c>
      <c r="G1112" s="139" t="s">
        <v>266</v>
      </c>
    </row>
    <row r="1113" spans="1:8" ht="42" x14ac:dyDescent="0.3">
      <c r="A1113" s="176">
        <v>10</v>
      </c>
      <c r="B1113" s="74" t="s">
        <v>10</v>
      </c>
      <c r="C1113" s="137" t="s">
        <v>287</v>
      </c>
      <c r="D1113" s="74" t="s">
        <v>288</v>
      </c>
      <c r="E1113" s="138">
        <v>10.130000000000001</v>
      </c>
      <c r="F1113" s="138">
        <f t="shared" si="19"/>
        <v>101.30000000000001</v>
      </c>
      <c r="G1113" s="139" t="s">
        <v>266</v>
      </c>
    </row>
    <row r="1114" spans="1:8" ht="42" x14ac:dyDescent="0.3">
      <c r="A1114" s="176">
        <v>10</v>
      </c>
      <c r="B1114" s="74" t="s">
        <v>10</v>
      </c>
      <c r="C1114" s="137" t="s">
        <v>289</v>
      </c>
      <c r="D1114" s="74" t="s">
        <v>296</v>
      </c>
      <c r="E1114" s="138">
        <v>58.48</v>
      </c>
      <c r="F1114" s="138">
        <f t="shared" si="19"/>
        <v>584.79999999999995</v>
      </c>
      <c r="G1114" s="139" t="s">
        <v>266</v>
      </c>
    </row>
    <row r="1115" spans="1:8" ht="42" x14ac:dyDescent="0.3">
      <c r="A1115" s="176">
        <v>15</v>
      </c>
      <c r="B1115" s="74" t="s">
        <v>10</v>
      </c>
      <c r="C1115" s="137" t="s">
        <v>290</v>
      </c>
      <c r="D1115" s="74" t="s">
        <v>291</v>
      </c>
      <c r="E1115" s="138">
        <v>11.68</v>
      </c>
      <c r="F1115" s="138">
        <f t="shared" si="19"/>
        <v>175.2</v>
      </c>
      <c r="G1115" s="139" t="s">
        <v>266</v>
      </c>
    </row>
    <row r="1116" spans="1:8" ht="42" x14ac:dyDescent="0.3">
      <c r="A1116" s="176">
        <v>10</v>
      </c>
      <c r="B1116" s="74" t="s">
        <v>10</v>
      </c>
      <c r="C1116" s="137" t="s">
        <v>292</v>
      </c>
      <c r="D1116" s="74" t="s">
        <v>293</v>
      </c>
      <c r="E1116" s="138">
        <v>16.11</v>
      </c>
      <c r="F1116" s="138">
        <f t="shared" si="19"/>
        <v>161.1</v>
      </c>
      <c r="G1116" s="139" t="s">
        <v>266</v>
      </c>
    </row>
    <row r="1117" spans="1:8" ht="41.4" x14ac:dyDescent="0.3">
      <c r="A1117" s="176">
        <v>18</v>
      </c>
      <c r="B1117" s="74" t="s">
        <v>10</v>
      </c>
      <c r="C1117" s="137" t="s">
        <v>294</v>
      </c>
      <c r="D1117" s="70"/>
      <c r="E1117" s="138">
        <v>60.24</v>
      </c>
      <c r="F1117" s="138">
        <f t="shared" si="19"/>
        <v>1084.32</v>
      </c>
      <c r="G1117" s="70"/>
    </row>
    <row r="1118" spans="1:8" ht="41.4" x14ac:dyDescent="0.3">
      <c r="A1118" s="176">
        <v>11</v>
      </c>
      <c r="B1118" s="74" t="s">
        <v>10</v>
      </c>
      <c r="C1118" s="137" t="s">
        <v>295</v>
      </c>
      <c r="D1118" s="70"/>
      <c r="E1118" s="138">
        <v>60.24</v>
      </c>
      <c r="F1118" s="138">
        <f t="shared" si="19"/>
        <v>662.64</v>
      </c>
      <c r="G1118" s="70"/>
    </row>
    <row r="1119" spans="1:8" x14ac:dyDescent="0.3">
      <c r="A1119" s="74"/>
      <c r="B1119" s="74"/>
      <c r="C1119" s="140"/>
      <c r="D1119" s="70"/>
      <c r="E1119" s="138"/>
      <c r="F1119" s="138">
        <f t="shared" si="19"/>
        <v>0</v>
      </c>
      <c r="G1119" s="70"/>
    </row>
    <row r="1120" spans="1:8" x14ac:dyDescent="0.3">
      <c r="A1120" s="74"/>
      <c r="B1120" s="74"/>
      <c r="C1120" s="74"/>
      <c r="D1120" s="70"/>
      <c r="E1120" s="138"/>
      <c r="F1120" s="138">
        <f t="shared" si="19"/>
        <v>0</v>
      </c>
      <c r="G1120" s="70"/>
    </row>
    <row r="1121" spans="1:7" x14ac:dyDescent="0.3">
      <c r="A1121" s="141"/>
      <c r="B1121" s="141"/>
      <c r="C1121" s="141"/>
      <c r="D1121" s="67"/>
      <c r="E1121" s="142"/>
      <c r="F1121" s="142">
        <f t="shared" si="19"/>
        <v>0</v>
      </c>
      <c r="G1121" s="67"/>
    </row>
    <row r="1122" spans="1:7" ht="15.6" x14ac:dyDescent="0.3">
      <c r="A1122" s="143"/>
      <c r="B1122" s="144"/>
      <c r="C1122" s="145" t="s">
        <v>8</v>
      </c>
      <c r="D1122" s="16"/>
      <c r="E1122" s="146"/>
      <c r="F1122" s="146">
        <f>SUM(F1102:F1120)</f>
        <v>11224.649999999998</v>
      </c>
      <c r="G1122" s="147"/>
    </row>
    <row r="1123" spans="1:7" ht="15.6" x14ac:dyDescent="0.3">
      <c r="A1123" s="148"/>
      <c r="B1123" s="107"/>
      <c r="C1123" s="149" t="s">
        <v>7</v>
      </c>
      <c r="D1123" s="10"/>
      <c r="E1123" s="150"/>
      <c r="F1123" s="150">
        <f>F1122*0.16</f>
        <v>1795.9439999999997</v>
      </c>
      <c r="G1123" s="112"/>
    </row>
    <row r="1124" spans="1:7" ht="15.6" x14ac:dyDescent="0.3">
      <c r="A1124" s="148"/>
      <c r="B1124" s="107"/>
      <c r="C1124" s="151" t="s">
        <v>6</v>
      </c>
      <c r="D1124" s="152"/>
      <c r="E1124" s="153"/>
      <c r="F1124" s="153">
        <f>F1122+F1123</f>
        <v>13020.593999999997</v>
      </c>
      <c r="G1124" s="154"/>
    </row>
    <row r="1125" spans="1:7" x14ac:dyDescent="0.3">
      <c r="A1125" s="335" t="s">
        <v>5</v>
      </c>
      <c r="B1125" s="336"/>
      <c r="C1125" s="155" t="s">
        <v>4</v>
      </c>
      <c r="D1125" s="155"/>
      <c r="E1125" s="336" t="s">
        <v>3</v>
      </c>
      <c r="F1125" s="336"/>
      <c r="G1125" s="337"/>
    </row>
    <row r="1126" spans="1:7" x14ac:dyDescent="0.3">
      <c r="A1126" s="332" t="s">
        <v>2</v>
      </c>
      <c r="B1126" s="333"/>
      <c r="C1126" s="156" t="s">
        <v>39</v>
      </c>
      <c r="D1126" s="156"/>
      <c r="E1126" s="333" t="s">
        <v>70</v>
      </c>
      <c r="F1126" s="333"/>
      <c r="G1126" s="334"/>
    </row>
    <row r="1127" spans="1:7" x14ac:dyDescent="0.3">
      <c r="A1127" s="107"/>
      <c r="B1127" s="107"/>
      <c r="C1127" s="107"/>
      <c r="D1127" s="107"/>
      <c r="E1127" s="107"/>
      <c r="F1127" s="107"/>
      <c r="G1127" s="107"/>
    </row>
    <row r="1130" spans="1:7" ht="30" x14ac:dyDescent="0.4">
      <c r="A1130" s="55"/>
      <c r="B1130" s="271" t="s">
        <v>38</v>
      </c>
      <c r="C1130" s="272"/>
      <c r="D1130" s="54"/>
      <c r="E1130" s="305" t="s">
        <v>37</v>
      </c>
      <c r="F1130" s="307"/>
    </row>
    <row r="1131" spans="1:7" ht="30" x14ac:dyDescent="0.4">
      <c r="A1131" s="53"/>
      <c r="B1131" s="273"/>
      <c r="C1131" s="274"/>
      <c r="D1131" s="52"/>
      <c r="E1131" s="51" t="s">
        <v>36</v>
      </c>
      <c r="F1131" s="50" t="s">
        <v>314</v>
      </c>
    </row>
    <row r="1132" spans="1:7" ht="30" x14ac:dyDescent="0.4">
      <c r="A1132" s="49"/>
      <c r="B1132" s="275"/>
      <c r="C1132" s="276"/>
      <c r="D1132" s="48"/>
      <c r="E1132" s="47" t="s">
        <v>34</v>
      </c>
      <c r="F1132" s="46" t="s">
        <v>319</v>
      </c>
    </row>
    <row r="1133" spans="1:7" ht="20.399999999999999" x14ac:dyDescent="0.35">
      <c r="A1133" s="39" t="s">
        <v>5</v>
      </c>
      <c r="B1133" s="43" t="s">
        <v>0</v>
      </c>
      <c r="C1133" s="42"/>
      <c r="D1133" s="42"/>
      <c r="E1133" s="98"/>
      <c r="F1133" s="97"/>
    </row>
    <row r="1134" spans="1:7" ht="20.399999999999999" x14ac:dyDescent="0.35">
      <c r="A1134" s="39" t="s">
        <v>30</v>
      </c>
      <c r="B1134" s="43" t="s">
        <v>300</v>
      </c>
      <c r="C1134" s="42"/>
      <c r="D1134" s="42"/>
      <c r="E1134" s="41"/>
      <c r="F1134" s="40"/>
    </row>
    <row r="1135" spans="1:7" ht="20.399999999999999" x14ac:dyDescent="0.35">
      <c r="A1135" s="39" t="s">
        <v>73</v>
      </c>
      <c r="B1135" s="38" t="s">
        <v>301</v>
      </c>
      <c r="C1135" s="37"/>
      <c r="D1135" s="37"/>
      <c r="E1135" s="41"/>
      <c r="F1135" s="40"/>
    </row>
    <row r="1136" spans="1:7" ht="20.399999999999999" x14ac:dyDescent="0.35">
      <c r="A1136" s="39" t="s">
        <v>28</v>
      </c>
      <c r="B1136" s="38" t="s">
        <v>320</v>
      </c>
      <c r="C1136" s="37"/>
      <c r="D1136" s="37"/>
      <c r="E1136" s="36"/>
      <c r="F1136" s="35"/>
    </row>
    <row r="1137" spans="1:6" ht="15" x14ac:dyDescent="0.3">
      <c r="A1137" s="34" t="s">
        <v>26</v>
      </c>
      <c r="B1137" s="34" t="s">
        <v>25</v>
      </c>
      <c r="C1137" s="34" t="s">
        <v>24</v>
      </c>
      <c r="D1137" s="34" t="s">
        <v>23</v>
      </c>
      <c r="E1137" s="34" t="s">
        <v>22</v>
      </c>
      <c r="F1137" s="34" t="s">
        <v>21</v>
      </c>
    </row>
    <row r="1138" spans="1:6" ht="31.2" x14ac:dyDescent="0.3">
      <c r="A1138" s="33">
        <v>8</v>
      </c>
      <c r="B1138" s="32" t="s">
        <v>10</v>
      </c>
      <c r="C1138" s="32" t="s">
        <v>302</v>
      </c>
      <c r="D1138" s="96">
        <v>88.51</v>
      </c>
      <c r="E1138" s="96">
        <f t="shared" ref="E1138:E1150" si="20">+A1138*D1138</f>
        <v>708.08</v>
      </c>
      <c r="F1138" s="22"/>
    </row>
    <row r="1139" spans="1:6" ht="15.6" x14ac:dyDescent="0.3">
      <c r="A1139" s="29">
        <v>16</v>
      </c>
      <c r="B1139" s="25" t="s">
        <v>10</v>
      </c>
      <c r="C1139" s="95" t="s">
        <v>303</v>
      </c>
      <c r="D1139" s="73">
        <v>7.15</v>
      </c>
      <c r="E1139" s="93">
        <f t="shared" si="20"/>
        <v>114.4</v>
      </c>
      <c r="F1139" s="22"/>
    </row>
    <row r="1140" spans="1:6" ht="15.6" x14ac:dyDescent="0.3">
      <c r="A1140" s="29">
        <v>24</v>
      </c>
      <c r="B1140" s="25"/>
      <c r="C1140" s="25" t="s">
        <v>304</v>
      </c>
      <c r="D1140" s="73">
        <v>14.05</v>
      </c>
      <c r="E1140" s="93">
        <f t="shared" si="20"/>
        <v>337.20000000000005</v>
      </c>
      <c r="F1140" s="22"/>
    </row>
    <row r="1141" spans="1:6" ht="15.6" x14ac:dyDescent="0.3">
      <c r="A1141" s="29">
        <v>16</v>
      </c>
      <c r="B1141" s="27"/>
      <c r="C1141" s="27" t="s">
        <v>305</v>
      </c>
      <c r="D1141" s="73">
        <v>5.72</v>
      </c>
      <c r="E1141" s="93">
        <f t="shared" si="20"/>
        <v>91.52</v>
      </c>
      <c r="F1141" s="22"/>
    </row>
    <row r="1142" spans="1:6" ht="15.6" x14ac:dyDescent="0.3">
      <c r="A1142" s="29">
        <v>16</v>
      </c>
      <c r="B1142" s="27"/>
      <c r="C1142" s="28" t="s">
        <v>306</v>
      </c>
      <c r="D1142" s="73">
        <v>7.07</v>
      </c>
      <c r="E1142" s="93">
        <f t="shared" si="20"/>
        <v>113.12</v>
      </c>
      <c r="F1142" s="22"/>
    </row>
    <row r="1143" spans="1:6" ht="15.6" x14ac:dyDescent="0.3">
      <c r="A1143" s="29">
        <v>16</v>
      </c>
      <c r="B1143" s="27" t="s">
        <v>10</v>
      </c>
      <c r="C1143" s="28" t="s">
        <v>307</v>
      </c>
      <c r="D1143" s="73">
        <v>76.540000000000006</v>
      </c>
      <c r="E1143" s="93">
        <f t="shared" si="20"/>
        <v>1224.6400000000001</v>
      </c>
      <c r="F1143" s="22"/>
    </row>
    <row r="1144" spans="1:6" ht="31.2" x14ac:dyDescent="0.3">
      <c r="A1144" s="29">
        <v>8</v>
      </c>
      <c r="B1144" s="27" t="s">
        <v>10</v>
      </c>
      <c r="C1144" s="28" t="s">
        <v>308</v>
      </c>
      <c r="D1144" s="94">
        <v>86.29</v>
      </c>
      <c r="E1144" s="93">
        <f t="shared" si="20"/>
        <v>690.32</v>
      </c>
      <c r="F1144" s="22"/>
    </row>
    <row r="1145" spans="1:6" ht="15.6" x14ac:dyDescent="0.3">
      <c r="A1145" s="26"/>
      <c r="B1145" s="27"/>
      <c r="C1145" s="27"/>
      <c r="D1145" s="73"/>
      <c r="E1145" s="93">
        <f t="shared" si="20"/>
        <v>0</v>
      </c>
      <c r="F1145" s="22"/>
    </row>
    <row r="1146" spans="1:6" ht="15.6" x14ac:dyDescent="0.3">
      <c r="A1146" s="26"/>
      <c r="B1146" s="27"/>
      <c r="C1146" s="27"/>
      <c r="D1146" s="73"/>
      <c r="E1146" s="93">
        <f t="shared" si="20"/>
        <v>0</v>
      </c>
      <c r="F1146" s="22"/>
    </row>
    <row r="1147" spans="1:6" ht="15.6" x14ac:dyDescent="0.3">
      <c r="A1147" s="26"/>
      <c r="B1147" s="25"/>
      <c r="C1147" s="25"/>
      <c r="D1147" s="73"/>
      <c r="E1147" s="93">
        <f t="shared" si="20"/>
        <v>0</v>
      </c>
      <c r="F1147" s="22"/>
    </row>
    <row r="1148" spans="1:6" ht="15.6" x14ac:dyDescent="0.3">
      <c r="A1148" s="26"/>
      <c r="B1148" s="25"/>
      <c r="C1148" s="25"/>
      <c r="D1148" s="73"/>
      <c r="E1148" s="93">
        <f t="shared" si="20"/>
        <v>0</v>
      </c>
      <c r="F1148" s="22"/>
    </row>
    <row r="1149" spans="1:6" ht="15.6" x14ac:dyDescent="0.3">
      <c r="A1149" s="26"/>
      <c r="B1149" s="25"/>
      <c r="C1149" s="25"/>
      <c r="D1149" s="73"/>
      <c r="E1149" s="93">
        <f t="shared" si="20"/>
        <v>0</v>
      </c>
      <c r="F1149" s="22"/>
    </row>
    <row r="1150" spans="1:6" ht="15.6" x14ac:dyDescent="0.3">
      <c r="A1150" s="26"/>
      <c r="B1150" s="25"/>
      <c r="C1150" s="25"/>
      <c r="D1150" s="73"/>
      <c r="E1150" s="93">
        <f t="shared" si="20"/>
        <v>0</v>
      </c>
      <c r="F1150" s="22"/>
    </row>
    <row r="1151" spans="1:6" ht="15.6" x14ac:dyDescent="0.3">
      <c r="A1151" s="26"/>
      <c r="B1151" s="25"/>
      <c r="C1151" s="25"/>
      <c r="D1151" s="73"/>
      <c r="E1151" s="93"/>
      <c r="F1151" s="22"/>
    </row>
    <row r="1152" spans="1:6" ht="15.6" x14ac:dyDescent="0.3">
      <c r="A1152" s="21"/>
      <c r="B1152" s="20"/>
      <c r="C1152" s="20"/>
      <c r="D1152" s="92"/>
      <c r="E1152" s="91"/>
      <c r="F1152" s="18"/>
    </row>
    <row r="1153" spans="1:7" ht="17.399999999999999" x14ac:dyDescent="0.3">
      <c r="A1153" s="17"/>
      <c r="B1153" s="16"/>
      <c r="C1153" s="294" t="s">
        <v>8</v>
      </c>
      <c r="D1153" s="294"/>
      <c r="E1153" s="15">
        <f>SUM(E1138:E1150)</f>
        <v>3279.28</v>
      </c>
      <c r="F1153" s="14"/>
    </row>
    <row r="1154" spans="1:7" ht="17.399999999999999" x14ac:dyDescent="0.3">
      <c r="A1154" s="11"/>
      <c r="B1154" s="10"/>
      <c r="C1154" s="294" t="s">
        <v>7</v>
      </c>
      <c r="D1154" s="294"/>
      <c r="E1154" s="13">
        <f>+E1153*0.16</f>
        <v>524.6848</v>
      </c>
      <c r="F1154" s="12"/>
    </row>
    <row r="1155" spans="1:7" ht="17.399999999999999" x14ac:dyDescent="0.3">
      <c r="A1155" s="11"/>
      <c r="B1155" s="10"/>
      <c r="C1155" s="294" t="s">
        <v>6</v>
      </c>
      <c r="D1155" s="294"/>
      <c r="E1155" s="8">
        <f>+E1153+E1154</f>
        <v>3803.9648000000002</v>
      </c>
      <c r="F1155" s="7"/>
    </row>
    <row r="1156" spans="1:7" ht="15.6" x14ac:dyDescent="0.3">
      <c r="A1156" s="6" t="s">
        <v>5</v>
      </c>
      <c r="B1156" s="5"/>
      <c r="C1156" s="5" t="s">
        <v>4</v>
      </c>
      <c r="D1156" s="5"/>
      <c r="E1156" s="5"/>
      <c r="F1156" s="4" t="s">
        <v>3</v>
      </c>
    </row>
    <row r="1157" spans="1:7" ht="15.6" x14ac:dyDescent="0.3">
      <c r="A1157" s="3" t="s">
        <v>2</v>
      </c>
      <c r="B1157" s="2"/>
      <c r="C1157" s="2" t="s">
        <v>1</v>
      </c>
      <c r="D1157" s="2"/>
      <c r="E1157" s="2"/>
      <c r="F1157" s="1" t="s">
        <v>70</v>
      </c>
    </row>
    <row r="1160" spans="1:7" ht="24.6" x14ac:dyDescent="0.3">
      <c r="A1160" s="271" t="s">
        <v>38</v>
      </c>
      <c r="B1160" s="302"/>
      <c r="C1160" s="272"/>
      <c r="D1160" s="305" t="s">
        <v>37</v>
      </c>
      <c r="E1160" s="306"/>
      <c r="F1160" s="306"/>
      <c r="G1160" s="307"/>
    </row>
    <row r="1161" spans="1:7" ht="21" x14ac:dyDescent="0.4">
      <c r="A1161" s="273"/>
      <c r="B1161" s="303"/>
      <c r="C1161" s="274"/>
      <c r="D1161" s="51" t="s">
        <v>36</v>
      </c>
      <c r="E1161" s="308" t="s">
        <v>314</v>
      </c>
      <c r="F1161" s="282"/>
      <c r="G1161" s="50"/>
    </row>
    <row r="1162" spans="1:7" ht="21" x14ac:dyDescent="0.4">
      <c r="A1162" s="273"/>
      <c r="B1162" s="303"/>
      <c r="C1162" s="274"/>
      <c r="D1162" s="51" t="s">
        <v>51</v>
      </c>
      <c r="E1162" s="284">
        <v>19</v>
      </c>
      <c r="F1162" s="282"/>
      <c r="G1162" s="50"/>
    </row>
    <row r="1163" spans="1:7" ht="30" x14ac:dyDescent="0.3">
      <c r="A1163" s="275"/>
      <c r="B1163" s="304"/>
      <c r="C1163" s="276"/>
      <c r="D1163" s="47" t="s">
        <v>50</v>
      </c>
      <c r="E1163" s="287" t="s">
        <v>322</v>
      </c>
      <c r="F1163" s="287"/>
      <c r="G1163" s="87"/>
    </row>
    <row r="1164" spans="1:7" ht="20.399999999999999" x14ac:dyDescent="0.35">
      <c r="A1164" s="39" t="s">
        <v>48</v>
      </c>
      <c r="B1164" s="43" t="s">
        <v>47</v>
      </c>
      <c r="C1164" s="42"/>
      <c r="D1164" s="42"/>
      <c r="E1164" s="86"/>
      <c r="F1164" s="85"/>
      <c r="G1164" s="84"/>
    </row>
    <row r="1165" spans="1:7" ht="20.399999999999999" x14ac:dyDescent="0.35">
      <c r="A1165" s="39" t="s">
        <v>30</v>
      </c>
      <c r="B1165" s="38"/>
      <c r="C1165" s="37"/>
      <c r="D1165" s="37"/>
      <c r="E1165" s="83"/>
      <c r="F1165" s="82"/>
      <c r="G1165" s="81"/>
    </row>
    <row r="1166" spans="1:7" ht="20.399999999999999" x14ac:dyDescent="0.35">
      <c r="A1166" s="39" t="s">
        <v>46</v>
      </c>
      <c r="B1166" s="38" t="s">
        <v>45</v>
      </c>
      <c r="C1166" s="37"/>
      <c r="D1166" s="37"/>
      <c r="E1166" s="80"/>
      <c r="F1166" s="79"/>
      <c r="G1166" s="78"/>
    </row>
    <row r="1167" spans="1:7" ht="20.399999999999999" x14ac:dyDescent="0.35">
      <c r="A1167" s="39" t="s">
        <v>28</v>
      </c>
      <c r="B1167" s="38" t="s">
        <v>55</v>
      </c>
      <c r="C1167" s="37"/>
      <c r="D1167" s="37"/>
      <c r="E1167" s="37"/>
      <c r="F1167" s="37"/>
      <c r="G1167" s="77"/>
    </row>
    <row r="1168" spans="1:7" ht="15" x14ac:dyDescent="0.3">
      <c r="A1168" s="34" t="s">
        <v>26</v>
      </c>
      <c r="B1168" s="34" t="s">
        <v>25</v>
      </c>
      <c r="C1168" s="34" t="s">
        <v>24</v>
      </c>
      <c r="D1168" s="34" t="s">
        <v>43</v>
      </c>
      <c r="E1168" s="34" t="s">
        <v>42</v>
      </c>
      <c r="F1168" s="34" t="s">
        <v>22</v>
      </c>
      <c r="G1168" s="34" t="s">
        <v>21</v>
      </c>
    </row>
    <row r="1169" spans="1:7" ht="15.6" x14ac:dyDescent="0.3">
      <c r="A1169" s="33">
        <v>3</v>
      </c>
      <c r="B1169" s="32" t="s">
        <v>235</v>
      </c>
      <c r="C1169" s="32" t="s">
        <v>321</v>
      </c>
      <c r="D1169" s="76">
        <v>122620</v>
      </c>
      <c r="E1169" s="75">
        <v>323.89999999999998</v>
      </c>
      <c r="F1169" s="75">
        <f t="shared" ref="F1169:F1183" si="21">A1169*E1169</f>
        <v>971.69999999999993</v>
      </c>
      <c r="G1169" s="74"/>
    </row>
    <row r="1170" spans="1:7" ht="15.6" x14ac:dyDescent="0.3">
      <c r="A1170" s="29"/>
      <c r="B1170" s="25"/>
      <c r="C1170" s="25"/>
      <c r="D1170" s="73"/>
      <c r="E1170" s="71"/>
      <c r="F1170" s="71">
        <f t="shared" si="21"/>
        <v>0</v>
      </c>
      <c r="G1170" s="74"/>
    </row>
    <row r="1171" spans="1:7" ht="15.6" x14ac:dyDescent="0.3">
      <c r="A1171" s="29"/>
      <c r="B1171" s="25"/>
      <c r="C1171" s="25"/>
      <c r="D1171" s="73"/>
      <c r="E1171" s="71"/>
      <c r="F1171" s="71">
        <f t="shared" si="21"/>
        <v>0</v>
      </c>
      <c r="G1171" s="74"/>
    </row>
    <row r="1172" spans="1:7" ht="15.6" x14ac:dyDescent="0.3">
      <c r="A1172" s="29"/>
      <c r="B1172" s="27"/>
      <c r="C1172" s="27"/>
      <c r="D1172" s="73"/>
      <c r="E1172" s="71"/>
      <c r="F1172" s="71">
        <f t="shared" si="21"/>
        <v>0</v>
      </c>
      <c r="G1172" s="70"/>
    </row>
    <row r="1173" spans="1:7" ht="15.6" x14ac:dyDescent="0.3">
      <c r="A1173" s="29"/>
      <c r="B1173" s="27"/>
      <c r="C1173" s="27"/>
      <c r="D1173" s="73"/>
      <c r="E1173" s="71"/>
      <c r="F1173" s="71">
        <f t="shared" si="21"/>
        <v>0</v>
      </c>
      <c r="G1173" s="70"/>
    </row>
    <row r="1174" spans="1:7" ht="15.6" x14ac:dyDescent="0.3">
      <c r="A1174" s="29"/>
      <c r="B1174" s="27"/>
      <c r="C1174" s="27"/>
      <c r="D1174" s="73"/>
      <c r="E1174" s="71"/>
      <c r="F1174" s="71">
        <f t="shared" si="21"/>
        <v>0</v>
      </c>
      <c r="G1174" s="70"/>
    </row>
    <row r="1175" spans="1:7" ht="15.6" x14ac:dyDescent="0.3">
      <c r="A1175" s="29"/>
      <c r="B1175" s="27"/>
      <c r="C1175" s="27"/>
      <c r="D1175" s="73"/>
      <c r="E1175" s="71"/>
      <c r="F1175" s="71">
        <f t="shared" si="21"/>
        <v>0</v>
      </c>
      <c r="G1175" s="70"/>
    </row>
    <row r="1176" spans="1:7" ht="15.6" x14ac:dyDescent="0.3">
      <c r="A1176" s="26"/>
      <c r="B1176" s="27"/>
      <c r="C1176" s="27"/>
      <c r="D1176" s="73"/>
      <c r="E1176" s="71"/>
      <c r="F1176" s="71">
        <f t="shared" si="21"/>
        <v>0</v>
      </c>
      <c r="G1176" s="70"/>
    </row>
    <row r="1177" spans="1:7" ht="15.6" x14ac:dyDescent="0.3">
      <c r="A1177" s="26"/>
      <c r="B1177" s="27"/>
      <c r="C1177" s="27"/>
      <c r="D1177" s="73"/>
      <c r="E1177" s="71"/>
      <c r="F1177" s="71">
        <f t="shared" si="21"/>
        <v>0</v>
      </c>
      <c r="G1177" s="70"/>
    </row>
    <row r="1178" spans="1:7" ht="15.6" x14ac:dyDescent="0.3">
      <c r="A1178" s="26"/>
      <c r="B1178" s="25"/>
      <c r="C1178" s="27"/>
      <c r="D1178" s="73"/>
      <c r="E1178" s="71"/>
      <c r="F1178" s="71">
        <f t="shared" si="21"/>
        <v>0</v>
      </c>
      <c r="G1178" s="70"/>
    </row>
    <row r="1179" spans="1:7" ht="15.6" x14ac:dyDescent="0.3">
      <c r="A1179" s="26"/>
      <c r="B1179" s="25"/>
      <c r="C1179" s="25"/>
      <c r="D1179" s="72"/>
      <c r="E1179" s="71"/>
      <c r="F1179" s="71">
        <f t="shared" si="21"/>
        <v>0</v>
      </c>
      <c r="G1179" s="70"/>
    </row>
    <row r="1180" spans="1:7" ht="15.6" x14ac:dyDescent="0.3">
      <c r="A1180" s="26"/>
      <c r="B1180" s="25"/>
      <c r="C1180" s="25"/>
      <c r="D1180" s="72"/>
      <c r="E1180" s="71"/>
      <c r="F1180" s="71">
        <f t="shared" si="21"/>
        <v>0</v>
      </c>
      <c r="G1180" s="70"/>
    </row>
    <row r="1181" spans="1:7" ht="15.6" x14ac:dyDescent="0.3">
      <c r="A1181" s="26"/>
      <c r="B1181" s="25"/>
      <c r="C1181" s="25"/>
      <c r="D1181" s="72"/>
      <c r="E1181" s="71"/>
      <c r="F1181" s="71">
        <f t="shared" si="21"/>
        <v>0</v>
      </c>
      <c r="G1181" s="70"/>
    </row>
    <row r="1182" spans="1:7" ht="15.6" x14ac:dyDescent="0.3">
      <c r="A1182" s="26"/>
      <c r="B1182" s="25"/>
      <c r="C1182" s="25"/>
      <c r="D1182" s="72"/>
      <c r="E1182" s="71"/>
      <c r="F1182" s="71">
        <f t="shared" si="21"/>
        <v>0</v>
      </c>
      <c r="G1182" s="70"/>
    </row>
    <row r="1183" spans="1:7" ht="15.6" x14ac:dyDescent="0.3">
      <c r="A1183" s="21"/>
      <c r="B1183" s="20"/>
      <c r="C1183" s="20"/>
      <c r="D1183" s="69"/>
      <c r="E1183" s="68"/>
      <c r="F1183" s="68">
        <f t="shared" si="21"/>
        <v>0</v>
      </c>
      <c r="G1183" s="67"/>
    </row>
    <row r="1184" spans="1:7" ht="17.399999999999999" x14ac:dyDescent="0.3">
      <c r="A1184" s="17"/>
      <c r="B1184" s="16"/>
      <c r="C1184" s="9" t="s">
        <v>8</v>
      </c>
      <c r="D1184" s="9"/>
      <c r="E1184" s="66"/>
      <c r="F1184" s="65">
        <f>SUM(F1169:F1182)</f>
        <v>971.69999999999993</v>
      </c>
      <c r="G1184" s="64"/>
    </row>
    <row r="1185" spans="1:7" ht="17.399999999999999" x14ac:dyDescent="0.3">
      <c r="A1185" s="11"/>
      <c r="B1185" s="10"/>
      <c r="C1185" s="63" t="s">
        <v>7</v>
      </c>
      <c r="D1185" s="63"/>
      <c r="E1185" s="62"/>
      <c r="F1185" s="61">
        <f>F1184*0.16</f>
        <v>155.47199999999998</v>
      </c>
      <c r="G1185" s="60"/>
    </row>
    <row r="1186" spans="1:7" ht="17.399999999999999" x14ac:dyDescent="0.3">
      <c r="A1186" s="11"/>
      <c r="B1186" s="10"/>
      <c r="C1186" s="59" t="s">
        <v>6</v>
      </c>
      <c r="D1186" s="59"/>
      <c r="E1186" s="58"/>
      <c r="F1186" s="57">
        <f>F1184+F1185</f>
        <v>1127.172</v>
      </c>
      <c r="G1186" s="56"/>
    </row>
    <row r="1187" spans="1:7" ht="15.6" x14ac:dyDescent="0.3">
      <c r="A1187" s="6" t="s">
        <v>5</v>
      </c>
      <c r="B1187" s="5"/>
      <c r="C1187" s="5" t="s">
        <v>4</v>
      </c>
      <c r="D1187" s="5"/>
      <c r="E1187" s="5" t="s">
        <v>3</v>
      </c>
      <c r="F1187" s="5"/>
      <c r="G1187" s="4"/>
    </row>
    <row r="1188" spans="1:7" ht="15.6" x14ac:dyDescent="0.3">
      <c r="A1188" s="3" t="s">
        <v>2</v>
      </c>
      <c r="B1188" s="2"/>
      <c r="C1188" s="2" t="s">
        <v>39</v>
      </c>
      <c r="D1188" s="2"/>
      <c r="E1188" s="2" t="s">
        <v>0</v>
      </c>
      <c r="F1188" s="2"/>
      <c r="G1188" s="1"/>
    </row>
    <row r="1192" spans="1:7" ht="30" x14ac:dyDescent="0.4">
      <c r="A1192" s="55"/>
      <c r="B1192" s="271" t="s">
        <v>38</v>
      </c>
      <c r="C1192" s="272"/>
      <c r="D1192" s="54"/>
      <c r="E1192" s="305" t="s">
        <v>37</v>
      </c>
      <c r="F1192" s="307"/>
    </row>
    <row r="1193" spans="1:7" ht="30" x14ac:dyDescent="0.4">
      <c r="A1193" s="53"/>
      <c r="B1193" s="273"/>
      <c r="C1193" s="274"/>
      <c r="D1193" s="52"/>
      <c r="E1193" s="51" t="s">
        <v>36</v>
      </c>
      <c r="F1193" s="50" t="s">
        <v>314</v>
      </c>
    </row>
    <row r="1194" spans="1:7" ht="30" x14ac:dyDescent="0.4">
      <c r="A1194" s="49"/>
      <c r="B1194" s="275"/>
      <c r="C1194" s="276"/>
      <c r="D1194" s="48"/>
      <c r="E1194" s="47" t="s">
        <v>34</v>
      </c>
      <c r="F1194" s="46" t="s">
        <v>326</v>
      </c>
    </row>
    <row r="1195" spans="1:7" ht="20.399999999999999" x14ac:dyDescent="0.35">
      <c r="A1195" s="39" t="s">
        <v>5</v>
      </c>
      <c r="B1195" s="43" t="s">
        <v>47</v>
      </c>
      <c r="C1195" s="42"/>
      <c r="D1195" s="42"/>
      <c r="E1195" s="98"/>
      <c r="F1195" s="97"/>
    </row>
    <row r="1196" spans="1:7" ht="20.399999999999999" x14ac:dyDescent="0.35">
      <c r="A1196" s="39" t="s">
        <v>30</v>
      </c>
      <c r="B1196" s="43" t="s">
        <v>323</v>
      </c>
      <c r="C1196" s="42"/>
      <c r="D1196" s="42"/>
      <c r="E1196" s="41"/>
      <c r="F1196" s="40"/>
    </row>
    <row r="1197" spans="1:7" ht="20.399999999999999" x14ac:dyDescent="0.35">
      <c r="A1197" s="39" t="s">
        <v>73</v>
      </c>
      <c r="B1197" s="38" t="s">
        <v>324</v>
      </c>
      <c r="C1197" s="37"/>
      <c r="D1197" s="37"/>
      <c r="E1197" s="41"/>
      <c r="F1197" s="40"/>
    </row>
    <row r="1198" spans="1:7" ht="20.399999999999999" x14ac:dyDescent="0.35">
      <c r="A1198" s="39" t="s">
        <v>28</v>
      </c>
      <c r="B1198" s="38" t="s">
        <v>174</v>
      </c>
      <c r="C1198" s="37"/>
      <c r="D1198" s="37"/>
      <c r="E1198" s="36"/>
      <c r="F1198" s="35"/>
    </row>
    <row r="1199" spans="1:7" ht="15" x14ac:dyDescent="0.3">
      <c r="A1199" s="34" t="s">
        <v>26</v>
      </c>
      <c r="B1199" s="34" t="s">
        <v>25</v>
      </c>
      <c r="C1199" s="34" t="s">
        <v>24</v>
      </c>
      <c r="D1199" s="34" t="s">
        <v>23</v>
      </c>
      <c r="E1199" s="34" t="s">
        <v>22</v>
      </c>
      <c r="F1199" s="34" t="s">
        <v>21</v>
      </c>
    </row>
    <row r="1200" spans="1:7" ht="15.6" x14ac:dyDescent="0.3">
      <c r="A1200" s="33">
        <v>12</v>
      </c>
      <c r="B1200" s="32" t="s">
        <v>10</v>
      </c>
      <c r="C1200" s="32" t="s">
        <v>325</v>
      </c>
      <c r="D1200" s="96">
        <v>237.7</v>
      </c>
      <c r="E1200" s="96">
        <f t="shared" ref="E1200:E1212" si="22">+A1200*D1200</f>
        <v>2852.3999999999996</v>
      </c>
      <c r="F1200" s="22"/>
    </row>
    <row r="1201" spans="1:6" ht="15.6" x14ac:dyDescent="0.3">
      <c r="A1201" s="29"/>
      <c r="B1201" s="25"/>
      <c r="C1201" s="95"/>
      <c r="D1201" s="73"/>
      <c r="E1201" s="93">
        <f t="shared" si="22"/>
        <v>0</v>
      </c>
      <c r="F1201" s="22"/>
    </row>
    <row r="1202" spans="1:6" ht="15.6" x14ac:dyDescent="0.3">
      <c r="A1202" s="29"/>
      <c r="B1202" s="25"/>
      <c r="C1202" s="25"/>
      <c r="D1202" s="73"/>
      <c r="E1202" s="93">
        <f t="shared" si="22"/>
        <v>0</v>
      </c>
      <c r="F1202" s="22"/>
    </row>
    <row r="1203" spans="1:6" ht="15.6" x14ac:dyDescent="0.3">
      <c r="A1203" s="29"/>
      <c r="B1203" s="27"/>
      <c r="C1203" s="27"/>
      <c r="D1203" s="73"/>
      <c r="E1203" s="93">
        <f t="shared" si="22"/>
        <v>0</v>
      </c>
      <c r="F1203" s="22"/>
    </row>
    <row r="1204" spans="1:6" ht="15.6" x14ac:dyDescent="0.3">
      <c r="A1204" s="29"/>
      <c r="B1204" s="27"/>
      <c r="C1204" s="28"/>
      <c r="D1204" s="73"/>
      <c r="E1204" s="93">
        <f t="shared" si="22"/>
        <v>0</v>
      </c>
      <c r="F1204" s="22"/>
    </row>
    <row r="1205" spans="1:6" ht="15.6" x14ac:dyDescent="0.3">
      <c r="A1205" s="29"/>
      <c r="B1205" s="27"/>
      <c r="C1205" s="28"/>
      <c r="D1205" s="73"/>
      <c r="E1205" s="93">
        <f t="shared" si="22"/>
        <v>0</v>
      </c>
      <c r="F1205" s="22"/>
    </row>
    <row r="1206" spans="1:6" ht="15.6" x14ac:dyDescent="0.3">
      <c r="A1206" s="29"/>
      <c r="B1206" s="27"/>
      <c r="C1206" s="28"/>
      <c r="D1206" s="94"/>
      <c r="E1206" s="93">
        <f t="shared" si="22"/>
        <v>0</v>
      </c>
      <c r="F1206" s="22"/>
    </row>
    <row r="1207" spans="1:6" ht="15.6" x14ac:dyDescent="0.3">
      <c r="A1207" s="26"/>
      <c r="B1207" s="27"/>
      <c r="C1207" s="27"/>
      <c r="D1207" s="73"/>
      <c r="E1207" s="93">
        <f t="shared" si="22"/>
        <v>0</v>
      </c>
      <c r="F1207" s="22"/>
    </row>
    <row r="1208" spans="1:6" ht="15.6" x14ac:dyDescent="0.3">
      <c r="A1208" s="26"/>
      <c r="B1208" s="27"/>
      <c r="C1208" s="27"/>
      <c r="D1208" s="73"/>
      <c r="E1208" s="93">
        <f t="shared" si="22"/>
        <v>0</v>
      </c>
      <c r="F1208" s="22"/>
    </row>
    <row r="1209" spans="1:6" ht="15.6" x14ac:dyDescent="0.3">
      <c r="A1209" s="26"/>
      <c r="B1209" s="25"/>
      <c r="C1209" s="25"/>
      <c r="D1209" s="73"/>
      <c r="E1209" s="93">
        <f t="shared" si="22"/>
        <v>0</v>
      </c>
      <c r="F1209" s="22"/>
    </row>
    <row r="1210" spans="1:6" ht="15.6" x14ac:dyDescent="0.3">
      <c r="A1210" s="26"/>
      <c r="B1210" s="25"/>
      <c r="C1210" s="25"/>
      <c r="D1210" s="73"/>
      <c r="E1210" s="93">
        <f t="shared" si="22"/>
        <v>0</v>
      </c>
      <c r="F1210" s="22"/>
    </row>
    <row r="1211" spans="1:6" ht="15.6" x14ac:dyDescent="0.3">
      <c r="A1211" s="26"/>
      <c r="B1211" s="25"/>
      <c r="C1211" s="25"/>
      <c r="D1211" s="73"/>
      <c r="E1211" s="93">
        <f t="shared" si="22"/>
        <v>0</v>
      </c>
      <c r="F1211" s="22"/>
    </row>
    <row r="1212" spans="1:6" ht="15.6" x14ac:dyDescent="0.3">
      <c r="A1212" s="26"/>
      <c r="B1212" s="25"/>
      <c r="C1212" s="25"/>
      <c r="D1212" s="73"/>
      <c r="E1212" s="93">
        <f t="shared" si="22"/>
        <v>0</v>
      </c>
      <c r="F1212" s="22"/>
    </row>
    <row r="1213" spans="1:6" ht="15.6" x14ac:dyDescent="0.3">
      <c r="A1213" s="26"/>
      <c r="B1213" s="25"/>
      <c r="C1213" s="25"/>
      <c r="D1213" s="73"/>
      <c r="E1213" s="93"/>
      <c r="F1213" s="22"/>
    </row>
    <row r="1214" spans="1:6" ht="15.6" x14ac:dyDescent="0.3">
      <c r="A1214" s="21"/>
      <c r="B1214" s="20"/>
      <c r="C1214" s="20"/>
      <c r="D1214" s="92"/>
      <c r="E1214" s="91"/>
      <c r="F1214" s="18"/>
    </row>
    <row r="1215" spans="1:6" ht="17.399999999999999" x14ac:dyDescent="0.3">
      <c r="A1215" s="17"/>
      <c r="B1215" s="16"/>
      <c r="C1215" s="294" t="s">
        <v>8</v>
      </c>
      <c r="D1215" s="294"/>
      <c r="E1215" s="15">
        <f>SUM(E1200:E1212)</f>
        <v>2852.3999999999996</v>
      </c>
      <c r="F1215" s="14"/>
    </row>
    <row r="1216" spans="1:6" ht="17.399999999999999" x14ac:dyDescent="0.3">
      <c r="A1216" s="11"/>
      <c r="B1216" s="10"/>
      <c r="C1216" s="294" t="s">
        <v>7</v>
      </c>
      <c r="D1216" s="294"/>
      <c r="E1216" s="13">
        <f>+E1215*0.16</f>
        <v>456.38399999999996</v>
      </c>
      <c r="F1216" s="12"/>
    </row>
    <row r="1217" spans="1:10" ht="17.399999999999999" x14ac:dyDescent="0.3">
      <c r="A1217" s="11"/>
      <c r="B1217" s="10"/>
      <c r="C1217" s="294" t="s">
        <v>6</v>
      </c>
      <c r="D1217" s="294"/>
      <c r="E1217" s="8">
        <f>+E1215+E1216</f>
        <v>3308.7839999999997</v>
      </c>
      <c r="F1217" s="7"/>
    </row>
    <row r="1218" spans="1:10" ht="15.6" x14ac:dyDescent="0.3">
      <c r="A1218" s="6" t="s">
        <v>5</v>
      </c>
      <c r="B1218" s="5"/>
      <c r="C1218" s="5" t="s">
        <v>4</v>
      </c>
      <c r="D1218" s="5"/>
      <c r="E1218" s="5"/>
      <c r="F1218" s="4" t="s">
        <v>3</v>
      </c>
    </row>
    <row r="1219" spans="1:10" ht="15.6" x14ac:dyDescent="0.3">
      <c r="A1219" s="3" t="s">
        <v>2</v>
      </c>
      <c r="B1219" s="2"/>
      <c r="C1219" s="2" t="s">
        <v>1</v>
      </c>
      <c r="D1219" s="2"/>
      <c r="E1219" s="2"/>
      <c r="F1219" s="1" t="s">
        <v>70</v>
      </c>
    </row>
    <row r="1222" spans="1:10" ht="24.6" x14ac:dyDescent="0.3">
      <c r="A1222" s="271" t="s">
        <v>38</v>
      </c>
      <c r="B1222" s="302"/>
      <c r="C1222" s="272"/>
      <c r="D1222" s="305" t="s">
        <v>37</v>
      </c>
      <c r="E1222" s="306"/>
      <c r="F1222" s="306"/>
      <c r="G1222" s="307"/>
    </row>
    <row r="1223" spans="1:10" ht="21" x14ac:dyDescent="0.4">
      <c r="A1223" s="273"/>
      <c r="B1223" s="303"/>
      <c r="C1223" s="274"/>
      <c r="D1223" s="51" t="s">
        <v>36</v>
      </c>
      <c r="E1223" s="308" t="s">
        <v>643</v>
      </c>
      <c r="F1223" s="282"/>
      <c r="G1223" s="50"/>
    </row>
    <row r="1224" spans="1:10" ht="21" x14ac:dyDescent="0.4">
      <c r="A1224" s="273"/>
      <c r="B1224" s="303"/>
      <c r="C1224" s="274"/>
      <c r="D1224" s="51" t="s">
        <v>51</v>
      </c>
      <c r="E1224" s="284">
        <v>19</v>
      </c>
      <c r="F1224" s="282"/>
      <c r="G1224" s="50"/>
    </row>
    <row r="1225" spans="1:10" ht="30" x14ac:dyDescent="0.3">
      <c r="A1225" s="275"/>
      <c r="B1225" s="304"/>
      <c r="C1225" s="276"/>
      <c r="D1225" s="47" t="s">
        <v>50</v>
      </c>
      <c r="E1225" s="287" t="s">
        <v>335</v>
      </c>
      <c r="F1225" s="287"/>
      <c r="G1225" s="87"/>
    </row>
    <row r="1226" spans="1:10" ht="20.399999999999999" x14ac:dyDescent="0.35">
      <c r="A1226" s="39" t="s">
        <v>48</v>
      </c>
      <c r="B1226" s="43" t="s">
        <v>0</v>
      </c>
      <c r="C1226" s="42"/>
      <c r="D1226" s="42"/>
      <c r="E1226" s="86"/>
      <c r="F1226" s="85"/>
      <c r="G1226" s="84"/>
    </row>
    <row r="1227" spans="1:10" ht="20.399999999999999" x14ac:dyDescent="0.35">
      <c r="A1227" s="39" t="s">
        <v>30</v>
      </c>
      <c r="B1227" s="38"/>
      <c r="C1227" s="37"/>
      <c r="D1227" s="37"/>
      <c r="E1227" s="83"/>
      <c r="F1227" s="82"/>
      <c r="G1227" s="81"/>
      <c r="J1227">
        <v>77</v>
      </c>
    </row>
    <row r="1228" spans="1:10" ht="20.399999999999999" x14ac:dyDescent="0.35">
      <c r="A1228" s="39" t="s">
        <v>46</v>
      </c>
      <c r="B1228" s="38" t="s">
        <v>78</v>
      </c>
      <c r="C1228" s="37"/>
      <c r="D1228" s="37"/>
      <c r="E1228" s="80"/>
      <c r="F1228" s="79"/>
      <c r="G1228" s="78"/>
      <c r="J1228">
        <v>78</v>
      </c>
    </row>
    <row r="1229" spans="1:10" ht="20.399999999999999" x14ac:dyDescent="0.35">
      <c r="A1229" s="39" t="s">
        <v>28</v>
      </c>
      <c r="B1229" s="38" t="s">
        <v>328</v>
      </c>
      <c r="C1229" s="37"/>
      <c r="D1229" s="37"/>
      <c r="E1229" s="37"/>
      <c r="F1229" s="37"/>
      <c r="G1229" s="77"/>
      <c r="J1229">
        <v>79</v>
      </c>
    </row>
    <row r="1230" spans="1:10" ht="15" x14ac:dyDescent="0.3">
      <c r="A1230" s="169" t="s">
        <v>26</v>
      </c>
      <c r="B1230" s="34" t="s">
        <v>25</v>
      </c>
      <c r="C1230" s="34" t="s">
        <v>24</v>
      </c>
      <c r="D1230" s="34" t="s">
        <v>43</v>
      </c>
      <c r="E1230" s="34" t="s">
        <v>42</v>
      </c>
      <c r="F1230" s="34" t="s">
        <v>22</v>
      </c>
      <c r="G1230" s="34" t="s">
        <v>21</v>
      </c>
      <c r="J1230">
        <v>81</v>
      </c>
    </row>
    <row r="1231" spans="1:10" ht="15.6" x14ac:dyDescent="0.3">
      <c r="A1231" s="33">
        <v>4</v>
      </c>
      <c r="B1231" s="32" t="s">
        <v>10</v>
      </c>
      <c r="C1231" s="32" t="s">
        <v>332</v>
      </c>
      <c r="D1231" s="76"/>
      <c r="E1231" s="75">
        <v>127.59</v>
      </c>
      <c r="F1231" s="75">
        <f>A1231*E1231</f>
        <v>510.36</v>
      </c>
      <c r="G1231" s="74"/>
      <c r="J1231">
        <v>82</v>
      </c>
    </row>
    <row r="1232" spans="1:10" ht="15.6" x14ac:dyDescent="0.3">
      <c r="A1232" s="29">
        <v>5</v>
      </c>
      <c r="B1232" s="25" t="s">
        <v>10</v>
      </c>
      <c r="C1232" s="25" t="s">
        <v>333</v>
      </c>
      <c r="D1232" s="73"/>
      <c r="E1232" s="71">
        <v>127.59</v>
      </c>
      <c r="F1232" s="71">
        <f t="shared" ref="F1232:F1245" si="23">A1232*E1232</f>
        <v>637.95000000000005</v>
      </c>
      <c r="G1232" s="74"/>
      <c r="J1232">
        <v>83</v>
      </c>
    </row>
    <row r="1233" spans="1:10" ht="15.6" x14ac:dyDescent="0.3">
      <c r="A1233" s="29">
        <v>1</v>
      </c>
      <c r="B1233" s="25" t="s">
        <v>10</v>
      </c>
      <c r="C1233" s="25" t="s">
        <v>330</v>
      </c>
      <c r="D1233" s="73"/>
      <c r="E1233" s="71">
        <v>127.59</v>
      </c>
      <c r="F1233" s="71">
        <f t="shared" si="23"/>
        <v>127.59</v>
      </c>
      <c r="G1233" s="74"/>
      <c r="J1233">
        <v>84</v>
      </c>
    </row>
    <row r="1234" spans="1:10" ht="15.6" x14ac:dyDescent="0.3">
      <c r="A1234" s="29">
        <v>1</v>
      </c>
      <c r="B1234" s="27" t="s">
        <v>10</v>
      </c>
      <c r="C1234" s="27" t="s">
        <v>329</v>
      </c>
      <c r="D1234" s="73"/>
      <c r="E1234" s="71">
        <v>127.59</v>
      </c>
      <c r="F1234" s="71">
        <f t="shared" si="23"/>
        <v>127.59</v>
      </c>
      <c r="G1234" s="70"/>
    </row>
    <row r="1235" spans="1:10" ht="15.6" x14ac:dyDescent="0.3">
      <c r="A1235" s="29">
        <v>1</v>
      </c>
      <c r="B1235" s="27" t="s">
        <v>10</v>
      </c>
      <c r="C1235" s="27" t="s">
        <v>331</v>
      </c>
      <c r="D1235" s="73"/>
      <c r="E1235" s="71">
        <v>127.59</v>
      </c>
      <c r="F1235" s="71">
        <f t="shared" si="23"/>
        <v>127.59</v>
      </c>
      <c r="G1235" s="70"/>
    </row>
    <row r="1236" spans="1:10" ht="15.6" x14ac:dyDescent="0.3">
      <c r="A1236" s="29">
        <v>1</v>
      </c>
      <c r="B1236" s="27" t="s">
        <v>10</v>
      </c>
      <c r="C1236" s="27" t="s">
        <v>334</v>
      </c>
      <c r="D1236" s="73"/>
      <c r="E1236" s="71">
        <v>127.59</v>
      </c>
      <c r="F1236" s="71">
        <f t="shared" si="23"/>
        <v>127.59</v>
      </c>
      <c r="G1236" s="70"/>
    </row>
    <row r="1237" spans="1:10" ht="15.6" x14ac:dyDescent="0.3">
      <c r="A1237" s="29">
        <v>1</v>
      </c>
      <c r="B1237" s="27" t="s">
        <v>10</v>
      </c>
      <c r="C1237" s="27" t="s">
        <v>642</v>
      </c>
      <c r="D1237" s="73"/>
      <c r="E1237" s="71">
        <v>127.59</v>
      </c>
      <c r="F1237" s="71">
        <f t="shared" si="23"/>
        <v>127.59</v>
      </c>
      <c r="G1237" s="70"/>
    </row>
    <row r="1238" spans="1:10" ht="15.6" x14ac:dyDescent="0.3">
      <c r="A1238" s="26"/>
      <c r="B1238" s="27"/>
      <c r="C1238" s="27"/>
      <c r="D1238" s="73"/>
      <c r="E1238" s="71"/>
      <c r="F1238" s="71">
        <f t="shared" si="23"/>
        <v>0</v>
      </c>
      <c r="G1238" s="70"/>
    </row>
    <row r="1239" spans="1:10" ht="15.6" x14ac:dyDescent="0.3">
      <c r="A1239" s="26"/>
      <c r="B1239" s="27"/>
      <c r="C1239" s="27"/>
      <c r="D1239" s="99"/>
      <c r="E1239" s="71"/>
      <c r="F1239" s="71">
        <f t="shared" si="23"/>
        <v>0</v>
      </c>
      <c r="G1239" s="70"/>
    </row>
    <row r="1240" spans="1:10" ht="15.6" x14ac:dyDescent="0.3">
      <c r="A1240" s="26"/>
      <c r="B1240" s="25"/>
      <c r="C1240" s="25"/>
      <c r="D1240" s="72"/>
      <c r="E1240" s="71"/>
      <c r="F1240" s="71">
        <f t="shared" si="23"/>
        <v>0</v>
      </c>
      <c r="G1240" s="70"/>
    </row>
    <row r="1241" spans="1:10" ht="15.6" x14ac:dyDescent="0.3">
      <c r="A1241" s="26"/>
      <c r="B1241" s="25"/>
      <c r="C1241" s="25"/>
      <c r="D1241" s="72"/>
      <c r="E1241" s="71"/>
      <c r="F1241" s="71">
        <f t="shared" si="23"/>
        <v>0</v>
      </c>
      <c r="G1241" s="70"/>
    </row>
    <row r="1242" spans="1:10" ht="15.6" x14ac:dyDescent="0.3">
      <c r="A1242" s="26"/>
      <c r="B1242" s="25"/>
      <c r="C1242" s="25"/>
      <c r="D1242" s="72"/>
      <c r="E1242" s="71"/>
      <c r="F1242" s="71">
        <f t="shared" si="23"/>
        <v>0</v>
      </c>
      <c r="G1242" s="70"/>
    </row>
    <row r="1243" spans="1:10" ht="15.6" x14ac:dyDescent="0.3">
      <c r="A1243" s="26"/>
      <c r="B1243" s="25"/>
      <c r="C1243" s="25"/>
      <c r="D1243" s="72"/>
      <c r="E1243" s="71"/>
      <c r="F1243" s="71">
        <f t="shared" si="23"/>
        <v>0</v>
      </c>
      <c r="G1243" s="70"/>
    </row>
    <row r="1244" spans="1:10" ht="15.6" x14ac:dyDescent="0.3">
      <c r="A1244" s="26"/>
      <c r="B1244" s="25"/>
      <c r="C1244" s="25"/>
      <c r="D1244" s="72"/>
      <c r="E1244" s="71"/>
      <c r="F1244" s="71">
        <f t="shared" si="23"/>
        <v>0</v>
      </c>
      <c r="G1244" s="70"/>
    </row>
    <row r="1245" spans="1:10" ht="15.6" x14ac:dyDescent="0.3">
      <c r="A1245" s="21"/>
      <c r="B1245" s="20"/>
      <c r="C1245" s="20"/>
      <c r="D1245" s="69"/>
      <c r="E1245" s="68"/>
      <c r="F1245" s="68">
        <f t="shared" si="23"/>
        <v>0</v>
      </c>
      <c r="G1245" s="67"/>
    </row>
    <row r="1246" spans="1:10" ht="17.399999999999999" x14ac:dyDescent="0.3">
      <c r="A1246" s="17"/>
      <c r="B1246" s="16"/>
      <c r="C1246" s="9" t="s">
        <v>8</v>
      </c>
      <c r="D1246" s="9"/>
      <c r="E1246" s="66"/>
      <c r="F1246" s="105">
        <f>SUM(F1231:F1244)</f>
        <v>1786.2599999999995</v>
      </c>
      <c r="G1246" s="64"/>
    </row>
    <row r="1247" spans="1:10" ht="17.399999999999999" x14ac:dyDescent="0.3">
      <c r="A1247" s="11"/>
      <c r="B1247" s="10"/>
      <c r="C1247" s="63" t="s">
        <v>7</v>
      </c>
      <c r="D1247" s="63"/>
      <c r="E1247" s="62"/>
      <c r="F1247" s="104">
        <f>F1246*0.16</f>
        <v>285.80159999999995</v>
      </c>
      <c r="G1247" s="60"/>
    </row>
    <row r="1248" spans="1:10" ht="17.399999999999999" x14ac:dyDescent="0.3">
      <c r="A1248" s="11"/>
      <c r="B1248" s="10"/>
      <c r="C1248" s="59" t="s">
        <v>6</v>
      </c>
      <c r="D1248" s="59"/>
      <c r="E1248" s="58"/>
      <c r="F1248" s="103">
        <f>F1246+F1247</f>
        <v>2072.0615999999995</v>
      </c>
      <c r="G1248" s="56"/>
    </row>
    <row r="1249" spans="1:7" ht="15.6" x14ac:dyDescent="0.3">
      <c r="A1249" s="6" t="s">
        <v>5</v>
      </c>
      <c r="B1249" s="5"/>
      <c r="C1249" s="5" t="s">
        <v>4</v>
      </c>
      <c r="D1249" s="5"/>
      <c r="E1249" s="5" t="s">
        <v>3</v>
      </c>
      <c r="F1249" s="5"/>
      <c r="G1249" s="4"/>
    </row>
    <row r="1250" spans="1:7" ht="15.6" x14ac:dyDescent="0.3">
      <c r="A1250" s="3" t="s">
        <v>2</v>
      </c>
      <c r="B1250" s="2"/>
      <c r="C1250" s="170" t="s">
        <v>39</v>
      </c>
      <c r="D1250" s="2"/>
      <c r="E1250" s="2" t="s">
        <v>70</v>
      </c>
      <c r="F1250" s="2"/>
      <c r="G1250" s="1"/>
    </row>
    <row r="1253" spans="1:7" ht="24.6" x14ac:dyDescent="0.3">
      <c r="A1253" s="271" t="s">
        <v>38</v>
      </c>
      <c r="B1253" s="302"/>
      <c r="C1253" s="272"/>
      <c r="D1253" s="305" t="s">
        <v>37</v>
      </c>
      <c r="E1253" s="306"/>
      <c r="F1253" s="306"/>
      <c r="G1253" s="307"/>
    </row>
    <row r="1254" spans="1:7" ht="21" x14ac:dyDescent="0.4">
      <c r="A1254" s="273"/>
      <c r="B1254" s="303"/>
      <c r="C1254" s="274"/>
      <c r="D1254" s="51" t="s">
        <v>36</v>
      </c>
      <c r="E1254" s="308" t="s">
        <v>327</v>
      </c>
      <c r="F1254" s="282"/>
      <c r="G1254" s="50"/>
    </row>
    <row r="1255" spans="1:7" ht="21" x14ac:dyDescent="0.4">
      <c r="A1255" s="273"/>
      <c r="B1255" s="303"/>
      <c r="C1255" s="274"/>
      <c r="D1255" s="51" t="s">
        <v>51</v>
      </c>
      <c r="E1255" s="284">
        <v>19</v>
      </c>
      <c r="F1255" s="282"/>
      <c r="G1255" s="50"/>
    </row>
    <row r="1256" spans="1:7" ht="30" x14ac:dyDescent="0.3">
      <c r="A1256" s="275"/>
      <c r="B1256" s="304"/>
      <c r="C1256" s="276"/>
      <c r="D1256" s="47" t="s">
        <v>50</v>
      </c>
      <c r="E1256" s="287" t="s">
        <v>339</v>
      </c>
      <c r="F1256" s="287"/>
      <c r="G1256" s="87"/>
    </row>
    <row r="1257" spans="1:7" ht="20.399999999999999" x14ac:dyDescent="0.35">
      <c r="A1257" s="39" t="s">
        <v>48</v>
      </c>
      <c r="B1257" s="43" t="s">
        <v>0</v>
      </c>
      <c r="C1257" s="42"/>
      <c r="D1257" s="42"/>
      <c r="E1257" s="86"/>
      <c r="F1257" s="85"/>
      <c r="G1257" s="84"/>
    </row>
    <row r="1258" spans="1:7" ht="20.399999999999999" x14ac:dyDescent="0.35">
      <c r="A1258" s="39" t="s">
        <v>30</v>
      </c>
      <c r="B1258" s="38"/>
      <c r="C1258" s="37"/>
      <c r="D1258" s="37"/>
      <c r="E1258" s="83"/>
      <c r="F1258" s="82"/>
      <c r="G1258" s="81"/>
    </row>
    <row r="1259" spans="1:7" ht="20.399999999999999" x14ac:dyDescent="0.35">
      <c r="A1259" s="39" t="s">
        <v>46</v>
      </c>
      <c r="B1259" s="38" t="s">
        <v>78</v>
      </c>
      <c r="C1259" s="37"/>
      <c r="D1259" s="37"/>
      <c r="E1259" s="80"/>
      <c r="F1259" s="79"/>
      <c r="G1259" s="78"/>
    </row>
    <row r="1260" spans="1:7" ht="20.399999999999999" x14ac:dyDescent="0.35">
      <c r="A1260" s="39" t="s">
        <v>28</v>
      </c>
      <c r="B1260" s="38" t="s">
        <v>336</v>
      </c>
      <c r="C1260" s="37"/>
      <c r="D1260" s="37"/>
      <c r="E1260" s="37"/>
      <c r="F1260" s="37"/>
      <c r="G1260" s="77"/>
    </row>
    <row r="1261" spans="1:7" ht="15" x14ac:dyDescent="0.3">
      <c r="A1261" s="169" t="s">
        <v>26</v>
      </c>
      <c r="B1261" s="34" t="s">
        <v>25</v>
      </c>
      <c r="C1261" s="34" t="s">
        <v>24</v>
      </c>
      <c r="D1261" s="34" t="s">
        <v>43</v>
      </c>
      <c r="E1261" s="34" t="s">
        <v>42</v>
      </c>
      <c r="F1261" s="34" t="s">
        <v>22</v>
      </c>
      <c r="G1261" s="34" t="s">
        <v>21</v>
      </c>
    </row>
    <row r="1262" spans="1:7" ht="31.2" x14ac:dyDescent="0.3">
      <c r="A1262" s="33">
        <v>2000</v>
      </c>
      <c r="B1262" s="32" t="s">
        <v>10</v>
      </c>
      <c r="C1262" s="32" t="s">
        <v>337</v>
      </c>
      <c r="D1262" s="76"/>
      <c r="E1262" s="75">
        <v>0.85</v>
      </c>
      <c r="F1262" s="75">
        <f>A1262*E1262</f>
        <v>1700</v>
      </c>
      <c r="G1262" s="74"/>
    </row>
    <row r="1263" spans="1:7" ht="31.2" x14ac:dyDescent="0.3">
      <c r="A1263" s="29">
        <v>800</v>
      </c>
      <c r="B1263" s="25" t="s">
        <v>10</v>
      </c>
      <c r="C1263" s="25" t="s">
        <v>338</v>
      </c>
      <c r="D1263" s="73"/>
      <c r="E1263" s="71">
        <v>1.98</v>
      </c>
      <c r="F1263" s="71">
        <f t="shared" ref="F1263:F1276" si="24">A1263*E1263</f>
        <v>1584</v>
      </c>
      <c r="G1263" s="74"/>
    </row>
    <row r="1264" spans="1:7" ht="15.6" x14ac:dyDescent="0.3">
      <c r="A1264" s="29"/>
      <c r="B1264" s="25"/>
      <c r="C1264" s="25"/>
      <c r="D1264" s="73"/>
      <c r="E1264" s="71"/>
      <c r="F1264" s="71">
        <f t="shared" si="24"/>
        <v>0</v>
      </c>
      <c r="G1264" s="74"/>
    </row>
    <row r="1265" spans="1:7" ht="15.6" x14ac:dyDescent="0.3">
      <c r="A1265" s="29"/>
      <c r="B1265" s="27"/>
      <c r="C1265" s="27"/>
      <c r="D1265" s="73"/>
      <c r="E1265" s="71"/>
      <c r="F1265" s="71">
        <f t="shared" si="24"/>
        <v>0</v>
      </c>
      <c r="G1265" s="70"/>
    </row>
    <row r="1266" spans="1:7" ht="15.6" x14ac:dyDescent="0.3">
      <c r="A1266" s="29"/>
      <c r="B1266" s="27"/>
      <c r="C1266" s="27"/>
      <c r="D1266" s="73"/>
      <c r="E1266" s="71"/>
      <c r="F1266" s="71">
        <f t="shared" si="24"/>
        <v>0</v>
      </c>
      <c r="G1266" s="70"/>
    </row>
    <row r="1267" spans="1:7" ht="15.6" x14ac:dyDescent="0.3">
      <c r="A1267" s="29"/>
      <c r="B1267" s="27"/>
      <c r="C1267" s="27"/>
      <c r="D1267" s="73"/>
      <c r="E1267" s="71"/>
      <c r="F1267" s="71">
        <f t="shared" si="24"/>
        <v>0</v>
      </c>
      <c r="G1267" s="70"/>
    </row>
    <row r="1268" spans="1:7" ht="15.6" x14ac:dyDescent="0.3">
      <c r="A1268" s="29"/>
      <c r="B1268" s="27"/>
      <c r="C1268" s="27"/>
      <c r="D1268" s="73"/>
      <c r="E1268" s="71"/>
      <c r="F1268" s="71">
        <f t="shared" si="24"/>
        <v>0</v>
      </c>
      <c r="G1268" s="70"/>
    </row>
    <row r="1269" spans="1:7" ht="15.6" x14ac:dyDescent="0.3">
      <c r="A1269" s="26"/>
      <c r="B1269" s="27"/>
      <c r="C1269" s="27"/>
      <c r="D1269" s="73"/>
      <c r="E1269" s="71"/>
      <c r="F1269" s="71">
        <f t="shared" si="24"/>
        <v>0</v>
      </c>
      <c r="G1269" s="70"/>
    </row>
    <row r="1270" spans="1:7" ht="15.6" x14ac:dyDescent="0.3">
      <c r="A1270" s="26"/>
      <c r="B1270" s="27"/>
      <c r="C1270" s="27"/>
      <c r="D1270" s="99"/>
      <c r="E1270" s="71"/>
      <c r="F1270" s="71">
        <f t="shared" si="24"/>
        <v>0</v>
      </c>
      <c r="G1270" s="70"/>
    </row>
    <row r="1271" spans="1:7" ht="15.6" x14ac:dyDescent="0.3">
      <c r="A1271" s="26"/>
      <c r="B1271" s="25"/>
      <c r="C1271" s="25"/>
      <c r="D1271" s="72"/>
      <c r="E1271" s="71"/>
      <c r="F1271" s="71">
        <f t="shared" si="24"/>
        <v>0</v>
      </c>
      <c r="G1271" s="70"/>
    </row>
    <row r="1272" spans="1:7" ht="15.6" x14ac:dyDescent="0.3">
      <c r="A1272" s="26"/>
      <c r="B1272" s="25"/>
      <c r="C1272" s="25"/>
      <c r="D1272" s="72"/>
      <c r="E1272" s="71"/>
      <c r="F1272" s="71">
        <f t="shared" si="24"/>
        <v>0</v>
      </c>
      <c r="G1272" s="70"/>
    </row>
    <row r="1273" spans="1:7" ht="15.6" x14ac:dyDescent="0.3">
      <c r="A1273" s="26"/>
      <c r="B1273" s="25"/>
      <c r="C1273" s="25"/>
      <c r="D1273" s="72"/>
      <c r="E1273" s="71"/>
      <c r="F1273" s="71">
        <f t="shared" si="24"/>
        <v>0</v>
      </c>
      <c r="G1273" s="70"/>
    </row>
    <row r="1274" spans="1:7" ht="15.6" x14ac:dyDescent="0.3">
      <c r="A1274" s="26"/>
      <c r="B1274" s="25"/>
      <c r="C1274" s="25"/>
      <c r="D1274" s="72"/>
      <c r="E1274" s="71"/>
      <c r="F1274" s="71">
        <f t="shared" si="24"/>
        <v>0</v>
      </c>
      <c r="G1274" s="70"/>
    </row>
    <row r="1275" spans="1:7" ht="15.6" x14ac:dyDescent="0.3">
      <c r="A1275" s="26"/>
      <c r="B1275" s="25"/>
      <c r="C1275" s="25"/>
      <c r="D1275" s="72"/>
      <c r="E1275" s="71"/>
      <c r="F1275" s="71">
        <f t="shared" si="24"/>
        <v>0</v>
      </c>
      <c r="G1275" s="70"/>
    </row>
    <row r="1276" spans="1:7" ht="15.6" x14ac:dyDescent="0.3">
      <c r="A1276" s="21"/>
      <c r="B1276" s="20"/>
      <c r="C1276" s="20"/>
      <c r="D1276" s="69"/>
      <c r="E1276" s="68"/>
      <c r="F1276" s="68">
        <f t="shared" si="24"/>
        <v>0</v>
      </c>
      <c r="G1276" s="67"/>
    </row>
    <row r="1277" spans="1:7" ht="17.399999999999999" x14ac:dyDescent="0.3">
      <c r="A1277" s="17"/>
      <c r="B1277" s="16"/>
      <c r="C1277" s="9" t="s">
        <v>8</v>
      </c>
      <c r="D1277" s="9"/>
      <c r="E1277" s="66"/>
      <c r="F1277" s="105">
        <f>SUM(F1262:F1275)</f>
        <v>3284</v>
      </c>
      <c r="G1277" s="64"/>
    </row>
    <row r="1278" spans="1:7" ht="17.399999999999999" x14ac:dyDescent="0.3">
      <c r="A1278" s="11"/>
      <c r="B1278" s="10"/>
      <c r="C1278" s="63" t="s">
        <v>7</v>
      </c>
      <c r="D1278" s="63"/>
      <c r="E1278" s="62"/>
      <c r="F1278" s="104">
        <f>F1277*0.16</f>
        <v>525.44000000000005</v>
      </c>
      <c r="G1278" s="60"/>
    </row>
    <row r="1279" spans="1:7" ht="17.399999999999999" x14ac:dyDescent="0.3">
      <c r="A1279" s="11"/>
      <c r="B1279" s="10"/>
      <c r="C1279" s="59" t="s">
        <v>6</v>
      </c>
      <c r="D1279" s="59"/>
      <c r="E1279" s="58"/>
      <c r="F1279" s="103">
        <f>F1277+F1278</f>
        <v>3809.44</v>
      </c>
      <c r="G1279" s="56"/>
    </row>
    <row r="1280" spans="1:7" ht="15.6" x14ac:dyDescent="0.3">
      <c r="A1280" s="6" t="s">
        <v>5</v>
      </c>
      <c r="B1280" s="5"/>
      <c r="C1280" s="5" t="s">
        <v>4</v>
      </c>
      <c r="D1280" s="5"/>
      <c r="E1280" s="5" t="s">
        <v>3</v>
      </c>
      <c r="F1280" s="5"/>
      <c r="G1280" s="4"/>
    </row>
    <row r="1281" spans="1:7" ht="15.6" x14ac:dyDescent="0.3">
      <c r="A1281" s="3" t="s">
        <v>2</v>
      </c>
      <c r="B1281" s="2"/>
      <c r="C1281" s="170" t="s">
        <v>39</v>
      </c>
      <c r="D1281" s="2"/>
      <c r="E1281" s="2" t="s">
        <v>70</v>
      </c>
      <c r="F1281" s="2"/>
      <c r="G1281" s="1"/>
    </row>
    <row r="1284" spans="1:7" ht="30" x14ac:dyDescent="0.4">
      <c r="A1284" s="55"/>
      <c r="B1284" s="271" t="s">
        <v>38</v>
      </c>
      <c r="C1284" s="272"/>
      <c r="D1284" s="54"/>
      <c r="E1284" s="305" t="s">
        <v>37</v>
      </c>
      <c r="F1284" s="307"/>
    </row>
    <row r="1285" spans="1:7" ht="30" x14ac:dyDescent="0.4">
      <c r="A1285" s="53"/>
      <c r="B1285" s="273"/>
      <c r="C1285" s="274"/>
      <c r="D1285" s="52"/>
      <c r="E1285" s="51" t="s">
        <v>36</v>
      </c>
      <c r="F1285" s="50" t="s">
        <v>327</v>
      </c>
    </row>
    <row r="1286" spans="1:7" ht="30" x14ac:dyDescent="0.4">
      <c r="A1286" s="49"/>
      <c r="B1286" s="275"/>
      <c r="C1286" s="276"/>
      <c r="D1286" s="48"/>
      <c r="E1286" s="47" t="s">
        <v>34</v>
      </c>
      <c r="F1286" s="46" t="s">
        <v>344</v>
      </c>
    </row>
    <row r="1287" spans="1:7" ht="20.399999999999999" x14ac:dyDescent="0.35">
      <c r="A1287" s="39" t="s">
        <v>5</v>
      </c>
      <c r="B1287" s="43" t="s">
        <v>47</v>
      </c>
      <c r="C1287" s="42"/>
      <c r="D1287" s="42"/>
      <c r="E1287" s="342" t="s">
        <v>247</v>
      </c>
      <c r="F1287" s="343"/>
    </row>
    <row r="1288" spans="1:7" ht="20.399999999999999" x14ac:dyDescent="0.35">
      <c r="A1288" s="39" t="s">
        <v>30</v>
      </c>
      <c r="B1288" s="43"/>
      <c r="C1288" s="42"/>
      <c r="D1288" s="42"/>
      <c r="E1288" s="344"/>
      <c r="F1288" s="345"/>
    </row>
    <row r="1289" spans="1:7" ht="20.399999999999999" x14ac:dyDescent="0.35">
      <c r="A1289" s="39" t="s">
        <v>73</v>
      </c>
      <c r="B1289" s="38"/>
      <c r="C1289" s="37"/>
      <c r="D1289" s="37"/>
      <c r="E1289" s="344"/>
      <c r="F1289" s="345"/>
    </row>
    <row r="1290" spans="1:7" ht="20.399999999999999" x14ac:dyDescent="0.35">
      <c r="A1290" s="39" t="s">
        <v>28</v>
      </c>
      <c r="B1290" s="38" t="s">
        <v>55</v>
      </c>
      <c r="C1290" s="37"/>
      <c r="D1290" s="37"/>
      <c r="E1290" s="36"/>
      <c r="F1290" s="35"/>
    </row>
    <row r="1291" spans="1:7" ht="15" x14ac:dyDescent="0.3">
      <c r="A1291" s="34" t="s">
        <v>26</v>
      </c>
      <c r="B1291" s="34" t="s">
        <v>25</v>
      </c>
      <c r="C1291" s="34" t="s">
        <v>24</v>
      </c>
      <c r="D1291" s="34" t="s">
        <v>23</v>
      </c>
      <c r="E1291" s="34" t="s">
        <v>22</v>
      </c>
      <c r="F1291" s="34" t="s">
        <v>21</v>
      </c>
    </row>
    <row r="1292" spans="1:7" ht="15.6" x14ac:dyDescent="0.3">
      <c r="A1292" s="33">
        <v>80</v>
      </c>
      <c r="B1292" s="32" t="s">
        <v>83</v>
      </c>
      <c r="C1292" s="32" t="s">
        <v>227</v>
      </c>
      <c r="D1292" s="96">
        <v>105</v>
      </c>
      <c r="E1292" s="96">
        <f t="shared" ref="E1292:E1305" si="25">+A1292*D1292</f>
        <v>8400</v>
      </c>
      <c r="F1292" s="22"/>
    </row>
    <row r="1293" spans="1:7" ht="15.6" x14ac:dyDescent="0.3">
      <c r="A1293" s="29">
        <v>80</v>
      </c>
      <c r="B1293" s="25" t="s">
        <v>83</v>
      </c>
      <c r="C1293" s="25" t="s">
        <v>340</v>
      </c>
      <c r="D1293" s="101">
        <v>80</v>
      </c>
      <c r="E1293" s="93">
        <f t="shared" si="25"/>
        <v>6400</v>
      </c>
      <c r="F1293" s="22"/>
    </row>
    <row r="1294" spans="1:7" ht="15.6" x14ac:dyDescent="0.3">
      <c r="A1294" s="29">
        <v>75</v>
      </c>
      <c r="B1294" s="25" t="s">
        <v>83</v>
      </c>
      <c r="C1294" s="25" t="s">
        <v>341</v>
      </c>
      <c r="D1294" s="100">
        <v>105</v>
      </c>
      <c r="E1294" s="93">
        <f t="shared" si="25"/>
        <v>7875</v>
      </c>
      <c r="F1294" s="22"/>
    </row>
    <row r="1295" spans="1:7" ht="31.2" x14ac:dyDescent="0.3">
      <c r="A1295" s="29">
        <v>3</v>
      </c>
      <c r="B1295" s="27" t="s">
        <v>135</v>
      </c>
      <c r="C1295" s="27" t="s">
        <v>343</v>
      </c>
      <c r="D1295" s="100">
        <v>601.94000000000005</v>
      </c>
      <c r="E1295" s="93">
        <f t="shared" si="25"/>
        <v>1805.8200000000002</v>
      </c>
      <c r="F1295" s="22"/>
    </row>
    <row r="1296" spans="1:7" ht="15.6" x14ac:dyDescent="0.3">
      <c r="A1296" s="29"/>
      <c r="B1296" s="27"/>
      <c r="C1296" s="28"/>
      <c r="D1296" s="100"/>
      <c r="E1296" s="93">
        <f t="shared" si="25"/>
        <v>0</v>
      </c>
      <c r="F1296" s="22"/>
    </row>
    <row r="1297" spans="1:6" ht="15.6" x14ac:dyDescent="0.3">
      <c r="A1297" s="29"/>
      <c r="B1297" s="27"/>
      <c r="C1297" s="28"/>
      <c r="D1297" s="100"/>
      <c r="E1297" s="93">
        <f t="shared" si="25"/>
        <v>0</v>
      </c>
      <c r="F1297" s="22"/>
    </row>
    <row r="1298" spans="1:6" ht="15.6" x14ac:dyDescent="0.3">
      <c r="A1298" s="29"/>
      <c r="B1298" s="27"/>
      <c r="C1298" s="28"/>
      <c r="D1298" s="100"/>
      <c r="E1298" s="93">
        <f t="shared" si="25"/>
        <v>0</v>
      </c>
      <c r="F1298" s="22"/>
    </row>
    <row r="1299" spans="1:6" ht="15.6" x14ac:dyDescent="0.3">
      <c r="A1299" s="26"/>
      <c r="B1299" s="27"/>
      <c r="C1299" s="27"/>
      <c r="D1299" s="100"/>
      <c r="E1299" s="93">
        <f t="shared" si="25"/>
        <v>0</v>
      </c>
      <c r="F1299" s="22"/>
    </row>
    <row r="1300" spans="1:6" ht="15.6" x14ac:dyDescent="0.3">
      <c r="A1300" s="26"/>
      <c r="B1300" s="27"/>
      <c r="C1300" s="27"/>
      <c r="D1300" s="100"/>
      <c r="E1300" s="93">
        <f t="shared" si="25"/>
        <v>0</v>
      </c>
      <c r="F1300" s="22"/>
    </row>
    <row r="1301" spans="1:6" ht="15.6" x14ac:dyDescent="0.3">
      <c r="A1301" s="26"/>
      <c r="B1301" s="25"/>
      <c r="C1301" s="25"/>
      <c r="D1301" s="72"/>
      <c r="E1301" s="93">
        <f t="shared" si="25"/>
        <v>0</v>
      </c>
      <c r="F1301" s="22"/>
    </row>
    <row r="1302" spans="1:6" ht="15.6" x14ac:dyDescent="0.3">
      <c r="A1302" s="26"/>
      <c r="B1302" s="25"/>
      <c r="C1302" s="25"/>
      <c r="D1302" s="72"/>
      <c r="E1302" s="93">
        <f t="shared" si="25"/>
        <v>0</v>
      </c>
      <c r="F1302" s="22"/>
    </row>
    <row r="1303" spans="1:6" ht="15.6" x14ac:dyDescent="0.3">
      <c r="A1303" s="26"/>
      <c r="B1303" s="25"/>
      <c r="C1303" s="25"/>
      <c r="D1303" s="72"/>
      <c r="E1303" s="93">
        <f t="shared" si="25"/>
        <v>0</v>
      </c>
      <c r="F1303" s="22"/>
    </row>
    <row r="1304" spans="1:6" ht="15.6" x14ac:dyDescent="0.3">
      <c r="A1304" s="26"/>
      <c r="B1304" s="25"/>
      <c r="C1304" s="25"/>
      <c r="D1304" s="72"/>
      <c r="E1304" s="93">
        <f t="shared" si="25"/>
        <v>0</v>
      </c>
      <c r="F1304" s="22"/>
    </row>
    <row r="1305" spans="1:6" ht="15.6" x14ac:dyDescent="0.3">
      <c r="A1305" s="26"/>
      <c r="B1305" s="25"/>
      <c r="C1305" s="25"/>
      <c r="D1305" s="72"/>
      <c r="E1305" s="93">
        <f t="shared" si="25"/>
        <v>0</v>
      </c>
      <c r="F1305" s="22"/>
    </row>
    <row r="1306" spans="1:6" ht="15.6" x14ac:dyDescent="0.3">
      <c r="A1306" s="21"/>
      <c r="B1306" s="20"/>
      <c r="C1306" s="20"/>
      <c r="D1306" s="69"/>
      <c r="E1306" s="91"/>
      <c r="F1306" s="18"/>
    </row>
    <row r="1307" spans="1:6" ht="17.399999999999999" x14ac:dyDescent="0.3">
      <c r="A1307" s="17"/>
      <c r="B1307" s="16"/>
      <c r="C1307" s="294" t="s">
        <v>8</v>
      </c>
      <c r="D1307" s="294"/>
      <c r="E1307" s="15">
        <f>SUM(E1292:E1304)</f>
        <v>24480.82</v>
      </c>
      <c r="F1307" s="14"/>
    </row>
    <row r="1308" spans="1:6" ht="17.399999999999999" x14ac:dyDescent="0.3">
      <c r="A1308" s="11"/>
      <c r="B1308" s="10"/>
      <c r="C1308" s="294" t="s">
        <v>7</v>
      </c>
      <c r="D1308" s="294"/>
      <c r="E1308" s="13">
        <f>+E1307*0.16</f>
        <v>3916.9312</v>
      </c>
      <c r="F1308" s="12"/>
    </row>
    <row r="1309" spans="1:6" ht="17.399999999999999" x14ac:dyDescent="0.3">
      <c r="A1309" s="11"/>
      <c r="B1309" s="10"/>
      <c r="C1309" s="294" t="s">
        <v>6</v>
      </c>
      <c r="D1309" s="294"/>
      <c r="E1309" s="8">
        <f>+E1307+E1308</f>
        <v>28397.751199999999</v>
      </c>
      <c r="F1309" s="7"/>
    </row>
    <row r="1310" spans="1:6" ht="15.6" x14ac:dyDescent="0.3">
      <c r="A1310" s="6" t="s">
        <v>5</v>
      </c>
      <c r="B1310" s="5"/>
      <c r="C1310" s="5" t="s">
        <v>4</v>
      </c>
      <c r="D1310" s="5"/>
      <c r="E1310" s="5"/>
      <c r="F1310" s="4" t="s">
        <v>3</v>
      </c>
    </row>
    <row r="1311" spans="1:6" ht="15.6" x14ac:dyDescent="0.3">
      <c r="A1311" s="3" t="s">
        <v>2</v>
      </c>
      <c r="B1311" s="2"/>
      <c r="C1311" s="2" t="s">
        <v>1</v>
      </c>
      <c r="D1311" s="2"/>
      <c r="E1311" s="2"/>
      <c r="F1311" s="1" t="s">
        <v>70</v>
      </c>
    </row>
    <row r="1315" spans="1:6" ht="30" x14ac:dyDescent="0.4">
      <c r="A1315" s="55"/>
      <c r="B1315" s="271" t="s">
        <v>38</v>
      </c>
      <c r="C1315" s="272"/>
      <c r="D1315" s="54"/>
      <c r="E1315" s="305" t="s">
        <v>37</v>
      </c>
      <c r="F1315" s="307"/>
    </row>
    <row r="1316" spans="1:6" ht="30" x14ac:dyDescent="0.4">
      <c r="A1316" s="53"/>
      <c r="B1316" s="273"/>
      <c r="C1316" s="274"/>
      <c r="D1316" s="52"/>
      <c r="E1316" s="51" t="s">
        <v>36</v>
      </c>
      <c r="F1316" s="50" t="s">
        <v>327</v>
      </c>
    </row>
    <row r="1317" spans="1:6" ht="30" x14ac:dyDescent="0.4">
      <c r="A1317" s="49"/>
      <c r="B1317" s="275"/>
      <c r="C1317" s="276"/>
      <c r="D1317" s="48"/>
      <c r="E1317" s="47" t="s">
        <v>34</v>
      </c>
      <c r="F1317" s="46" t="s">
        <v>350</v>
      </c>
    </row>
    <row r="1318" spans="1:6" ht="20.399999999999999" x14ac:dyDescent="0.35">
      <c r="A1318" s="39" t="s">
        <v>5</v>
      </c>
      <c r="B1318" s="43" t="s">
        <v>47</v>
      </c>
      <c r="C1318" s="42"/>
      <c r="D1318" s="42"/>
      <c r="E1318" s="98"/>
      <c r="F1318" s="97"/>
    </row>
    <row r="1319" spans="1:6" ht="20.399999999999999" x14ac:dyDescent="0.35">
      <c r="A1319" s="39" t="s">
        <v>30</v>
      </c>
      <c r="B1319" s="43"/>
      <c r="C1319" s="42"/>
      <c r="D1319" s="42"/>
      <c r="E1319" s="41"/>
      <c r="F1319" s="40"/>
    </row>
    <row r="1320" spans="1:6" ht="20.399999999999999" x14ac:dyDescent="0.35">
      <c r="A1320" s="39" t="s">
        <v>73</v>
      </c>
      <c r="B1320" s="38" t="s">
        <v>362</v>
      </c>
      <c r="C1320" s="37"/>
      <c r="D1320" s="37"/>
      <c r="E1320" s="41"/>
      <c r="F1320" s="40"/>
    </row>
    <row r="1321" spans="1:6" ht="20.399999999999999" x14ac:dyDescent="0.35">
      <c r="A1321" s="39" t="s">
        <v>28</v>
      </c>
      <c r="B1321" s="38" t="s">
        <v>55</v>
      </c>
      <c r="C1321" s="37"/>
      <c r="D1321" s="37"/>
      <c r="E1321" s="36"/>
      <c r="F1321" s="35"/>
    </row>
    <row r="1322" spans="1:6" ht="15" x14ac:dyDescent="0.3">
      <c r="A1322" s="34" t="s">
        <v>26</v>
      </c>
      <c r="B1322" s="34" t="s">
        <v>25</v>
      </c>
      <c r="C1322" s="34" t="s">
        <v>24</v>
      </c>
      <c r="D1322" s="34" t="s">
        <v>23</v>
      </c>
      <c r="E1322" s="34" t="s">
        <v>22</v>
      </c>
      <c r="F1322" s="34" t="s">
        <v>21</v>
      </c>
    </row>
    <row r="1323" spans="1:6" ht="31.2" x14ac:dyDescent="0.3">
      <c r="A1323" s="33">
        <v>4</v>
      </c>
      <c r="B1323" s="32" t="s">
        <v>342</v>
      </c>
      <c r="C1323" s="32" t="s">
        <v>361</v>
      </c>
      <c r="D1323" s="96">
        <v>96.43</v>
      </c>
      <c r="E1323" s="93">
        <f t="shared" ref="E1323:E1336" si="26">+A1323*D1323</f>
        <v>385.72</v>
      </c>
      <c r="F1323" s="22"/>
    </row>
    <row r="1324" spans="1:6" ht="31.2" x14ac:dyDescent="0.3">
      <c r="A1324" s="29">
        <v>4</v>
      </c>
      <c r="B1324" s="25" t="s">
        <v>10</v>
      </c>
      <c r="C1324" s="25" t="s">
        <v>359</v>
      </c>
      <c r="D1324" s="73">
        <v>53.79</v>
      </c>
      <c r="E1324" s="93">
        <f t="shared" si="26"/>
        <v>215.16</v>
      </c>
      <c r="F1324" s="22"/>
    </row>
    <row r="1325" spans="1:6" ht="31.2" x14ac:dyDescent="0.3">
      <c r="A1325" s="29">
        <v>15</v>
      </c>
      <c r="B1325" s="25" t="s">
        <v>10</v>
      </c>
      <c r="C1325" s="25" t="s">
        <v>360</v>
      </c>
      <c r="D1325" s="73">
        <v>53.11</v>
      </c>
      <c r="E1325" s="93">
        <f t="shared" si="26"/>
        <v>796.65</v>
      </c>
      <c r="F1325" s="22"/>
    </row>
    <row r="1326" spans="1:6" ht="15.6" x14ac:dyDescent="0.3">
      <c r="A1326" s="29"/>
      <c r="B1326" s="27"/>
      <c r="C1326" s="27"/>
      <c r="D1326" s="73"/>
      <c r="E1326" s="93">
        <f t="shared" si="26"/>
        <v>0</v>
      </c>
      <c r="F1326" s="22"/>
    </row>
    <row r="1327" spans="1:6" ht="15.6" x14ac:dyDescent="0.3">
      <c r="A1327" s="29"/>
      <c r="B1327" s="27"/>
      <c r="C1327" s="28"/>
      <c r="D1327" s="99"/>
      <c r="E1327" s="93">
        <f t="shared" si="26"/>
        <v>0</v>
      </c>
      <c r="F1327" s="22"/>
    </row>
    <row r="1328" spans="1:6" ht="15.6" x14ac:dyDescent="0.3">
      <c r="A1328" s="29"/>
      <c r="B1328" s="27"/>
      <c r="C1328" s="28"/>
      <c r="D1328" s="73"/>
      <c r="E1328" s="93">
        <f t="shared" si="26"/>
        <v>0</v>
      </c>
      <c r="F1328" s="22"/>
    </row>
    <row r="1329" spans="1:6" ht="15.6" x14ac:dyDescent="0.3">
      <c r="A1329" s="29"/>
      <c r="B1329" s="27"/>
      <c r="C1329" s="28"/>
      <c r="D1329" s="27"/>
      <c r="E1329" s="93">
        <f t="shared" si="26"/>
        <v>0</v>
      </c>
      <c r="F1329" s="22"/>
    </row>
    <row r="1330" spans="1:6" ht="15.6" x14ac:dyDescent="0.3">
      <c r="A1330" s="26"/>
      <c r="B1330" s="27"/>
      <c r="C1330" s="27"/>
      <c r="D1330" s="99"/>
      <c r="E1330" s="93">
        <f t="shared" si="26"/>
        <v>0</v>
      </c>
      <c r="F1330" s="22"/>
    </row>
    <row r="1331" spans="1:6" ht="15.6" x14ac:dyDescent="0.3">
      <c r="A1331" s="26"/>
      <c r="B1331" s="27"/>
      <c r="C1331" s="27"/>
      <c r="D1331" s="99"/>
      <c r="E1331" s="93">
        <f t="shared" si="26"/>
        <v>0</v>
      </c>
      <c r="F1331" s="22"/>
    </row>
    <row r="1332" spans="1:6" ht="15.6" x14ac:dyDescent="0.3">
      <c r="A1332" s="26"/>
      <c r="B1332" s="25"/>
      <c r="C1332" s="25"/>
      <c r="D1332" s="72"/>
      <c r="E1332" s="93">
        <f t="shared" si="26"/>
        <v>0</v>
      </c>
      <c r="F1332" s="22"/>
    </row>
    <row r="1333" spans="1:6" ht="15.6" x14ac:dyDescent="0.3">
      <c r="A1333" s="26"/>
      <c r="B1333" s="25"/>
      <c r="C1333" s="25"/>
      <c r="D1333" s="72"/>
      <c r="E1333" s="93">
        <f t="shared" si="26"/>
        <v>0</v>
      </c>
      <c r="F1333" s="22"/>
    </row>
    <row r="1334" spans="1:6" ht="15.6" x14ac:dyDescent="0.3">
      <c r="A1334" s="26"/>
      <c r="B1334" s="25"/>
      <c r="C1334" s="25"/>
      <c r="D1334" s="72"/>
      <c r="E1334" s="93">
        <f t="shared" si="26"/>
        <v>0</v>
      </c>
      <c r="F1334" s="22"/>
    </row>
    <row r="1335" spans="1:6" ht="15.6" x14ac:dyDescent="0.3">
      <c r="A1335" s="26"/>
      <c r="B1335" s="25"/>
      <c r="C1335" s="25"/>
      <c r="D1335" s="72"/>
      <c r="E1335" s="93">
        <f t="shared" si="26"/>
        <v>0</v>
      </c>
      <c r="F1335" s="22"/>
    </row>
    <row r="1336" spans="1:6" ht="15.6" x14ac:dyDescent="0.3">
      <c r="A1336" s="26"/>
      <c r="B1336" s="25"/>
      <c r="C1336" s="25"/>
      <c r="D1336" s="72"/>
      <c r="E1336" s="93">
        <f t="shared" si="26"/>
        <v>0</v>
      </c>
      <c r="F1336" s="22"/>
    </row>
    <row r="1337" spans="1:6" ht="15.6" x14ac:dyDescent="0.3">
      <c r="A1337" s="21"/>
      <c r="B1337" s="20"/>
      <c r="C1337" s="20"/>
      <c r="D1337" s="69"/>
      <c r="E1337" s="91"/>
      <c r="F1337" s="18"/>
    </row>
    <row r="1338" spans="1:6" ht="17.399999999999999" x14ac:dyDescent="0.3">
      <c r="A1338" s="17"/>
      <c r="B1338" s="16"/>
      <c r="C1338" s="294" t="s">
        <v>8</v>
      </c>
      <c r="D1338" s="294"/>
      <c r="E1338" s="15">
        <f>SUM(E1323:E1335)</f>
        <v>1397.53</v>
      </c>
      <c r="F1338" s="14"/>
    </row>
    <row r="1339" spans="1:6" ht="17.399999999999999" x14ac:dyDescent="0.3">
      <c r="A1339" s="11"/>
      <c r="B1339" s="10"/>
      <c r="C1339" s="294" t="s">
        <v>7</v>
      </c>
      <c r="D1339" s="294"/>
      <c r="E1339" s="13">
        <f>+E1338*0.16</f>
        <v>223.60480000000001</v>
      </c>
      <c r="F1339" s="12"/>
    </row>
    <row r="1340" spans="1:6" ht="17.399999999999999" x14ac:dyDescent="0.3">
      <c r="A1340" s="11"/>
      <c r="B1340" s="10"/>
      <c r="C1340" s="294" t="s">
        <v>6</v>
      </c>
      <c r="D1340" s="294"/>
      <c r="E1340" s="8">
        <f>+E1338+E1339</f>
        <v>1621.1348</v>
      </c>
      <c r="F1340" s="7"/>
    </row>
    <row r="1341" spans="1:6" ht="15.6" x14ac:dyDescent="0.3">
      <c r="A1341" s="6" t="s">
        <v>5</v>
      </c>
      <c r="B1341" s="5"/>
      <c r="C1341" s="5" t="s">
        <v>4</v>
      </c>
      <c r="D1341" s="5"/>
      <c r="E1341" s="5"/>
      <c r="F1341" s="4" t="s">
        <v>3</v>
      </c>
    </row>
    <row r="1342" spans="1:6" ht="15.6" x14ac:dyDescent="0.3">
      <c r="A1342" s="3" t="s">
        <v>2</v>
      </c>
      <c r="B1342" s="2"/>
      <c r="C1342" s="2" t="s">
        <v>1</v>
      </c>
      <c r="D1342" s="2"/>
      <c r="E1342" s="2"/>
      <c r="F1342" s="1" t="s">
        <v>70</v>
      </c>
    </row>
    <row r="1345" spans="1:6" ht="30" x14ac:dyDescent="0.4">
      <c r="A1345" s="55"/>
      <c r="B1345" s="271" t="s">
        <v>38</v>
      </c>
      <c r="C1345" s="272"/>
      <c r="D1345" s="54"/>
      <c r="E1345" s="305" t="s">
        <v>37</v>
      </c>
      <c r="F1345" s="307"/>
    </row>
    <row r="1346" spans="1:6" ht="30" x14ac:dyDescent="0.4">
      <c r="A1346" s="53"/>
      <c r="B1346" s="273"/>
      <c r="C1346" s="274"/>
      <c r="D1346" s="52"/>
      <c r="E1346" s="51" t="s">
        <v>36</v>
      </c>
      <c r="F1346" s="50" t="s">
        <v>372</v>
      </c>
    </row>
    <row r="1347" spans="1:6" ht="30" x14ac:dyDescent="0.4">
      <c r="A1347" s="49"/>
      <c r="B1347" s="275"/>
      <c r="C1347" s="276"/>
      <c r="D1347" s="48"/>
      <c r="E1347" s="47" t="s">
        <v>34</v>
      </c>
      <c r="F1347" s="46" t="s">
        <v>351</v>
      </c>
    </row>
    <row r="1348" spans="1:6" ht="20.399999999999999" x14ac:dyDescent="0.35">
      <c r="A1348" s="39" t="s">
        <v>5</v>
      </c>
      <c r="B1348" s="43" t="s">
        <v>47</v>
      </c>
      <c r="C1348" s="42"/>
      <c r="D1348" s="42"/>
      <c r="E1348" s="98"/>
      <c r="F1348" s="97"/>
    </row>
    <row r="1349" spans="1:6" ht="20.399999999999999" x14ac:dyDescent="0.35">
      <c r="A1349" s="39" t="s">
        <v>30</v>
      </c>
      <c r="B1349" s="43" t="s">
        <v>373</v>
      </c>
      <c r="C1349" s="42"/>
      <c r="D1349" s="42"/>
      <c r="E1349" s="41"/>
      <c r="F1349" s="40"/>
    </row>
    <row r="1350" spans="1:6" ht="20.399999999999999" x14ac:dyDescent="0.35">
      <c r="A1350" s="39" t="s">
        <v>73</v>
      </c>
      <c r="B1350" s="38" t="s">
        <v>324</v>
      </c>
      <c r="C1350" s="37"/>
      <c r="D1350" s="37"/>
      <c r="E1350" s="41"/>
      <c r="F1350" s="40"/>
    </row>
    <row r="1351" spans="1:6" ht="20.399999999999999" x14ac:dyDescent="0.35">
      <c r="A1351" s="39" t="s">
        <v>28</v>
      </c>
      <c r="B1351" s="38" t="s">
        <v>369</v>
      </c>
      <c r="C1351" s="37"/>
      <c r="D1351" s="37"/>
      <c r="E1351" s="36"/>
      <c r="F1351" s="35"/>
    </row>
    <row r="1352" spans="1:6" ht="15" x14ac:dyDescent="0.3">
      <c r="A1352" s="34" t="s">
        <v>26</v>
      </c>
      <c r="B1352" s="34" t="s">
        <v>25</v>
      </c>
      <c r="C1352" s="34" t="s">
        <v>24</v>
      </c>
      <c r="D1352" s="34" t="s">
        <v>23</v>
      </c>
      <c r="E1352" s="34" t="s">
        <v>22</v>
      </c>
      <c r="F1352" s="34" t="s">
        <v>21</v>
      </c>
    </row>
    <row r="1353" spans="1:6" ht="15.6" x14ac:dyDescent="0.3">
      <c r="A1353" s="33"/>
      <c r="B1353" s="32"/>
      <c r="C1353" s="32"/>
      <c r="D1353" s="101"/>
      <c r="E1353" s="101">
        <f t="shared" ref="E1353:E1366" si="27">+A1353*D1353</f>
        <v>0</v>
      </c>
      <c r="F1353" s="22"/>
    </row>
    <row r="1354" spans="1:6" ht="15.6" x14ac:dyDescent="0.3">
      <c r="A1354" s="29"/>
      <c r="B1354" s="25"/>
      <c r="C1354" s="25"/>
      <c r="D1354" s="100"/>
      <c r="E1354" s="100">
        <f t="shared" si="27"/>
        <v>0</v>
      </c>
      <c r="F1354" s="22"/>
    </row>
    <row r="1355" spans="1:6" ht="31.2" x14ac:dyDescent="0.3">
      <c r="A1355" s="29">
        <v>4</v>
      </c>
      <c r="B1355" s="25" t="s">
        <v>10</v>
      </c>
      <c r="C1355" s="25" t="s">
        <v>363</v>
      </c>
      <c r="D1355" s="100">
        <v>4704.3999999999996</v>
      </c>
      <c r="E1355" s="100">
        <f t="shared" si="27"/>
        <v>18817.599999999999</v>
      </c>
      <c r="F1355" s="22"/>
    </row>
    <row r="1356" spans="1:6" ht="15.6" x14ac:dyDescent="0.3">
      <c r="A1356" s="29"/>
      <c r="B1356" s="27"/>
      <c r="C1356" s="27"/>
      <c r="D1356" s="100"/>
      <c r="E1356" s="100">
        <f t="shared" si="27"/>
        <v>0</v>
      </c>
      <c r="F1356" s="22"/>
    </row>
    <row r="1357" spans="1:6" ht="15.6" x14ac:dyDescent="0.3">
      <c r="A1357" s="29"/>
      <c r="B1357" s="27"/>
      <c r="C1357" s="28"/>
      <c r="D1357" s="100"/>
      <c r="E1357" s="100">
        <f t="shared" si="27"/>
        <v>0</v>
      </c>
      <c r="F1357" s="22"/>
    </row>
    <row r="1358" spans="1:6" ht="15.6" x14ac:dyDescent="0.3">
      <c r="A1358" s="29"/>
      <c r="B1358" s="27"/>
      <c r="C1358" s="28"/>
      <c r="D1358" s="100"/>
      <c r="E1358" s="100">
        <f t="shared" si="27"/>
        <v>0</v>
      </c>
      <c r="F1358" s="22"/>
    </row>
    <row r="1359" spans="1:6" ht="15.6" x14ac:dyDescent="0.3">
      <c r="A1359" s="29"/>
      <c r="B1359" s="27"/>
      <c r="C1359" s="28"/>
      <c r="D1359" s="100"/>
      <c r="E1359" s="100">
        <f t="shared" si="27"/>
        <v>0</v>
      </c>
      <c r="F1359" s="22"/>
    </row>
    <row r="1360" spans="1:6" ht="15.6" x14ac:dyDescent="0.3">
      <c r="A1360" s="26"/>
      <c r="B1360" s="27"/>
      <c r="C1360" s="27"/>
      <c r="D1360" s="100"/>
      <c r="E1360" s="100">
        <f t="shared" si="27"/>
        <v>0</v>
      </c>
      <c r="F1360" s="22"/>
    </row>
    <row r="1361" spans="1:6" ht="15.6" x14ac:dyDescent="0.3">
      <c r="A1361" s="26"/>
      <c r="B1361" s="27"/>
      <c r="C1361" s="27"/>
      <c r="D1361" s="100"/>
      <c r="E1361" s="100">
        <f t="shared" si="27"/>
        <v>0</v>
      </c>
      <c r="F1361" s="22"/>
    </row>
    <row r="1362" spans="1:6" ht="15.6" x14ac:dyDescent="0.3">
      <c r="A1362" s="26"/>
      <c r="B1362" s="25"/>
      <c r="C1362" s="25"/>
      <c r="D1362" s="100"/>
      <c r="E1362" s="100">
        <f t="shared" si="27"/>
        <v>0</v>
      </c>
      <c r="F1362" s="22"/>
    </row>
    <row r="1363" spans="1:6" ht="15.6" x14ac:dyDescent="0.3">
      <c r="A1363" s="26"/>
      <c r="B1363" s="25"/>
      <c r="C1363" s="25"/>
      <c r="D1363" s="100"/>
      <c r="E1363" s="100">
        <f t="shared" si="27"/>
        <v>0</v>
      </c>
      <c r="F1363" s="22"/>
    </row>
    <row r="1364" spans="1:6" ht="15.6" x14ac:dyDescent="0.3">
      <c r="A1364" s="26"/>
      <c r="B1364" s="25"/>
      <c r="C1364" s="25"/>
      <c r="D1364" s="100"/>
      <c r="E1364" s="100">
        <f t="shared" si="27"/>
        <v>0</v>
      </c>
      <c r="F1364" s="22"/>
    </row>
    <row r="1365" spans="1:6" ht="15.6" x14ac:dyDescent="0.3">
      <c r="A1365" s="26"/>
      <c r="B1365" s="25"/>
      <c r="C1365" s="25"/>
      <c r="D1365" s="100"/>
      <c r="E1365" s="100">
        <f t="shared" si="27"/>
        <v>0</v>
      </c>
      <c r="F1365" s="22"/>
    </row>
    <row r="1366" spans="1:6" ht="15.6" x14ac:dyDescent="0.3">
      <c r="A1366" s="26"/>
      <c r="B1366" s="25"/>
      <c r="C1366" s="25"/>
      <c r="D1366" s="100"/>
      <c r="E1366" s="100">
        <f t="shared" si="27"/>
        <v>0</v>
      </c>
      <c r="F1366" s="22"/>
    </row>
    <row r="1367" spans="1:6" ht="15.6" x14ac:dyDescent="0.3">
      <c r="A1367" s="21"/>
      <c r="B1367" s="20"/>
      <c r="C1367" s="20"/>
      <c r="D1367" s="175"/>
      <c r="E1367" s="91"/>
      <c r="F1367" s="18"/>
    </row>
    <row r="1368" spans="1:6" ht="17.399999999999999" x14ac:dyDescent="0.3">
      <c r="A1368" s="17"/>
      <c r="B1368" s="16"/>
      <c r="C1368" s="294" t="s">
        <v>8</v>
      </c>
      <c r="D1368" s="294"/>
      <c r="E1368" s="15">
        <f>SUM(E1353:E1365)</f>
        <v>18817.599999999999</v>
      </c>
      <c r="F1368" s="14"/>
    </row>
    <row r="1369" spans="1:6" ht="17.399999999999999" x14ac:dyDescent="0.3">
      <c r="A1369" s="11"/>
      <c r="B1369" s="10"/>
      <c r="C1369" s="294" t="s">
        <v>7</v>
      </c>
      <c r="D1369" s="294"/>
      <c r="E1369" s="13">
        <f>+E1368*0.16</f>
        <v>3010.8159999999998</v>
      </c>
      <c r="F1369" s="12"/>
    </row>
    <row r="1370" spans="1:6" ht="17.399999999999999" x14ac:dyDescent="0.3">
      <c r="A1370" s="11"/>
      <c r="B1370" s="10"/>
      <c r="C1370" s="294" t="s">
        <v>6</v>
      </c>
      <c r="D1370" s="294"/>
      <c r="E1370" s="8">
        <f>+E1368+E1369</f>
        <v>21828.415999999997</v>
      </c>
      <c r="F1370" s="7"/>
    </row>
    <row r="1371" spans="1:6" ht="15.6" x14ac:dyDescent="0.3">
      <c r="A1371" s="6" t="s">
        <v>5</v>
      </c>
      <c r="B1371" s="5"/>
      <c r="C1371" s="5" t="s">
        <v>4</v>
      </c>
      <c r="D1371" s="5"/>
      <c r="E1371" s="5"/>
      <c r="F1371" s="4" t="s">
        <v>3</v>
      </c>
    </row>
    <row r="1372" spans="1:6" ht="15.6" x14ac:dyDescent="0.3">
      <c r="A1372" s="3" t="s">
        <v>2</v>
      </c>
      <c r="B1372" s="2"/>
      <c r="C1372" s="2" t="s">
        <v>1</v>
      </c>
      <c r="D1372" s="2"/>
      <c r="E1372" s="2"/>
      <c r="F1372" s="1" t="s">
        <v>70</v>
      </c>
    </row>
    <row r="1376" spans="1:6" ht="30" x14ac:dyDescent="0.4">
      <c r="A1376" s="55"/>
      <c r="B1376" s="271" t="s">
        <v>38</v>
      </c>
      <c r="C1376" s="272"/>
      <c r="D1376" s="54"/>
      <c r="E1376" s="346" t="s">
        <v>180</v>
      </c>
      <c r="F1376" s="347"/>
    </row>
    <row r="1377" spans="1:6" ht="30" x14ac:dyDescent="0.4">
      <c r="A1377" s="53"/>
      <c r="B1377" s="273"/>
      <c r="C1377" s="274"/>
      <c r="D1377" s="52"/>
      <c r="E1377" s="51" t="s">
        <v>36</v>
      </c>
      <c r="F1377" s="50" t="s">
        <v>327</v>
      </c>
    </row>
    <row r="1378" spans="1:6" ht="30" x14ac:dyDescent="0.4">
      <c r="A1378" s="49"/>
      <c r="B1378" s="275"/>
      <c r="C1378" s="276"/>
      <c r="D1378" s="48"/>
      <c r="E1378" s="47" t="s">
        <v>34</v>
      </c>
      <c r="F1378" s="46" t="s">
        <v>352</v>
      </c>
    </row>
    <row r="1379" spans="1:6" ht="20.399999999999999" x14ac:dyDescent="0.35">
      <c r="A1379" s="39" t="s">
        <v>5</v>
      </c>
      <c r="B1379" s="43" t="s">
        <v>47</v>
      </c>
      <c r="C1379" s="42"/>
      <c r="D1379" s="42"/>
      <c r="E1379" s="98"/>
      <c r="F1379" s="97"/>
    </row>
    <row r="1380" spans="1:6" ht="20.399999999999999" x14ac:dyDescent="0.35">
      <c r="A1380" s="39" t="s">
        <v>30</v>
      </c>
      <c r="B1380" s="43" t="s">
        <v>239</v>
      </c>
      <c r="C1380" s="42"/>
      <c r="D1380" s="42"/>
      <c r="E1380" s="41"/>
      <c r="F1380" s="40"/>
    </row>
    <row r="1381" spans="1:6" ht="20.399999999999999" x14ac:dyDescent="0.35">
      <c r="A1381" s="39"/>
      <c r="B1381" s="38"/>
      <c r="C1381" s="37"/>
      <c r="D1381" s="37"/>
      <c r="E1381" s="41"/>
      <c r="F1381" s="40"/>
    </row>
    <row r="1382" spans="1:6" ht="20.399999999999999" x14ac:dyDescent="0.35">
      <c r="A1382" s="39" t="s">
        <v>28</v>
      </c>
      <c r="B1382" s="38" t="s">
        <v>238</v>
      </c>
      <c r="C1382" s="37"/>
      <c r="D1382" s="37"/>
      <c r="E1382" s="36"/>
      <c r="F1382" s="35"/>
    </row>
    <row r="1383" spans="1:6" ht="15" x14ac:dyDescent="0.3">
      <c r="A1383" s="34" t="s">
        <v>26</v>
      </c>
      <c r="B1383" s="34" t="s">
        <v>25</v>
      </c>
      <c r="C1383" s="34" t="s">
        <v>24</v>
      </c>
      <c r="D1383" s="34" t="s">
        <v>23</v>
      </c>
      <c r="E1383" s="34" t="s">
        <v>22</v>
      </c>
      <c r="F1383" s="34" t="s">
        <v>21</v>
      </c>
    </row>
    <row r="1384" spans="1:6" ht="31.2" x14ac:dyDescent="0.3">
      <c r="A1384" s="33">
        <v>150</v>
      </c>
      <c r="B1384" s="32" t="s">
        <v>235</v>
      </c>
      <c r="C1384" s="32" t="s">
        <v>346</v>
      </c>
      <c r="D1384" s="101">
        <v>80</v>
      </c>
      <c r="E1384" s="101">
        <f>+A1384*D1384</f>
        <v>12000</v>
      </c>
      <c r="F1384" s="22"/>
    </row>
    <row r="1385" spans="1:6" ht="15.6" x14ac:dyDescent="0.3">
      <c r="A1385" s="29">
        <v>50</v>
      </c>
      <c r="B1385" s="25" t="s">
        <v>235</v>
      </c>
      <c r="C1385" s="25" t="s">
        <v>347</v>
      </c>
      <c r="D1385" s="100">
        <v>68</v>
      </c>
      <c r="E1385" s="100">
        <f t="shared" ref="E1385:E1394" si="28">+A1385*D1385</f>
        <v>3400</v>
      </c>
      <c r="F1385" s="22"/>
    </row>
    <row r="1386" spans="1:6" ht="31.2" x14ac:dyDescent="0.3">
      <c r="A1386" s="29">
        <v>10</v>
      </c>
      <c r="B1386" s="25" t="s">
        <v>348</v>
      </c>
      <c r="C1386" s="25" t="s">
        <v>349</v>
      </c>
      <c r="D1386" s="100">
        <v>84.89</v>
      </c>
      <c r="E1386" s="100">
        <f t="shared" si="28"/>
        <v>848.9</v>
      </c>
      <c r="F1386" s="22"/>
    </row>
    <row r="1387" spans="1:6" ht="15.6" x14ac:dyDescent="0.3">
      <c r="A1387" s="29"/>
      <c r="B1387" s="27"/>
      <c r="C1387" s="27"/>
      <c r="D1387" s="100"/>
      <c r="E1387" s="100">
        <f t="shared" si="28"/>
        <v>0</v>
      </c>
      <c r="F1387" s="22"/>
    </row>
    <row r="1388" spans="1:6" ht="15.6" x14ac:dyDescent="0.3">
      <c r="A1388" s="29"/>
      <c r="B1388" s="27"/>
      <c r="C1388" s="28"/>
      <c r="D1388" s="100"/>
      <c r="E1388" s="100">
        <f t="shared" si="28"/>
        <v>0</v>
      </c>
      <c r="F1388" s="22"/>
    </row>
    <row r="1389" spans="1:6" ht="15.6" x14ac:dyDescent="0.3">
      <c r="A1389" s="29"/>
      <c r="B1389" s="27"/>
      <c r="C1389" s="28"/>
      <c r="D1389" s="100"/>
      <c r="E1389" s="100">
        <f t="shared" si="28"/>
        <v>0</v>
      </c>
      <c r="F1389" s="22"/>
    </row>
    <row r="1390" spans="1:6" ht="15.6" x14ac:dyDescent="0.3">
      <c r="A1390" s="29"/>
      <c r="B1390" s="27"/>
      <c r="C1390" s="28"/>
      <c r="D1390" s="100"/>
      <c r="E1390" s="100">
        <f t="shared" si="28"/>
        <v>0</v>
      </c>
      <c r="F1390" s="22"/>
    </row>
    <row r="1391" spans="1:6" ht="15.6" x14ac:dyDescent="0.3">
      <c r="A1391" s="26"/>
      <c r="B1391" s="27"/>
      <c r="C1391" s="27"/>
      <c r="D1391" s="100"/>
      <c r="E1391" s="100">
        <f t="shared" si="28"/>
        <v>0</v>
      </c>
      <c r="F1391" s="22"/>
    </row>
    <row r="1392" spans="1:6" ht="15.6" x14ac:dyDescent="0.3">
      <c r="A1392" s="26"/>
      <c r="B1392" s="27"/>
      <c r="C1392" s="27"/>
      <c r="D1392" s="100"/>
      <c r="E1392" s="100">
        <f t="shared" si="28"/>
        <v>0</v>
      </c>
      <c r="F1392" s="22"/>
    </row>
    <row r="1393" spans="1:7" ht="15.6" x14ac:dyDescent="0.3">
      <c r="A1393" s="26"/>
      <c r="B1393" s="25"/>
      <c r="C1393" s="25"/>
      <c r="D1393" s="100"/>
      <c r="E1393" s="100">
        <f t="shared" si="28"/>
        <v>0</v>
      </c>
      <c r="F1393" s="22"/>
    </row>
    <row r="1394" spans="1:7" ht="15.6" x14ac:dyDescent="0.3">
      <c r="A1394" s="26"/>
      <c r="B1394" s="25"/>
      <c r="C1394" s="25"/>
      <c r="D1394" s="100"/>
      <c r="E1394" s="100">
        <f t="shared" si="28"/>
        <v>0</v>
      </c>
      <c r="F1394" s="22"/>
    </row>
    <row r="1395" spans="1:7" ht="15.6" x14ac:dyDescent="0.3">
      <c r="A1395" s="26"/>
      <c r="B1395" s="25"/>
      <c r="C1395" s="25"/>
      <c r="D1395" s="100"/>
      <c r="E1395" s="93"/>
      <c r="F1395" s="22"/>
    </row>
    <row r="1396" spans="1:7" ht="15.6" x14ac:dyDescent="0.3">
      <c r="A1396" s="26"/>
      <c r="B1396" s="25"/>
      <c r="C1396" s="25"/>
      <c r="D1396" s="100"/>
      <c r="E1396" s="93"/>
      <c r="F1396" s="22"/>
    </row>
    <row r="1397" spans="1:7" ht="15.6" x14ac:dyDescent="0.3">
      <c r="A1397" s="26"/>
      <c r="B1397" s="25"/>
      <c r="C1397" s="25"/>
      <c r="D1397" s="72"/>
      <c r="E1397" s="93"/>
      <c r="F1397" s="22"/>
    </row>
    <row r="1398" spans="1:7" ht="15.6" x14ac:dyDescent="0.3">
      <c r="A1398" s="21"/>
      <c r="B1398" s="20"/>
      <c r="C1398" s="20"/>
      <c r="D1398" s="69"/>
      <c r="E1398" s="91"/>
      <c r="F1398" s="18"/>
    </row>
    <row r="1399" spans="1:7" ht="17.399999999999999" x14ac:dyDescent="0.3">
      <c r="A1399" s="17"/>
      <c r="B1399" s="16"/>
      <c r="C1399" s="294" t="s">
        <v>8</v>
      </c>
      <c r="D1399" s="294"/>
      <c r="E1399" s="15">
        <f>+SUM(E1384:E1395)</f>
        <v>16248.9</v>
      </c>
      <c r="F1399" s="14"/>
    </row>
    <row r="1400" spans="1:7" ht="17.399999999999999" x14ac:dyDescent="0.3">
      <c r="A1400" s="11"/>
      <c r="B1400" s="10"/>
      <c r="C1400" s="294" t="s">
        <v>7</v>
      </c>
      <c r="D1400" s="294"/>
      <c r="E1400" s="13">
        <f>+E1399*0.16</f>
        <v>2599.8240000000001</v>
      </c>
      <c r="F1400" s="12"/>
    </row>
    <row r="1401" spans="1:7" ht="17.399999999999999" x14ac:dyDescent="0.3">
      <c r="A1401" s="11"/>
      <c r="B1401" s="10"/>
      <c r="C1401" s="294" t="s">
        <v>6</v>
      </c>
      <c r="D1401" s="294"/>
      <c r="E1401" s="8">
        <f>+E1399+E1400</f>
        <v>18848.723999999998</v>
      </c>
      <c r="F1401" s="7"/>
    </row>
    <row r="1402" spans="1:7" ht="15.6" x14ac:dyDescent="0.3">
      <c r="A1402" s="6" t="s">
        <v>5</v>
      </c>
      <c r="B1402" s="5"/>
      <c r="C1402" s="5" t="s">
        <v>4</v>
      </c>
      <c r="D1402" s="5"/>
      <c r="E1402" s="5"/>
      <c r="F1402" s="4" t="s">
        <v>3</v>
      </c>
    </row>
    <row r="1403" spans="1:7" ht="15.6" x14ac:dyDescent="0.3">
      <c r="A1403" s="3" t="s">
        <v>2</v>
      </c>
      <c r="B1403" s="2"/>
      <c r="C1403" s="2" t="s">
        <v>1</v>
      </c>
      <c r="D1403" s="2"/>
      <c r="E1403" s="2"/>
      <c r="F1403" s="1" t="s">
        <v>70</v>
      </c>
    </row>
    <row r="1405" spans="1:7" ht="21" x14ac:dyDescent="0.4">
      <c r="A1405" s="55"/>
      <c r="B1405" s="271" t="s">
        <v>38</v>
      </c>
      <c r="C1405" s="272"/>
      <c r="D1405" s="277" t="s">
        <v>37</v>
      </c>
      <c r="E1405" s="278"/>
      <c r="F1405" s="278"/>
      <c r="G1405" s="279"/>
    </row>
    <row r="1406" spans="1:7" ht="21" x14ac:dyDescent="0.4">
      <c r="A1406" s="53"/>
      <c r="B1406" s="273"/>
      <c r="C1406" s="274"/>
      <c r="D1406" s="280" t="s">
        <v>36</v>
      </c>
      <c r="E1406" s="281"/>
      <c r="F1406" s="282" t="s">
        <v>354</v>
      </c>
      <c r="G1406" s="283"/>
    </row>
    <row r="1407" spans="1:7" ht="21" x14ac:dyDescent="0.4">
      <c r="A1407" s="53"/>
      <c r="B1407" s="273"/>
      <c r="C1407" s="274"/>
      <c r="D1407" s="135" t="s">
        <v>118</v>
      </c>
      <c r="E1407" s="136"/>
      <c r="F1407" s="90">
        <v>15</v>
      </c>
      <c r="G1407" s="50"/>
    </row>
    <row r="1408" spans="1:7" ht="21" x14ac:dyDescent="0.4">
      <c r="A1408" s="49"/>
      <c r="B1408" s="275"/>
      <c r="C1408" s="276"/>
      <c r="D1408" s="285" t="s">
        <v>50</v>
      </c>
      <c r="E1408" s="286"/>
      <c r="F1408" s="287" t="s">
        <v>380</v>
      </c>
      <c r="G1408" s="288"/>
    </row>
    <row r="1409" spans="1:7" ht="20.399999999999999" x14ac:dyDescent="0.35">
      <c r="A1409" s="39" t="s">
        <v>48</v>
      </c>
      <c r="B1409" s="43" t="s">
        <v>70</v>
      </c>
      <c r="C1409" s="42"/>
      <c r="D1409" s="42"/>
      <c r="E1409" s="289"/>
      <c r="F1409" s="289"/>
      <c r="G1409" s="290"/>
    </row>
    <row r="1410" spans="1:7" ht="20.399999999999999" x14ac:dyDescent="0.35">
      <c r="A1410" s="39" t="s">
        <v>30</v>
      </c>
      <c r="B1410" s="291" t="s">
        <v>355</v>
      </c>
      <c r="C1410" s="292"/>
      <c r="D1410" s="292"/>
      <c r="E1410" s="292"/>
      <c r="F1410" s="292"/>
      <c r="G1410" s="293"/>
    </row>
    <row r="1411" spans="1:7" ht="20.399999999999999" x14ac:dyDescent="0.35">
      <c r="A1411" s="39" t="s">
        <v>46</v>
      </c>
      <c r="B1411" s="291"/>
      <c r="C1411" s="292"/>
      <c r="D1411" s="292"/>
      <c r="E1411" s="292"/>
      <c r="F1411" s="292"/>
      <c r="G1411" s="293"/>
    </row>
    <row r="1412" spans="1:7" ht="20.399999999999999" x14ac:dyDescent="0.35">
      <c r="A1412" s="39" t="s">
        <v>28</v>
      </c>
      <c r="B1412" s="291" t="s">
        <v>157</v>
      </c>
      <c r="C1412" s="292"/>
      <c r="D1412" s="292"/>
      <c r="E1412" s="292"/>
      <c r="F1412" s="292"/>
      <c r="G1412" s="293"/>
    </row>
    <row r="1413" spans="1:7" ht="15" x14ac:dyDescent="0.3">
      <c r="A1413" s="34" t="s">
        <v>26</v>
      </c>
      <c r="B1413" s="34" t="s">
        <v>25</v>
      </c>
      <c r="C1413" s="34" t="s">
        <v>24</v>
      </c>
      <c r="D1413" s="34" t="s">
        <v>43</v>
      </c>
      <c r="E1413" s="34" t="s">
        <v>42</v>
      </c>
      <c r="F1413" s="34" t="s">
        <v>22</v>
      </c>
      <c r="G1413" s="169" t="s">
        <v>21</v>
      </c>
    </row>
    <row r="1414" spans="1:7" ht="15.6" x14ac:dyDescent="0.3">
      <c r="A1414" s="33"/>
      <c r="B1414" s="32"/>
      <c r="C1414" s="32"/>
      <c r="D1414" s="171"/>
      <c r="E1414" s="75"/>
      <c r="F1414" s="172">
        <f t="shared" ref="F1414:F1421" si="29">A1414*E1414</f>
        <v>0</v>
      </c>
      <c r="G1414" s="128"/>
    </row>
    <row r="1415" spans="1:7" ht="15.6" x14ac:dyDescent="0.3">
      <c r="A1415" s="29">
        <v>8</v>
      </c>
      <c r="B1415" s="25" t="s">
        <v>356</v>
      </c>
      <c r="C1415" s="25" t="s">
        <v>358</v>
      </c>
      <c r="D1415" s="72"/>
      <c r="E1415" s="71">
        <v>347</v>
      </c>
      <c r="F1415" s="120">
        <f t="shared" si="29"/>
        <v>2776</v>
      </c>
      <c r="G1415" s="70"/>
    </row>
    <row r="1416" spans="1:7" ht="15.6" x14ac:dyDescent="0.3">
      <c r="A1416" s="29"/>
      <c r="B1416" s="25"/>
      <c r="C1416" s="25"/>
      <c r="D1416" s="72"/>
      <c r="E1416" s="71"/>
      <c r="F1416" s="120">
        <f t="shared" si="29"/>
        <v>0</v>
      </c>
      <c r="G1416" s="70"/>
    </row>
    <row r="1417" spans="1:7" ht="15.6" x14ac:dyDescent="0.3">
      <c r="A1417" s="173"/>
      <c r="B1417" s="25"/>
      <c r="C1417" s="25"/>
      <c r="D1417" s="72"/>
      <c r="E1417" s="71"/>
      <c r="F1417" s="120">
        <f>A1417*E1417</f>
        <v>0</v>
      </c>
      <c r="G1417" s="70"/>
    </row>
    <row r="1418" spans="1:7" ht="15.6" x14ac:dyDescent="0.3">
      <c r="A1418" s="26"/>
      <c r="B1418" s="25"/>
      <c r="C1418" s="25"/>
      <c r="D1418" s="72"/>
      <c r="E1418" s="71"/>
      <c r="F1418" s="120">
        <f>A1418*E1418</f>
        <v>0</v>
      </c>
      <c r="G1418" s="70"/>
    </row>
    <row r="1419" spans="1:7" ht="15.6" x14ac:dyDescent="0.3">
      <c r="A1419" s="26"/>
      <c r="B1419" s="25"/>
      <c r="C1419" s="25"/>
      <c r="D1419" s="72"/>
      <c r="E1419" s="71"/>
      <c r="F1419" s="120">
        <f t="shared" si="29"/>
        <v>0</v>
      </c>
      <c r="G1419" s="70"/>
    </row>
    <row r="1420" spans="1:7" ht="15.6" x14ac:dyDescent="0.3">
      <c r="A1420" s="26"/>
      <c r="B1420" s="25"/>
      <c r="C1420" s="25"/>
      <c r="D1420" s="72"/>
      <c r="E1420" s="71"/>
      <c r="F1420" s="120">
        <f t="shared" si="29"/>
        <v>0</v>
      </c>
      <c r="G1420" s="70"/>
    </row>
    <row r="1421" spans="1:7" ht="15.6" x14ac:dyDescent="0.3">
      <c r="A1421" s="21"/>
      <c r="B1421" s="20"/>
      <c r="C1421" s="20"/>
      <c r="D1421" s="69"/>
      <c r="E1421" s="68"/>
      <c r="F1421" s="174">
        <f t="shared" si="29"/>
        <v>0</v>
      </c>
      <c r="G1421" s="67"/>
    </row>
    <row r="1422" spans="1:7" ht="17.399999999999999" x14ac:dyDescent="0.3">
      <c r="A1422" s="17"/>
      <c r="B1422" s="16"/>
      <c r="C1422" s="294" t="s">
        <v>8</v>
      </c>
      <c r="D1422" s="294"/>
      <c r="E1422" s="66"/>
      <c r="F1422" s="105">
        <f>SUM(F1414:F1420)</f>
        <v>2776</v>
      </c>
      <c r="G1422" s="64"/>
    </row>
    <row r="1423" spans="1:7" ht="17.399999999999999" x14ac:dyDescent="0.3">
      <c r="A1423" s="11"/>
      <c r="B1423" s="10"/>
      <c r="C1423" s="270" t="s">
        <v>7</v>
      </c>
      <c r="D1423" s="270"/>
      <c r="E1423" s="62"/>
      <c r="F1423" s="104">
        <f>F1422*0.16</f>
        <v>444.16</v>
      </c>
      <c r="G1423" s="60"/>
    </row>
    <row r="1424" spans="1:7" ht="17.399999999999999" x14ac:dyDescent="0.3">
      <c r="A1424" s="11"/>
      <c r="B1424" s="10"/>
      <c r="C1424" s="295" t="s">
        <v>6</v>
      </c>
      <c r="D1424" s="295"/>
      <c r="E1424" s="58"/>
      <c r="F1424" s="103">
        <f>F1422+F1423</f>
        <v>3220.16</v>
      </c>
      <c r="G1424" s="56"/>
    </row>
    <row r="1425" spans="1:7" ht="15.6" x14ac:dyDescent="0.3">
      <c r="A1425" s="296" t="s">
        <v>5</v>
      </c>
      <c r="B1425" s="297"/>
      <c r="C1425" s="5" t="s">
        <v>4</v>
      </c>
      <c r="D1425" s="5"/>
      <c r="E1425" s="297" t="s">
        <v>3</v>
      </c>
      <c r="F1425" s="297"/>
      <c r="G1425" s="298"/>
    </row>
    <row r="1426" spans="1:7" ht="15.6" x14ac:dyDescent="0.3">
      <c r="A1426" s="299" t="s">
        <v>357</v>
      </c>
      <c r="B1426" s="300"/>
      <c r="C1426" s="2" t="s">
        <v>39</v>
      </c>
      <c r="D1426" s="2"/>
      <c r="E1426" s="300" t="s">
        <v>70</v>
      </c>
      <c r="F1426" s="300"/>
      <c r="G1426" s="301"/>
    </row>
    <row r="1429" spans="1:7" ht="30" x14ac:dyDescent="0.4">
      <c r="A1429" s="55"/>
      <c r="B1429" s="271" t="s">
        <v>38</v>
      </c>
      <c r="C1429" s="272"/>
      <c r="D1429" s="54"/>
      <c r="E1429" s="305" t="s">
        <v>37</v>
      </c>
      <c r="F1429" s="307"/>
    </row>
    <row r="1430" spans="1:7" ht="30" x14ac:dyDescent="0.4">
      <c r="A1430" s="53"/>
      <c r="B1430" s="273"/>
      <c r="C1430" s="274"/>
      <c r="D1430" s="52"/>
      <c r="E1430" s="51" t="s">
        <v>36</v>
      </c>
      <c r="F1430" s="50" t="s">
        <v>465</v>
      </c>
    </row>
    <row r="1431" spans="1:7" ht="30" x14ac:dyDescent="0.4">
      <c r="A1431" s="49"/>
      <c r="B1431" s="275"/>
      <c r="C1431" s="276"/>
      <c r="D1431" s="48"/>
      <c r="E1431" s="47" t="s">
        <v>34</v>
      </c>
      <c r="F1431" s="46" t="s">
        <v>381</v>
      </c>
    </row>
    <row r="1432" spans="1:7" ht="20.399999999999999" x14ac:dyDescent="0.35">
      <c r="A1432" s="39" t="s">
        <v>5</v>
      </c>
      <c r="B1432" s="43" t="s">
        <v>47</v>
      </c>
      <c r="C1432" s="42"/>
      <c r="D1432" s="42"/>
      <c r="E1432" s="98"/>
      <c r="F1432" s="97"/>
    </row>
    <row r="1433" spans="1:7" ht="20.399999999999999" x14ac:dyDescent="0.35">
      <c r="A1433" s="39" t="s">
        <v>30</v>
      </c>
      <c r="B1433" s="43" t="s">
        <v>368</v>
      </c>
      <c r="C1433" s="42"/>
      <c r="D1433" s="42"/>
      <c r="E1433" s="41"/>
      <c r="F1433" s="40"/>
    </row>
    <row r="1434" spans="1:7" ht="20.399999999999999" x14ac:dyDescent="0.35">
      <c r="A1434" s="39" t="s">
        <v>73</v>
      </c>
      <c r="B1434" s="38" t="s">
        <v>324</v>
      </c>
      <c r="C1434" s="37"/>
      <c r="D1434" s="37"/>
      <c r="E1434" s="41"/>
      <c r="F1434" s="40"/>
    </row>
    <row r="1435" spans="1:7" ht="20.399999999999999" x14ac:dyDescent="0.35">
      <c r="A1435" s="39" t="s">
        <v>28</v>
      </c>
      <c r="B1435" s="38" t="s">
        <v>198</v>
      </c>
      <c r="C1435" s="37"/>
      <c r="D1435" s="37"/>
      <c r="E1435" s="36"/>
      <c r="F1435" s="35"/>
    </row>
    <row r="1436" spans="1:7" ht="15" x14ac:dyDescent="0.3">
      <c r="A1436" s="34" t="s">
        <v>26</v>
      </c>
      <c r="B1436" s="34" t="s">
        <v>25</v>
      </c>
      <c r="C1436" s="34" t="s">
        <v>24</v>
      </c>
      <c r="D1436" s="34" t="s">
        <v>23</v>
      </c>
      <c r="E1436" s="34" t="s">
        <v>22</v>
      </c>
      <c r="F1436" s="34" t="s">
        <v>21</v>
      </c>
    </row>
    <row r="1437" spans="1:7" ht="31.2" x14ac:dyDescent="0.3">
      <c r="A1437" s="33">
        <v>12</v>
      </c>
      <c r="B1437" s="32" t="s">
        <v>10</v>
      </c>
      <c r="C1437" s="32" t="s">
        <v>345</v>
      </c>
      <c r="D1437" s="101">
        <v>155.57</v>
      </c>
      <c r="E1437" s="101">
        <f t="shared" ref="E1437:E1450" si="30">+A1437*D1437</f>
        <v>1866.84</v>
      </c>
      <c r="F1437" s="22"/>
    </row>
    <row r="1438" spans="1:7" ht="31.2" x14ac:dyDescent="0.3">
      <c r="A1438" s="29">
        <v>1</v>
      </c>
      <c r="B1438" s="25" t="s">
        <v>10</v>
      </c>
      <c r="C1438" s="25" t="s">
        <v>353</v>
      </c>
      <c r="D1438" s="100">
        <v>185.48</v>
      </c>
      <c r="E1438" s="100">
        <f t="shared" si="30"/>
        <v>185.48</v>
      </c>
      <c r="F1438" s="22"/>
    </row>
    <row r="1439" spans="1:7" ht="15.6" x14ac:dyDescent="0.3">
      <c r="A1439" s="29"/>
      <c r="B1439" s="25"/>
      <c r="C1439" s="25"/>
      <c r="D1439" s="100"/>
      <c r="E1439" s="100">
        <f t="shared" si="30"/>
        <v>0</v>
      </c>
      <c r="F1439" s="22"/>
    </row>
    <row r="1440" spans="1:7" ht="15.6" x14ac:dyDescent="0.3">
      <c r="A1440" s="29">
        <v>10</v>
      </c>
      <c r="B1440" s="27" t="s">
        <v>10</v>
      </c>
      <c r="C1440" s="27" t="s">
        <v>364</v>
      </c>
      <c r="D1440" s="100">
        <v>8.74</v>
      </c>
      <c r="E1440" s="100">
        <f t="shared" si="30"/>
        <v>87.4</v>
      </c>
      <c r="F1440" s="22"/>
    </row>
    <row r="1441" spans="1:6" ht="31.2" x14ac:dyDescent="0.3">
      <c r="A1441" s="29">
        <v>10</v>
      </c>
      <c r="B1441" s="27" t="s">
        <v>10</v>
      </c>
      <c r="C1441" s="28" t="s">
        <v>365</v>
      </c>
      <c r="D1441" s="100">
        <v>14.74</v>
      </c>
      <c r="E1441" s="100">
        <f t="shared" si="30"/>
        <v>147.4</v>
      </c>
      <c r="F1441" s="22"/>
    </row>
    <row r="1442" spans="1:6" ht="15.6" x14ac:dyDescent="0.3">
      <c r="A1442" s="29">
        <v>20</v>
      </c>
      <c r="B1442" s="27" t="s">
        <v>10</v>
      </c>
      <c r="C1442" s="28" t="s">
        <v>366</v>
      </c>
      <c r="D1442" s="100">
        <v>12.58</v>
      </c>
      <c r="E1442" s="100">
        <f t="shared" si="30"/>
        <v>251.6</v>
      </c>
      <c r="F1442" s="22"/>
    </row>
    <row r="1443" spans="1:6" ht="15.6" x14ac:dyDescent="0.3">
      <c r="A1443" s="29">
        <v>1</v>
      </c>
      <c r="B1443" s="27" t="s">
        <v>10</v>
      </c>
      <c r="C1443" s="28" t="s">
        <v>367</v>
      </c>
      <c r="D1443" s="100">
        <v>1001.52</v>
      </c>
      <c r="E1443" s="100">
        <f t="shared" si="30"/>
        <v>1001.52</v>
      </c>
      <c r="F1443" s="22"/>
    </row>
    <row r="1444" spans="1:6" ht="15.6" x14ac:dyDescent="0.3">
      <c r="A1444" s="26"/>
      <c r="B1444" s="27"/>
      <c r="C1444" s="27"/>
      <c r="D1444" s="100"/>
      <c r="E1444" s="100">
        <f t="shared" si="30"/>
        <v>0</v>
      </c>
      <c r="F1444" s="22"/>
    </row>
    <row r="1445" spans="1:6" ht="15.6" x14ac:dyDescent="0.3">
      <c r="A1445" s="26"/>
      <c r="B1445" s="27"/>
      <c r="C1445" s="27"/>
      <c r="D1445" s="100"/>
      <c r="E1445" s="100">
        <f t="shared" si="30"/>
        <v>0</v>
      </c>
      <c r="F1445" s="22"/>
    </row>
    <row r="1446" spans="1:6" ht="15.6" x14ac:dyDescent="0.3">
      <c r="A1446" s="26"/>
      <c r="B1446" s="25"/>
      <c r="C1446" s="25"/>
      <c r="D1446" s="100"/>
      <c r="E1446" s="100">
        <f t="shared" si="30"/>
        <v>0</v>
      </c>
      <c r="F1446" s="22"/>
    </row>
    <row r="1447" spans="1:6" ht="15.6" x14ac:dyDescent="0.3">
      <c r="A1447" s="26"/>
      <c r="B1447" s="25"/>
      <c r="C1447" s="25"/>
      <c r="D1447" s="100"/>
      <c r="E1447" s="100">
        <f t="shared" si="30"/>
        <v>0</v>
      </c>
      <c r="F1447" s="22"/>
    </row>
    <row r="1448" spans="1:6" ht="15.6" x14ac:dyDescent="0.3">
      <c r="A1448" s="26"/>
      <c r="B1448" s="25"/>
      <c r="C1448" s="25"/>
      <c r="D1448" s="100"/>
      <c r="E1448" s="100">
        <f t="shared" si="30"/>
        <v>0</v>
      </c>
      <c r="F1448" s="22"/>
    </row>
    <row r="1449" spans="1:6" ht="15.6" x14ac:dyDescent="0.3">
      <c r="A1449" s="26"/>
      <c r="B1449" s="25"/>
      <c r="C1449" s="25"/>
      <c r="D1449" s="100"/>
      <c r="E1449" s="100">
        <f t="shared" si="30"/>
        <v>0</v>
      </c>
      <c r="F1449" s="22"/>
    </row>
    <row r="1450" spans="1:6" ht="15.6" x14ac:dyDescent="0.3">
      <c r="A1450" s="26"/>
      <c r="B1450" s="25"/>
      <c r="C1450" s="25"/>
      <c r="D1450" s="100"/>
      <c r="E1450" s="100">
        <f t="shared" si="30"/>
        <v>0</v>
      </c>
      <c r="F1450" s="22"/>
    </row>
    <row r="1451" spans="1:6" ht="15.6" x14ac:dyDescent="0.3">
      <c r="A1451" s="21"/>
      <c r="B1451" s="20"/>
      <c r="C1451" s="20"/>
      <c r="D1451" s="175"/>
      <c r="E1451" s="91"/>
      <c r="F1451" s="18"/>
    </row>
    <row r="1452" spans="1:6" ht="17.399999999999999" x14ac:dyDescent="0.3">
      <c r="A1452" s="17"/>
      <c r="B1452" s="16"/>
      <c r="C1452" s="294" t="s">
        <v>8</v>
      </c>
      <c r="D1452" s="294"/>
      <c r="E1452" s="15">
        <f>SUM(E1437:E1449)</f>
        <v>3540.24</v>
      </c>
      <c r="F1452" s="14"/>
    </row>
    <row r="1453" spans="1:6" ht="17.399999999999999" x14ac:dyDescent="0.3">
      <c r="A1453" s="11"/>
      <c r="B1453" s="10"/>
      <c r="C1453" s="294" t="s">
        <v>7</v>
      </c>
      <c r="D1453" s="294"/>
      <c r="E1453" s="13">
        <f>+E1452*0.16</f>
        <v>566.4384</v>
      </c>
      <c r="F1453" s="12"/>
    </row>
    <row r="1454" spans="1:6" ht="17.399999999999999" x14ac:dyDescent="0.3">
      <c r="A1454" s="11"/>
      <c r="B1454" s="10"/>
      <c r="C1454" s="294" t="s">
        <v>6</v>
      </c>
      <c r="D1454" s="294"/>
      <c r="E1454" s="8">
        <f>+E1452+E1453</f>
        <v>4106.6783999999998</v>
      </c>
      <c r="F1454" s="7"/>
    </row>
    <row r="1455" spans="1:6" ht="15.6" x14ac:dyDescent="0.3">
      <c r="A1455" s="6" t="s">
        <v>5</v>
      </c>
      <c r="B1455" s="5"/>
      <c r="C1455" s="5" t="s">
        <v>4</v>
      </c>
      <c r="D1455" s="5"/>
      <c r="E1455" s="5"/>
      <c r="F1455" s="4" t="s">
        <v>3</v>
      </c>
    </row>
    <row r="1456" spans="1:6" ht="15.6" x14ac:dyDescent="0.3">
      <c r="A1456" s="3" t="s">
        <v>2</v>
      </c>
      <c r="B1456" s="2"/>
      <c r="C1456" s="2" t="s">
        <v>1</v>
      </c>
      <c r="D1456" s="2"/>
      <c r="E1456" s="2"/>
      <c r="F1456" s="1" t="s">
        <v>70</v>
      </c>
    </row>
  </sheetData>
  <mergeCells count="274">
    <mergeCell ref="B1429:C1431"/>
    <mergeCell ref="E1429:F1429"/>
    <mergeCell ref="C1452:D1452"/>
    <mergeCell ref="C1453:D1453"/>
    <mergeCell ref="C1454:D1454"/>
    <mergeCell ref="A1426:B1426"/>
    <mergeCell ref="E1426:G1426"/>
    <mergeCell ref="E1409:G1409"/>
    <mergeCell ref="B1410:G1410"/>
    <mergeCell ref="B1411:G1411"/>
    <mergeCell ref="B1412:G1412"/>
    <mergeCell ref="C1422:D1422"/>
    <mergeCell ref="C1423:D1423"/>
    <mergeCell ref="C1424:D1424"/>
    <mergeCell ref="A1425:B1425"/>
    <mergeCell ref="E1425:G1425"/>
    <mergeCell ref="C1399:D1399"/>
    <mergeCell ref="C1400:D1400"/>
    <mergeCell ref="C1401:D1401"/>
    <mergeCell ref="B1405:C1408"/>
    <mergeCell ref="D1405:G1405"/>
    <mergeCell ref="D1406:E1406"/>
    <mergeCell ref="F1406:G1406"/>
    <mergeCell ref="D1408:E1408"/>
    <mergeCell ref="F1408:G1408"/>
    <mergeCell ref="C1340:D1340"/>
    <mergeCell ref="E1287:F1289"/>
    <mergeCell ref="B1345:C1347"/>
    <mergeCell ref="E1345:F1345"/>
    <mergeCell ref="C1368:D1368"/>
    <mergeCell ref="C1369:D1369"/>
    <mergeCell ref="C1370:D1370"/>
    <mergeCell ref="B1376:C1378"/>
    <mergeCell ref="E1376:F1376"/>
    <mergeCell ref="B1284:C1286"/>
    <mergeCell ref="E1284:F1284"/>
    <mergeCell ref="C1307:D1307"/>
    <mergeCell ref="C1308:D1308"/>
    <mergeCell ref="C1309:D1309"/>
    <mergeCell ref="B1315:C1317"/>
    <mergeCell ref="E1315:F1315"/>
    <mergeCell ref="C1338:D1338"/>
    <mergeCell ref="C1339:D1339"/>
    <mergeCell ref="A1222:C1225"/>
    <mergeCell ref="D1222:G1222"/>
    <mergeCell ref="E1223:F1223"/>
    <mergeCell ref="E1224:F1224"/>
    <mergeCell ref="E1225:F1225"/>
    <mergeCell ref="A1253:C1256"/>
    <mergeCell ref="D1253:G1253"/>
    <mergeCell ref="E1254:F1254"/>
    <mergeCell ref="E1255:F1255"/>
    <mergeCell ref="E1256:F1256"/>
    <mergeCell ref="A1061:C1064"/>
    <mergeCell ref="D1061:G1061"/>
    <mergeCell ref="E1062:F1062"/>
    <mergeCell ref="E1063:F1063"/>
    <mergeCell ref="E1064:F1064"/>
    <mergeCell ref="A1126:B1126"/>
    <mergeCell ref="E1126:G1126"/>
    <mergeCell ref="E1097:G1097"/>
    <mergeCell ref="B1098:G1098"/>
    <mergeCell ref="B1099:G1099"/>
    <mergeCell ref="B1100:G1100"/>
    <mergeCell ref="A1125:B1125"/>
    <mergeCell ref="E1125:G1125"/>
    <mergeCell ref="B1093:C1096"/>
    <mergeCell ref="D1093:G1093"/>
    <mergeCell ref="D1094:E1094"/>
    <mergeCell ref="F1094:G1094"/>
    <mergeCell ref="D1096:E1096"/>
    <mergeCell ref="F1096:G1096"/>
    <mergeCell ref="E969:F969"/>
    <mergeCell ref="B997:C999"/>
    <mergeCell ref="E997:F997"/>
    <mergeCell ref="C1021:D1021"/>
    <mergeCell ref="C1022:D1022"/>
    <mergeCell ref="A1029:C1032"/>
    <mergeCell ref="D1029:G1029"/>
    <mergeCell ref="E1030:F1030"/>
    <mergeCell ref="E1031:F1031"/>
    <mergeCell ref="E1032:F1032"/>
    <mergeCell ref="B752:G752"/>
    <mergeCell ref="B778:C780"/>
    <mergeCell ref="E778:F778"/>
    <mergeCell ref="C801:D801"/>
    <mergeCell ref="C802:D802"/>
    <mergeCell ref="C803:D803"/>
    <mergeCell ref="D708:E708"/>
    <mergeCell ref="C709:E709"/>
    <mergeCell ref="C710:E710"/>
    <mergeCell ref="A711:B711"/>
    <mergeCell ref="E711:G711"/>
    <mergeCell ref="A712:B712"/>
    <mergeCell ref="E712:G712"/>
    <mergeCell ref="B716:C718"/>
    <mergeCell ref="E716:F716"/>
    <mergeCell ref="C739:D739"/>
    <mergeCell ref="C740:D740"/>
    <mergeCell ref="C741:D741"/>
    <mergeCell ref="A746:C749"/>
    <mergeCell ref="D746:G746"/>
    <mergeCell ref="E747:F747"/>
    <mergeCell ref="E748:F748"/>
    <mergeCell ref="E749:F749"/>
    <mergeCell ref="F688:G688"/>
    <mergeCell ref="E689:G689"/>
    <mergeCell ref="B690:G690"/>
    <mergeCell ref="B691:G691"/>
    <mergeCell ref="B692:G692"/>
    <mergeCell ref="A696:C696"/>
    <mergeCell ref="B560:C562"/>
    <mergeCell ref="E560:F560"/>
    <mergeCell ref="C583:D583"/>
    <mergeCell ref="C584:D584"/>
    <mergeCell ref="C585:D585"/>
    <mergeCell ref="B685:C688"/>
    <mergeCell ref="D685:G685"/>
    <mergeCell ref="D686:E686"/>
    <mergeCell ref="F686:G686"/>
    <mergeCell ref="D688:E688"/>
    <mergeCell ref="C678:D678"/>
    <mergeCell ref="B590:C592"/>
    <mergeCell ref="E590:F590"/>
    <mergeCell ref="C613:D613"/>
    <mergeCell ref="C614:D614"/>
    <mergeCell ref="C615:D615"/>
    <mergeCell ref="C679:D679"/>
    <mergeCell ref="C680:D680"/>
    <mergeCell ref="C555:D555"/>
    <mergeCell ref="B623:C625"/>
    <mergeCell ref="E623:F623"/>
    <mergeCell ref="C647:D647"/>
    <mergeCell ref="C648:D648"/>
    <mergeCell ref="C649:D649"/>
    <mergeCell ref="B655:C657"/>
    <mergeCell ref="E655:F655"/>
    <mergeCell ref="B530:C532"/>
    <mergeCell ref="E530:F530"/>
    <mergeCell ref="C553:D553"/>
    <mergeCell ref="C554:D554"/>
    <mergeCell ref="B499:C501"/>
    <mergeCell ref="E499:F499"/>
    <mergeCell ref="C522:D522"/>
    <mergeCell ref="C523:D523"/>
    <mergeCell ref="C524:D524"/>
    <mergeCell ref="C492:D492"/>
    <mergeCell ref="C493:D493"/>
    <mergeCell ref="C494:D494"/>
    <mergeCell ref="C462:D462"/>
    <mergeCell ref="C463:D463"/>
    <mergeCell ref="C464:D464"/>
    <mergeCell ref="B469:C471"/>
    <mergeCell ref="C57:D57"/>
    <mergeCell ref="B62:C64"/>
    <mergeCell ref="E62:F62"/>
    <mergeCell ref="E469:F469"/>
    <mergeCell ref="C432:D432"/>
    <mergeCell ref="C433:D433"/>
    <mergeCell ref="C434:D434"/>
    <mergeCell ref="B439:C441"/>
    <mergeCell ref="E439:F439"/>
    <mergeCell ref="B93:C95"/>
    <mergeCell ref="E93:F93"/>
    <mergeCell ref="C206:D206"/>
    <mergeCell ref="C207:D207"/>
    <mergeCell ref="C208:D208"/>
    <mergeCell ref="B214:C216"/>
    <mergeCell ref="E214:F214"/>
    <mergeCell ref="C176:D176"/>
    <mergeCell ref="C177:D177"/>
    <mergeCell ref="C178:D178"/>
    <mergeCell ref="B183:C185"/>
    <mergeCell ref="E183:F183"/>
    <mergeCell ref="C268:D268"/>
    <mergeCell ref="C269:D269"/>
    <mergeCell ref="C270:D270"/>
    <mergeCell ref="B2:C4"/>
    <mergeCell ref="E2:F2"/>
    <mergeCell ref="E5:F8"/>
    <mergeCell ref="C25:D25"/>
    <mergeCell ref="B32:C34"/>
    <mergeCell ref="C146:D146"/>
    <mergeCell ref="C147:D147"/>
    <mergeCell ref="C148:D148"/>
    <mergeCell ref="B153:C155"/>
    <mergeCell ref="E153:F153"/>
    <mergeCell ref="C116:D116"/>
    <mergeCell ref="C117:D117"/>
    <mergeCell ref="C118:D118"/>
    <mergeCell ref="B123:C125"/>
    <mergeCell ref="E123:F123"/>
    <mergeCell ref="E32:F32"/>
    <mergeCell ref="E35:F38"/>
    <mergeCell ref="C26:D26"/>
    <mergeCell ref="C27:D27"/>
    <mergeCell ref="C55:D55"/>
    <mergeCell ref="C56:D56"/>
    <mergeCell ref="C85:D85"/>
    <mergeCell ref="C86:D86"/>
    <mergeCell ref="C87:D87"/>
    <mergeCell ref="B275:C277"/>
    <mergeCell ref="E275:F275"/>
    <mergeCell ref="C237:D237"/>
    <mergeCell ref="C238:D238"/>
    <mergeCell ref="C239:D239"/>
    <mergeCell ref="B245:C247"/>
    <mergeCell ref="E245:F245"/>
    <mergeCell ref="C298:D298"/>
    <mergeCell ref="C299:D299"/>
    <mergeCell ref="C300:D300"/>
    <mergeCell ref="B305:C307"/>
    <mergeCell ref="E305:F305"/>
    <mergeCell ref="B348:C350"/>
    <mergeCell ref="E348:F348"/>
    <mergeCell ref="C402:D402"/>
    <mergeCell ref="C403:D403"/>
    <mergeCell ref="B409:C411"/>
    <mergeCell ref="E409:F409"/>
    <mergeCell ref="C341:D341"/>
    <mergeCell ref="C342:D342"/>
    <mergeCell ref="C343:D343"/>
    <mergeCell ref="C371:D371"/>
    <mergeCell ref="C372:D372"/>
    <mergeCell ref="C373:D373"/>
    <mergeCell ref="B378:C380"/>
    <mergeCell ref="E378:F378"/>
    <mergeCell ref="C401:D401"/>
    <mergeCell ref="B808:C811"/>
    <mergeCell ref="E808:F808"/>
    <mergeCell ref="C832:D832"/>
    <mergeCell ref="C833:D833"/>
    <mergeCell ref="C834:D834"/>
    <mergeCell ref="A839:C842"/>
    <mergeCell ref="D839:G839"/>
    <mergeCell ref="E840:F840"/>
    <mergeCell ref="E841:F841"/>
    <mergeCell ref="E842:F842"/>
    <mergeCell ref="E843:G845"/>
    <mergeCell ref="B871:C873"/>
    <mergeCell ref="E871:F871"/>
    <mergeCell ref="C894:D894"/>
    <mergeCell ref="C895:D895"/>
    <mergeCell ref="C896:D896"/>
    <mergeCell ref="B1130:C1132"/>
    <mergeCell ref="E1130:F1130"/>
    <mergeCell ref="C1153:D1153"/>
    <mergeCell ref="A902:C905"/>
    <mergeCell ref="D902:G902"/>
    <mergeCell ref="E903:F903"/>
    <mergeCell ref="E904:F904"/>
    <mergeCell ref="E905:F905"/>
    <mergeCell ref="A934:C937"/>
    <mergeCell ref="D934:G934"/>
    <mergeCell ref="E935:F935"/>
    <mergeCell ref="E936:F936"/>
    <mergeCell ref="E937:F937"/>
    <mergeCell ref="C1023:D1023"/>
    <mergeCell ref="A966:C969"/>
    <mergeCell ref="D966:G966"/>
    <mergeCell ref="E967:F967"/>
    <mergeCell ref="E968:F968"/>
    <mergeCell ref="C1215:D1215"/>
    <mergeCell ref="C1216:D1216"/>
    <mergeCell ref="C1217:D1217"/>
    <mergeCell ref="C1154:D1154"/>
    <mergeCell ref="C1155:D1155"/>
    <mergeCell ref="A1160:C1163"/>
    <mergeCell ref="D1160:G1160"/>
    <mergeCell ref="E1161:F1161"/>
    <mergeCell ref="E1162:F1162"/>
    <mergeCell ref="E1163:F1163"/>
    <mergeCell ref="B1192:C1194"/>
    <mergeCell ref="E1192:F1192"/>
  </mergeCells>
  <dataValidations disablePrompts="1" count="1">
    <dataValidation type="textLength" errorStyle="warning" allowBlank="1" showErrorMessage="1" errorTitle="Tipo de unidad" error="Escriba el tipo de unidad (bruto, cajas, docenas, paquetes, fajos, etc.) al que se refiere el precio unitario._x000a_" promptTitle="Tipo de unidad" sqref="A28 A58 A88 A119 A149 A179 A209 A240 A271 A301 A344 A374 A404 A435 A465 A495 A525 A556 A586 A616 A650 A681 A699 A711 A742 A773 A804 A835 A866 A897 A929 A961 A993 A1024 A1056 A1088 A1106:A1107 A1125 A1156 A1187 A1218 A1249 A1280 A1310 A1341 A1371 A1402 A1425 A1455" xr:uid="{9F1F9C1B-1CEE-4B7E-AA6D-DADFAA729AB5}">
      <formula1>0</formula1>
      <formula2>256</formula2>
    </dataValidation>
  </dataValidations>
  <pageMargins left="0.7" right="0.7" top="0.75" bottom="0.75" header="0.3" footer="0.3"/>
  <pageSetup scale="1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F37D7-AFFF-49C8-B0A5-24F5CE2CC19C}">
  <dimension ref="A3:G116"/>
  <sheetViews>
    <sheetView workbookViewId="0">
      <selection activeCell="E16" sqref="E16"/>
    </sheetView>
  </sheetViews>
  <sheetFormatPr baseColWidth="10" defaultRowHeight="14.4" x14ac:dyDescent="0.3"/>
  <cols>
    <col min="1" max="1" width="23.21875" customWidth="1"/>
    <col min="2" max="2" width="19.109375" customWidth="1"/>
    <col min="3" max="3" width="48.77734375" customWidth="1"/>
    <col min="4" max="4" width="28" customWidth="1"/>
    <col min="5" max="5" width="15.5546875" customWidth="1"/>
    <col min="6" max="6" width="17.21875" customWidth="1"/>
    <col min="7" max="7" width="24.109375" customWidth="1"/>
  </cols>
  <sheetData>
    <row r="3" spans="1:7" ht="21" x14ac:dyDescent="0.4">
      <c r="A3" s="55"/>
      <c r="B3" s="271" t="s">
        <v>38</v>
      </c>
      <c r="C3" s="272"/>
      <c r="D3" s="277" t="s">
        <v>37</v>
      </c>
      <c r="E3" s="278"/>
      <c r="F3" s="278"/>
      <c r="G3" s="279"/>
    </row>
    <row r="4" spans="1:7" ht="21" x14ac:dyDescent="0.4">
      <c r="A4" s="53"/>
      <c r="B4" s="273"/>
      <c r="C4" s="274"/>
      <c r="D4" s="280" t="s">
        <v>36</v>
      </c>
      <c r="E4" s="281"/>
      <c r="F4" s="282" t="s">
        <v>650</v>
      </c>
      <c r="G4" s="283"/>
    </row>
    <row r="5" spans="1:7" ht="21" x14ac:dyDescent="0.4">
      <c r="A5" s="53"/>
      <c r="B5" s="273"/>
      <c r="C5" s="274"/>
      <c r="D5" s="280" t="s">
        <v>118</v>
      </c>
      <c r="E5" s="281"/>
      <c r="F5" s="284">
        <v>23</v>
      </c>
      <c r="G5" s="283"/>
    </row>
    <row r="6" spans="1:7" ht="21" x14ac:dyDescent="0.4">
      <c r="A6" s="49"/>
      <c r="B6" s="275"/>
      <c r="C6" s="276"/>
      <c r="D6" s="285" t="s">
        <v>50</v>
      </c>
      <c r="E6" s="286"/>
      <c r="F6" s="287" t="s">
        <v>665</v>
      </c>
      <c r="G6" s="288"/>
    </row>
    <row r="7" spans="1:7" ht="20.399999999999999" x14ac:dyDescent="0.35">
      <c r="A7" s="39" t="s">
        <v>48</v>
      </c>
      <c r="B7" s="43" t="s">
        <v>47</v>
      </c>
      <c r="C7" s="42"/>
      <c r="D7" s="42"/>
      <c r="E7" s="289" t="s">
        <v>651</v>
      </c>
      <c r="F7" s="289"/>
      <c r="G7" s="290"/>
    </row>
    <row r="8" spans="1:7" ht="20.399999999999999" x14ac:dyDescent="0.35">
      <c r="A8" s="39" t="s">
        <v>30</v>
      </c>
      <c r="B8" s="291"/>
      <c r="C8" s="292"/>
      <c r="D8" s="292"/>
      <c r="E8" s="292"/>
      <c r="F8" s="292"/>
      <c r="G8" s="293"/>
    </row>
    <row r="9" spans="1:7" ht="20.399999999999999" x14ac:dyDescent="0.35">
      <c r="A9" s="39" t="s">
        <v>46</v>
      </c>
      <c r="B9" s="291" t="s">
        <v>661</v>
      </c>
      <c r="C9" s="292"/>
      <c r="D9" s="292"/>
      <c r="E9" s="292"/>
      <c r="F9" s="292"/>
      <c r="G9" s="293"/>
    </row>
    <row r="10" spans="1:7" ht="20.399999999999999" x14ac:dyDescent="0.35">
      <c r="A10" s="39" t="s">
        <v>28</v>
      </c>
      <c r="B10" s="291" t="s">
        <v>44</v>
      </c>
      <c r="C10" s="292"/>
      <c r="D10" s="292"/>
      <c r="E10" s="292"/>
      <c r="F10" s="292"/>
      <c r="G10" s="293"/>
    </row>
    <row r="11" spans="1:7" ht="30" x14ac:dyDescent="0.3">
      <c r="A11" s="34" t="s">
        <v>26</v>
      </c>
      <c r="B11" s="34" t="s">
        <v>25</v>
      </c>
      <c r="C11" s="34" t="s">
        <v>24</v>
      </c>
      <c r="D11" s="34" t="s">
        <v>43</v>
      </c>
      <c r="E11" s="34" t="s">
        <v>42</v>
      </c>
      <c r="F11" s="34" t="s">
        <v>22</v>
      </c>
      <c r="G11" s="34" t="s">
        <v>21</v>
      </c>
    </row>
    <row r="12" spans="1:7" ht="46.8" x14ac:dyDescent="0.3">
      <c r="A12" s="33">
        <v>5</v>
      </c>
      <c r="B12" s="32" t="s">
        <v>53</v>
      </c>
      <c r="C12" s="32" t="s">
        <v>652</v>
      </c>
      <c r="D12" s="171"/>
      <c r="E12" s="75">
        <v>2978.13</v>
      </c>
      <c r="F12" s="172">
        <f t="shared" ref="F12:F21" si="0">A12*E12</f>
        <v>14890.650000000001</v>
      </c>
      <c r="G12" s="128"/>
    </row>
    <row r="13" spans="1:7" ht="31.2" x14ac:dyDescent="0.3">
      <c r="A13" s="29">
        <v>5</v>
      </c>
      <c r="B13" s="25" t="s">
        <v>53</v>
      </c>
      <c r="C13" s="25" t="s">
        <v>653</v>
      </c>
      <c r="D13" s="72"/>
      <c r="E13" s="71">
        <v>460</v>
      </c>
      <c r="F13" s="120">
        <f t="shared" si="0"/>
        <v>2300</v>
      </c>
      <c r="G13" s="70"/>
    </row>
    <row r="14" spans="1:7" ht="31.2" x14ac:dyDescent="0.3">
      <c r="A14" s="29">
        <v>5</v>
      </c>
      <c r="B14" s="25" t="s">
        <v>53</v>
      </c>
      <c r="C14" s="25" t="s">
        <v>654</v>
      </c>
      <c r="D14" s="72"/>
      <c r="E14" s="71">
        <v>17</v>
      </c>
      <c r="F14" s="120">
        <f t="shared" si="0"/>
        <v>85</v>
      </c>
      <c r="G14" s="70"/>
    </row>
    <row r="15" spans="1:7" ht="78" x14ac:dyDescent="0.3">
      <c r="A15" s="29">
        <v>5</v>
      </c>
      <c r="B15" s="25" t="s">
        <v>53</v>
      </c>
      <c r="C15" s="25" t="s">
        <v>655</v>
      </c>
      <c r="D15" s="72"/>
      <c r="E15" s="71">
        <v>245.6</v>
      </c>
      <c r="F15" s="120">
        <f t="shared" si="0"/>
        <v>1228</v>
      </c>
      <c r="G15" s="70"/>
    </row>
    <row r="16" spans="1:7" ht="15.6" x14ac:dyDescent="0.3">
      <c r="A16" s="26"/>
      <c r="B16" s="25"/>
      <c r="C16" s="25"/>
      <c r="D16" s="72"/>
      <c r="E16" s="71"/>
      <c r="F16" s="120">
        <f t="shared" si="0"/>
        <v>0</v>
      </c>
      <c r="G16" s="70"/>
    </row>
    <row r="17" spans="1:7" ht="15.6" x14ac:dyDescent="0.3">
      <c r="A17" s="26"/>
      <c r="B17" s="25"/>
      <c r="C17" s="25"/>
      <c r="D17" s="72"/>
      <c r="E17" s="71"/>
      <c r="F17" s="120">
        <f t="shared" si="0"/>
        <v>0</v>
      </c>
      <c r="G17" s="70"/>
    </row>
    <row r="18" spans="1:7" ht="15.6" x14ac:dyDescent="0.3">
      <c r="A18" s="26"/>
      <c r="B18" s="25"/>
      <c r="C18" s="25"/>
      <c r="D18" s="72"/>
      <c r="E18" s="71"/>
      <c r="F18" s="120">
        <f t="shared" si="0"/>
        <v>0</v>
      </c>
      <c r="G18" s="70"/>
    </row>
    <row r="19" spans="1:7" ht="15.6" x14ac:dyDescent="0.3">
      <c r="A19" s="26"/>
      <c r="B19" s="25"/>
      <c r="C19" s="25"/>
      <c r="D19" s="72"/>
      <c r="E19" s="71"/>
      <c r="F19" s="120">
        <f t="shared" si="0"/>
        <v>0</v>
      </c>
      <c r="G19" s="70"/>
    </row>
    <row r="20" spans="1:7" ht="15.6" x14ac:dyDescent="0.3">
      <c r="A20" s="26"/>
      <c r="B20" s="25"/>
      <c r="C20" s="25"/>
      <c r="D20" s="72"/>
      <c r="E20" s="71"/>
      <c r="F20" s="120">
        <f t="shared" si="0"/>
        <v>0</v>
      </c>
      <c r="G20" s="70"/>
    </row>
    <row r="21" spans="1:7" ht="15.6" x14ac:dyDescent="0.3">
      <c r="A21" s="21"/>
      <c r="B21" s="20"/>
      <c r="C21" s="20"/>
      <c r="D21" s="69"/>
      <c r="E21" s="68"/>
      <c r="F21" s="174">
        <f t="shared" si="0"/>
        <v>0</v>
      </c>
      <c r="G21" s="67"/>
    </row>
    <row r="22" spans="1:7" ht="17.399999999999999" x14ac:dyDescent="0.3">
      <c r="A22" s="17"/>
      <c r="B22" s="16"/>
      <c r="C22" s="294" t="s">
        <v>8</v>
      </c>
      <c r="D22" s="294"/>
      <c r="E22" s="66"/>
      <c r="F22" s="105">
        <f>SUM(F12:F20)</f>
        <v>18503.650000000001</v>
      </c>
      <c r="G22" s="64"/>
    </row>
    <row r="23" spans="1:7" ht="17.399999999999999" x14ac:dyDescent="0.3">
      <c r="A23" s="11"/>
      <c r="B23" s="10"/>
      <c r="C23" s="270" t="s">
        <v>7</v>
      </c>
      <c r="D23" s="270"/>
      <c r="E23" s="62"/>
      <c r="F23" s="104">
        <f>F22*0.16</f>
        <v>2960.5840000000003</v>
      </c>
      <c r="G23" s="60"/>
    </row>
    <row r="24" spans="1:7" ht="17.399999999999999" x14ac:dyDescent="0.3">
      <c r="A24" s="11"/>
      <c r="B24" s="10"/>
      <c r="C24" s="295" t="s">
        <v>6</v>
      </c>
      <c r="D24" s="295"/>
      <c r="E24" s="58"/>
      <c r="F24" s="103">
        <f>F22+F23</f>
        <v>21464.234</v>
      </c>
      <c r="G24" s="56"/>
    </row>
    <row r="25" spans="1:7" ht="15.6" x14ac:dyDescent="0.3">
      <c r="A25" s="296" t="s">
        <v>5</v>
      </c>
      <c r="B25" s="297"/>
      <c r="C25" s="5" t="s">
        <v>4</v>
      </c>
      <c r="D25" s="5"/>
      <c r="E25" s="297" t="s">
        <v>3</v>
      </c>
      <c r="F25" s="297"/>
      <c r="G25" s="298"/>
    </row>
    <row r="26" spans="1:7" ht="15.6" x14ac:dyDescent="0.3">
      <c r="A26" s="299" t="s">
        <v>408</v>
      </c>
      <c r="B26" s="300"/>
      <c r="C26" s="2" t="s">
        <v>39</v>
      </c>
      <c r="D26" s="2"/>
      <c r="E26" s="300" t="s">
        <v>0</v>
      </c>
      <c r="F26" s="300"/>
      <c r="G26" s="301"/>
    </row>
    <row r="30" spans="1:7" ht="24.6" x14ac:dyDescent="0.4">
      <c r="A30" s="55"/>
      <c r="B30" s="271" t="s">
        <v>38</v>
      </c>
      <c r="C30" s="272"/>
      <c r="D30" s="305" t="s">
        <v>37</v>
      </c>
      <c r="E30" s="306"/>
      <c r="F30" s="306"/>
      <c r="G30" s="307"/>
    </row>
    <row r="31" spans="1:7" ht="21" x14ac:dyDescent="0.4">
      <c r="A31" s="53"/>
      <c r="B31" s="273"/>
      <c r="C31" s="274"/>
      <c r="D31" s="51" t="s">
        <v>36</v>
      </c>
      <c r="F31" s="282" t="s">
        <v>593</v>
      </c>
      <c r="G31" s="283"/>
    </row>
    <row r="32" spans="1:7" ht="30" x14ac:dyDescent="0.4">
      <c r="A32" s="49"/>
      <c r="B32" s="273"/>
      <c r="C32" s="274"/>
      <c r="D32" s="207" t="s">
        <v>34</v>
      </c>
      <c r="F32" s="287" t="s">
        <v>666</v>
      </c>
      <c r="G32" s="350"/>
    </row>
    <row r="33" spans="1:7" ht="20.399999999999999" x14ac:dyDescent="0.35">
      <c r="A33" s="39" t="s">
        <v>32</v>
      </c>
      <c r="B33" s="291" t="s">
        <v>47</v>
      </c>
      <c r="C33" s="292"/>
      <c r="D33" s="292"/>
      <c r="E33" s="292"/>
      <c r="F33" s="292"/>
      <c r="G33" s="293"/>
    </row>
    <row r="34" spans="1:7" ht="20.399999999999999" x14ac:dyDescent="0.35">
      <c r="A34" s="39" t="s">
        <v>30</v>
      </c>
      <c r="B34" s="291" t="s">
        <v>594</v>
      </c>
      <c r="C34" s="292"/>
      <c r="D34" s="292"/>
      <c r="E34" s="292"/>
      <c r="F34" s="292"/>
      <c r="G34" s="293"/>
    </row>
    <row r="35" spans="1:7" ht="20.399999999999999" x14ac:dyDescent="0.35">
      <c r="A35" s="39" t="s">
        <v>73</v>
      </c>
      <c r="B35" s="291" t="s">
        <v>592</v>
      </c>
      <c r="C35" s="292"/>
      <c r="D35" s="292"/>
      <c r="E35" s="292"/>
      <c r="F35" s="292"/>
      <c r="G35" s="293"/>
    </row>
    <row r="36" spans="1:7" ht="20.399999999999999" x14ac:dyDescent="0.35">
      <c r="A36" s="39" t="s">
        <v>28</v>
      </c>
      <c r="B36" s="38" t="s">
        <v>77</v>
      </c>
      <c r="C36" s="37"/>
      <c r="D36" s="218"/>
      <c r="E36" s="216"/>
      <c r="F36" s="208"/>
      <c r="G36" s="209"/>
    </row>
    <row r="37" spans="1:7" ht="30" x14ac:dyDescent="0.3">
      <c r="A37" s="34" t="s">
        <v>26</v>
      </c>
      <c r="B37" s="34" t="s">
        <v>25</v>
      </c>
      <c r="C37" s="210" t="s">
        <v>24</v>
      </c>
      <c r="D37" s="34"/>
      <c r="E37" s="217" t="s">
        <v>23</v>
      </c>
      <c r="F37" s="34" t="s">
        <v>22</v>
      </c>
      <c r="G37" s="34" t="s">
        <v>21</v>
      </c>
    </row>
    <row r="38" spans="1:7" ht="15.6" x14ac:dyDescent="0.3">
      <c r="A38" s="33"/>
      <c r="B38" s="32"/>
      <c r="C38" s="211"/>
      <c r="D38" s="219"/>
      <c r="E38" s="96"/>
      <c r="F38" s="96"/>
      <c r="G38" s="196"/>
    </row>
    <row r="39" spans="1:7" ht="31.2" x14ac:dyDescent="0.3">
      <c r="A39" s="29">
        <v>6</v>
      </c>
      <c r="B39" s="25" t="s">
        <v>10</v>
      </c>
      <c r="C39" s="212" t="s">
        <v>102</v>
      </c>
      <c r="D39" s="219"/>
      <c r="E39" s="262">
        <v>1406</v>
      </c>
      <c r="F39" s="262">
        <f>+A39*E39</f>
        <v>8436</v>
      </c>
      <c r="G39" s="196"/>
    </row>
    <row r="40" spans="1:7" ht="15.6" x14ac:dyDescent="0.3">
      <c r="A40" s="29"/>
      <c r="B40" s="25"/>
      <c r="C40" s="212"/>
      <c r="D40" s="94"/>
      <c r="E40" s="262"/>
      <c r="F40" s="264"/>
      <c r="G40" s="196"/>
    </row>
    <row r="41" spans="1:7" ht="15.6" x14ac:dyDescent="0.3">
      <c r="A41" s="29"/>
      <c r="B41" s="27"/>
      <c r="C41" s="213"/>
      <c r="D41" s="94"/>
      <c r="E41" s="262"/>
      <c r="F41" s="264"/>
      <c r="G41" s="196"/>
    </row>
    <row r="42" spans="1:7" ht="15.6" x14ac:dyDescent="0.3">
      <c r="A42" s="29"/>
      <c r="B42" s="27"/>
      <c r="C42" s="214"/>
      <c r="D42" s="94"/>
      <c r="E42" s="262"/>
      <c r="F42" s="264"/>
      <c r="G42" s="196"/>
    </row>
    <row r="43" spans="1:7" ht="15.6" x14ac:dyDescent="0.3">
      <c r="A43" s="29"/>
      <c r="B43" s="27"/>
      <c r="C43" s="214"/>
      <c r="D43" s="94"/>
      <c r="E43" s="262"/>
      <c r="F43" s="264"/>
      <c r="G43" s="196"/>
    </row>
    <row r="44" spans="1:7" ht="15.6" x14ac:dyDescent="0.3">
      <c r="A44" s="29"/>
      <c r="B44" s="27"/>
      <c r="C44" s="214"/>
      <c r="D44" s="94"/>
      <c r="E44" s="263"/>
      <c r="F44" s="264"/>
      <c r="G44" s="196"/>
    </row>
    <row r="45" spans="1:7" ht="15.6" x14ac:dyDescent="0.3">
      <c r="A45" s="26"/>
      <c r="B45" s="27"/>
      <c r="C45" s="213"/>
      <c r="D45" s="94"/>
      <c r="E45" s="262"/>
      <c r="F45" s="264"/>
      <c r="G45" s="196"/>
    </row>
    <row r="46" spans="1:7" ht="15.6" x14ac:dyDescent="0.3">
      <c r="A46" s="26"/>
      <c r="B46" s="27"/>
      <c r="C46" s="213"/>
      <c r="D46" s="94"/>
      <c r="E46" s="262"/>
      <c r="F46" s="264"/>
      <c r="G46" s="196"/>
    </row>
    <row r="47" spans="1:7" ht="15.6" x14ac:dyDescent="0.3">
      <c r="A47" s="26"/>
      <c r="B47" s="25"/>
      <c r="C47" s="212"/>
      <c r="D47" s="25"/>
      <c r="E47" s="262"/>
      <c r="F47" s="264"/>
      <c r="G47" s="196"/>
    </row>
    <row r="48" spans="1:7" ht="15.6" x14ac:dyDescent="0.3">
      <c r="A48" s="26"/>
      <c r="B48" s="25"/>
      <c r="C48" s="212"/>
      <c r="D48" s="25"/>
      <c r="E48" s="262"/>
      <c r="F48" s="264"/>
      <c r="G48" s="196"/>
    </row>
    <row r="49" spans="1:7" ht="15.6" x14ac:dyDescent="0.3">
      <c r="A49" s="26"/>
      <c r="B49" s="25"/>
      <c r="C49" s="212"/>
      <c r="D49" s="25"/>
      <c r="E49" s="262"/>
      <c r="F49" s="264"/>
      <c r="G49" s="196"/>
    </row>
    <row r="50" spans="1:7" ht="15.6" x14ac:dyDescent="0.3">
      <c r="A50" s="26"/>
      <c r="B50" s="25"/>
      <c r="C50" s="212"/>
      <c r="D50" s="25"/>
      <c r="E50" s="262"/>
      <c r="F50" s="264"/>
      <c r="G50" s="196"/>
    </row>
    <row r="51" spans="1:7" ht="15.6" x14ac:dyDescent="0.3">
      <c r="A51" s="26"/>
      <c r="B51" s="25"/>
      <c r="C51" s="212"/>
      <c r="D51" s="25"/>
      <c r="E51" s="262"/>
      <c r="F51" s="264"/>
      <c r="G51" s="196"/>
    </row>
    <row r="52" spans="1:7" ht="15.6" x14ac:dyDescent="0.3">
      <c r="A52" s="21"/>
      <c r="B52" s="20"/>
      <c r="C52" s="215"/>
      <c r="D52" s="20"/>
      <c r="E52" s="255"/>
      <c r="F52" s="265"/>
      <c r="G52" s="196"/>
    </row>
    <row r="53" spans="1:7" ht="17.399999999999999" x14ac:dyDescent="0.3">
      <c r="A53" s="17"/>
      <c r="B53" s="16"/>
      <c r="C53" s="356" t="s">
        <v>8</v>
      </c>
      <c r="D53" s="356"/>
      <c r="E53" s="356"/>
      <c r="F53" s="266">
        <f>+SUM(F38:F51)</f>
        <v>8436</v>
      </c>
      <c r="G53" s="196"/>
    </row>
    <row r="54" spans="1:7" ht="17.399999999999999" x14ac:dyDescent="0.3">
      <c r="A54" s="11"/>
      <c r="B54" s="10"/>
      <c r="C54" s="356" t="s">
        <v>7</v>
      </c>
      <c r="D54" s="356"/>
      <c r="E54" s="356"/>
      <c r="F54" s="266">
        <f>+F53*0.16</f>
        <v>1349.76</v>
      </c>
      <c r="G54" s="196"/>
    </row>
    <row r="55" spans="1:7" ht="17.399999999999999" x14ac:dyDescent="0.3">
      <c r="A55" s="11"/>
      <c r="B55" s="10"/>
      <c r="C55" s="356" t="s">
        <v>6</v>
      </c>
      <c r="D55" s="356"/>
      <c r="E55" s="356"/>
      <c r="F55" s="266">
        <f>+F53+F54</f>
        <v>9785.76</v>
      </c>
      <c r="G55" s="196"/>
    </row>
    <row r="56" spans="1:7" ht="15.6" x14ac:dyDescent="0.3">
      <c r="A56" s="6" t="s">
        <v>5</v>
      </c>
      <c r="B56" s="5"/>
      <c r="C56" s="5" t="s">
        <v>4</v>
      </c>
      <c r="D56" s="5"/>
      <c r="E56" s="5"/>
      <c r="F56" s="4" t="s">
        <v>3</v>
      </c>
      <c r="G56" s="196"/>
    </row>
    <row r="57" spans="1:7" ht="15.6" x14ac:dyDescent="0.3">
      <c r="A57" s="3" t="s">
        <v>2</v>
      </c>
      <c r="B57" s="2"/>
      <c r="C57" s="2" t="s">
        <v>1</v>
      </c>
      <c r="D57" s="2"/>
      <c r="E57" s="2"/>
      <c r="F57" s="1" t="s">
        <v>70</v>
      </c>
      <c r="G57" s="202"/>
    </row>
    <row r="60" spans="1:7" ht="24.6" x14ac:dyDescent="0.3">
      <c r="A60" s="271" t="s">
        <v>38</v>
      </c>
      <c r="B60" s="302"/>
      <c r="C60" s="272"/>
      <c r="D60" s="305" t="s">
        <v>37</v>
      </c>
      <c r="E60" s="306"/>
      <c r="F60" s="306"/>
      <c r="G60" s="307"/>
    </row>
    <row r="61" spans="1:7" ht="21" x14ac:dyDescent="0.4">
      <c r="A61" s="273"/>
      <c r="B61" s="303"/>
      <c r="C61" s="274"/>
      <c r="D61" s="51" t="s">
        <v>36</v>
      </c>
      <c r="E61" s="308" t="s">
        <v>664</v>
      </c>
      <c r="F61" s="282"/>
      <c r="G61" s="50"/>
    </row>
    <row r="62" spans="1:7" ht="21" x14ac:dyDescent="0.4">
      <c r="A62" s="273"/>
      <c r="B62" s="303"/>
      <c r="C62" s="274"/>
      <c r="D62" s="51" t="s">
        <v>51</v>
      </c>
      <c r="E62" s="284">
        <v>24</v>
      </c>
      <c r="F62" s="282"/>
      <c r="G62" s="50"/>
    </row>
    <row r="63" spans="1:7" ht="30" x14ac:dyDescent="0.3">
      <c r="A63" s="275"/>
      <c r="B63" s="304"/>
      <c r="C63" s="276"/>
      <c r="D63" s="47" t="s">
        <v>50</v>
      </c>
      <c r="E63" s="287" t="s">
        <v>667</v>
      </c>
      <c r="F63" s="287"/>
      <c r="G63" s="87"/>
    </row>
    <row r="64" spans="1:7" ht="20.399999999999999" x14ac:dyDescent="0.35">
      <c r="A64" s="39" t="s">
        <v>48</v>
      </c>
      <c r="B64" s="43" t="s">
        <v>0</v>
      </c>
      <c r="C64" s="42"/>
      <c r="D64" s="42"/>
      <c r="E64" s="86"/>
      <c r="F64" s="85"/>
      <c r="G64" s="84"/>
    </row>
    <row r="65" spans="1:7" ht="20.399999999999999" x14ac:dyDescent="0.35">
      <c r="A65" s="39" t="s">
        <v>30</v>
      </c>
      <c r="B65" s="38" t="s">
        <v>662</v>
      </c>
      <c r="C65" s="37"/>
      <c r="D65" s="37"/>
      <c r="E65" s="83"/>
      <c r="F65" s="82"/>
      <c r="G65" s="81"/>
    </row>
    <row r="66" spans="1:7" ht="20.399999999999999" x14ac:dyDescent="0.35">
      <c r="A66" s="39" t="s">
        <v>46</v>
      </c>
      <c r="B66" s="38" t="s">
        <v>663</v>
      </c>
      <c r="C66" s="37"/>
      <c r="D66" s="37"/>
      <c r="E66" s="80"/>
      <c r="F66" s="79"/>
      <c r="G66" s="78"/>
    </row>
    <row r="67" spans="1:7" ht="20.399999999999999" x14ac:dyDescent="0.35">
      <c r="A67" s="39" t="s">
        <v>28</v>
      </c>
      <c r="B67" s="38" t="s">
        <v>72</v>
      </c>
      <c r="C67" s="37"/>
      <c r="D67" s="37"/>
      <c r="E67" s="37"/>
      <c r="F67" s="37"/>
      <c r="G67" s="77"/>
    </row>
    <row r="68" spans="1:7" ht="30" x14ac:dyDescent="0.3">
      <c r="A68" s="34" t="s">
        <v>26</v>
      </c>
      <c r="B68" s="34" t="s">
        <v>25</v>
      </c>
      <c r="C68" s="34" t="s">
        <v>24</v>
      </c>
      <c r="D68" s="34" t="s">
        <v>43</v>
      </c>
      <c r="E68" s="34" t="s">
        <v>42</v>
      </c>
      <c r="F68" s="34" t="s">
        <v>22</v>
      </c>
      <c r="G68" s="34" t="s">
        <v>21</v>
      </c>
    </row>
    <row r="69" spans="1:7" ht="15.6" x14ac:dyDescent="0.3">
      <c r="A69" s="33">
        <v>40</v>
      </c>
      <c r="B69" s="32" t="s">
        <v>10</v>
      </c>
      <c r="C69" s="32" t="s">
        <v>377</v>
      </c>
      <c r="D69" s="76"/>
      <c r="E69" s="178">
        <v>120</v>
      </c>
      <c r="F69" s="178">
        <f t="shared" ref="F69:F83" si="1">A69*E69</f>
        <v>4800</v>
      </c>
      <c r="G69" s="74"/>
    </row>
    <row r="70" spans="1:7" ht="15.6" x14ac:dyDescent="0.3">
      <c r="A70" s="29">
        <v>20</v>
      </c>
      <c r="B70" s="25" t="s">
        <v>10</v>
      </c>
      <c r="C70" s="25" t="s">
        <v>71</v>
      </c>
      <c r="D70" s="73"/>
      <c r="E70" s="179">
        <v>787.07</v>
      </c>
      <c r="F70" s="179">
        <f t="shared" si="1"/>
        <v>15741.400000000001</v>
      </c>
      <c r="G70" s="74"/>
    </row>
    <row r="71" spans="1:7" ht="15.6" x14ac:dyDescent="0.3">
      <c r="A71" s="29"/>
      <c r="B71" s="25"/>
      <c r="C71" s="25"/>
      <c r="D71" s="73"/>
      <c r="E71" s="179"/>
      <c r="F71" s="179">
        <f t="shared" si="1"/>
        <v>0</v>
      </c>
      <c r="G71" s="74"/>
    </row>
    <row r="72" spans="1:7" ht="15.6" x14ac:dyDescent="0.3">
      <c r="A72" s="29"/>
      <c r="B72" s="27"/>
      <c r="C72" s="27"/>
      <c r="D72" s="73"/>
      <c r="E72" s="179"/>
      <c r="F72" s="179">
        <f t="shared" si="1"/>
        <v>0</v>
      </c>
      <c r="G72" s="70"/>
    </row>
    <row r="73" spans="1:7" ht="15.6" x14ac:dyDescent="0.3">
      <c r="A73" s="29"/>
      <c r="B73" s="27"/>
      <c r="C73" s="27"/>
      <c r="D73" s="73"/>
      <c r="E73" s="179"/>
      <c r="F73" s="179">
        <f t="shared" si="1"/>
        <v>0</v>
      </c>
      <c r="G73" s="70"/>
    </row>
    <row r="74" spans="1:7" ht="15.6" x14ac:dyDescent="0.3">
      <c r="A74" s="29"/>
      <c r="B74" s="27"/>
      <c r="C74" s="27"/>
      <c r="D74" s="73"/>
      <c r="E74" s="179"/>
      <c r="F74" s="179">
        <f t="shared" si="1"/>
        <v>0</v>
      </c>
      <c r="G74" s="70"/>
    </row>
    <row r="75" spans="1:7" ht="15.6" x14ac:dyDescent="0.3">
      <c r="A75" s="29"/>
      <c r="B75" s="27"/>
      <c r="C75" s="27"/>
      <c r="D75" s="73"/>
      <c r="E75" s="179"/>
      <c r="F75" s="179">
        <f t="shared" si="1"/>
        <v>0</v>
      </c>
      <c r="G75" s="70"/>
    </row>
    <row r="76" spans="1:7" ht="15.6" x14ac:dyDescent="0.3">
      <c r="A76" s="26"/>
      <c r="B76" s="27"/>
      <c r="C76" s="27"/>
      <c r="D76" s="73"/>
      <c r="E76" s="179"/>
      <c r="F76" s="179">
        <f t="shared" si="1"/>
        <v>0</v>
      </c>
      <c r="G76" s="70"/>
    </row>
    <row r="77" spans="1:7" ht="15.6" x14ac:dyDescent="0.3">
      <c r="A77" s="26"/>
      <c r="B77" s="27"/>
      <c r="C77" s="27"/>
      <c r="D77" s="73"/>
      <c r="E77" s="179"/>
      <c r="F77" s="179">
        <f t="shared" si="1"/>
        <v>0</v>
      </c>
      <c r="G77" s="70"/>
    </row>
    <row r="78" spans="1:7" ht="15.6" x14ac:dyDescent="0.3">
      <c r="A78" s="26"/>
      <c r="B78" s="25"/>
      <c r="C78" s="27"/>
      <c r="D78" s="73"/>
      <c r="E78" s="179"/>
      <c r="F78" s="179">
        <f t="shared" si="1"/>
        <v>0</v>
      </c>
      <c r="G78" s="70"/>
    </row>
    <row r="79" spans="1:7" ht="15.6" x14ac:dyDescent="0.3">
      <c r="A79" s="26"/>
      <c r="B79" s="25"/>
      <c r="C79" s="25"/>
      <c r="D79" s="72"/>
      <c r="E79" s="179"/>
      <c r="F79" s="179">
        <f t="shared" si="1"/>
        <v>0</v>
      </c>
      <c r="G79" s="70"/>
    </row>
    <row r="80" spans="1:7" ht="15.6" x14ac:dyDescent="0.3">
      <c r="A80" s="26"/>
      <c r="B80" s="25"/>
      <c r="C80" s="25"/>
      <c r="D80" s="72"/>
      <c r="E80" s="179"/>
      <c r="F80" s="179">
        <f t="shared" si="1"/>
        <v>0</v>
      </c>
      <c r="G80" s="70"/>
    </row>
    <row r="81" spans="1:7" ht="15.6" x14ac:dyDescent="0.3">
      <c r="A81" s="26"/>
      <c r="B81" s="25"/>
      <c r="C81" s="25"/>
      <c r="D81" s="72"/>
      <c r="E81" s="179"/>
      <c r="F81" s="179">
        <f t="shared" si="1"/>
        <v>0</v>
      </c>
      <c r="G81" s="70"/>
    </row>
    <row r="82" spans="1:7" ht="15.6" x14ac:dyDescent="0.3">
      <c r="A82" s="26"/>
      <c r="B82" s="25"/>
      <c r="C82" s="25"/>
      <c r="D82" s="72"/>
      <c r="E82" s="179"/>
      <c r="F82" s="179">
        <f t="shared" si="1"/>
        <v>0</v>
      </c>
      <c r="G82" s="70"/>
    </row>
    <row r="83" spans="1:7" ht="15.6" x14ac:dyDescent="0.3">
      <c r="A83" s="21"/>
      <c r="B83" s="20"/>
      <c r="C83" s="20"/>
      <c r="D83" s="69"/>
      <c r="E83" s="180"/>
      <c r="F83" s="180">
        <f t="shared" si="1"/>
        <v>0</v>
      </c>
      <c r="G83" s="67"/>
    </row>
    <row r="84" spans="1:7" ht="17.399999999999999" x14ac:dyDescent="0.3">
      <c r="A84" s="17"/>
      <c r="B84" s="16"/>
      <c r="C84" s="9" t="s">
        <v>8</v>
      </c>
      <c r="D84" s="9"/>
      <c r="E84" s="181"/>
      <c r="F84" s="182">
        <f>SUM(F69:F82)</f>
        <v>20541.400000000001</v>
      </c>
      <c r="G84" s="64"/>
    </row>
    <row r="85" spans="1:7" ht="17.399999999999999" x14ac:dyDescent="0.3">
      <c r="A85" s="11"/>
      <c r="B85" s="10"/>
      <c r="C85" s="63" t="s">
        <v>7</v>
      </c>
      <c r="D85" s="63"/>
      <c r="E85" s="183"/>
      <c r="F85" s="184">
        <f>F84*0.16</f>
        <v>3286.6240000000003</v>
      </c>
      <c r="G85" s="60"/>
    </row>
    <row r="86" spans="1:7" ht="17.399999999999999" x14ac:dyDescent="0.3">
      <c r="A86" s="11"/>
      <c r="B86" s="10"/>
      <c r="C86" s="59" t="s">
        <v>6</v>
      </c>
      <c r="D86" s="59"/>
      <c r="E86" s="185"/>
      <c r="F86" s="186">
        <f>F84+F85</f>
        <v>23828.024000000001</v>
      </c>
      <c r="G86" s="56"/>
    </row>
    <row r="87" spans="1:7" ht="15.6" x14ac:dyDescent="0.3">
      <c r="A87" s="6" t="s">
        <v>5</v>
      </c>
      <c r="B87" s="5"/>
      <c r="C87" s="5" t="s">
        <v>4</v>
      </c>
      <c r="D87" s="5"/>
      <c r="E87" s="5" t="s">
        <v>3</v>
      </c>
      <c r="F87" s="5"/>
      <c r="G87" s="4"/>
    </row>
    <row r="88" spans="1:7" ht="15.6" x14ac:dyDescent="0.3">
      <c r="A88" s="3" t="s">
        <v>374</v>
      </c>
      <c r="B88" s="2"/>
      <c r="C88" s="2" t="s">
        <v>39</v>
      </c>
      <c r="D88" s="2"/>
      <c r="E88" s="2" t="s">
        <v>0</v>
      </c>
      <c r="F88" s="2"/>
      <c r="G88" s="1"/>
    </row>
    <row r="92" spans="1:7" ht="24.6" x14ac:dyDescent="0.3">
      <c r="A92" s="271" t="s">
        <v>38</v>
      </c>
      <c r="B92" s="302"/>
      <c r="C92" s="272"/>
      <c r="D92" s="305" t="s">
        <v>37</v>
      </c>
      <c r="E92" s="306"/>
      <c r="F92" s="306"/>
      <c r="G92" s="307"/>
    </row>
    <row r="93" spans="1:7" ht="21" x14ac:dyDescent="0.4">
      <c r="A93" s="273"/>
      <c r="B93" s="303"/>
      <c r="C93" s="274"/>
      <c r="D93" s="51" t="s">
        <v>36</v>
      </c>
      <c r="E93" s="308" t="s">
        <v>619</v>
      </c>
      <c r="F93" s="282"/>
      <c r="G93" s="50"/>
    </row>
    <row r="94" spans="1:7" ht="21" x14ac:dyDescent="0.4">
      <c r="A94" s="273"/>
      <c r="B94" s="303"/>
      <c r="C94" s="274"/>
      <c r="D94" s="51" t="s">
        <v>51</v>
      </c>
      <c r="E94" s="284">
        <v>22</v>
      </c>
      <c r="F94" s="282"/>
      <c r="G94" s="50"/>
    </row>
    <row r="95" spans="1:7" ht="30" x14ac:dyDescent="0.3">
      <c r="A95" s="275"/>
      <c r="B95" s="304"/>
      <c r="C95" s="276"/>
      <c r="D95" s="47" t="s">
        <v>50</v>
      </c>
      <c r="E95" s="287" t="s">
        <v>469</v>
      </c>
      <c r="F95" s="287"/>
      <c r="G95" s="87"/>
    </row>
    <row r="96" spans="1:7" ht="20.399999999999999" x14ac:dyDescent="0.35">
      <c r="A96" s="39" t="s">
        <v>48</v>
      </c>
      <c r="B96" s="43" t="s">
        <v>47</v>
      </c>
      <c r="C96" s="42"/>
      <c r="D96" s="42"/>
      <c r="E96" s="86"/>
      <c r="F96" s="85"/>
      <c r="G96" s="84"/>
    </row>
    <row r="97" spans="1:7" ht="20.399999999999999" x14ac:dyDescent="0.35">
      <c r="A97" s="39" t="s">
        <v>30</v>
      </c>
      <c r="B97" s="38" t="s">
        <v>626</v>
      </c>
      <c r="C97" s="37"/>
      <c r="D97" s="37"/>
      <c r="E97" s="83"/>
      <c r="F97" s="82"/>
      <c r="G97" s="81"/>
    </row>
    <row r="98" spans="1:7" ht="20.399999999999999" x14ac:dyDescent="0.35">
      <c r="A98" s="39" t="s">
        <v>46</v>
      </c>
      <c r="B98" s="38" t="s">
        <v>627</v>
      </c>
      <c r="C98" s="37"/>
      <c r="D98" s="37"/>
      <c r="E98" s="80"/>
      <c r="F98" s="79"/>
      <c r="G98" s="78"/>
    </row>
    <row r="99" spans="1:7" ht="20.399999999999999" x14ac:dyDescent="0.35">
      <c r="A99" s="39" t="s">
        <v>28</v>
      </c>
      <c r="B99" s="38" t="s">
        <v>198</v>
      </c>
      <c r="C99" s="37"/>
      <c r="D99" s="37"/>
      <c r="E99" s="37"/>
      <c r="F99" s="37"/>
      <c r="G99" s="77"/>
    </row>
    <row r="100" spans="1:7" ht="15" x14ac:dyDescent="0.3">
      <c r="A100" s="34" t="s">
        <v>26</v>
      </c>
      <c r="B100" s="34" t="s">
        <v>25</v>
      </c>
      <c r="C100" s="34" t="s">
        <v>24</v>
      </c>
      <c r="D100" s="34" t="s">
        <v>43</v>
      </c>
      <c r="E100" s="34" t="s">
        <v>42</v>
      </c>
      <c r="F100" s="34" t="s">
        <v>22</v>
      </c>
      <c r="G100" s="34" t="s">
        <v>21</v>
      </c>
    </row>
    <row r="101" spans="1:7" ht="15.6" x14ac:dyDescent="0.3">
      <c r="A101" s="33"/>
      <c r="B101" s="32"/>
      <c r="C101" s="32"/>
      <c r="D101" s="76"/>
      <c r="E101" s="246"/>
      <c r="F101" s="246">
        <f t="shared" ref="F101:F111" si="2">A101*E101</f>
        <v>0</v>
      </c>
      <c r="G101" s="74"/>
    </row>
    <row r="102" spans="1:7" ht="15.6" x14ac:dyDescent="0.3">
      <c r="A102" s="29">
        <v>15</v>
      </c>
      <c r="B102" s="25" t="s">
        <v>10</v>
      </c>
      <c r="C102" s="25" t="s">
        <v>470</v>
      </c>
      <c r="D102" s="73" t="s">
        <v>624</v>
      </c>
      <c r="E102" s="247">
        <v>35.99</v>
      </c>
      <c r="F102" s="247">
        <f t="shared" si="2"/>
        <v>539.85</v>
      </c>
      <c r="G102" s="74"/>
    </row>
    <row r="103" spans="1:7" ht="15.6" x14ac:dyDescent="0.3">
      <c r="A103" s="29">
        <v>15</v>
      </c>
      <c r="B103" s="25" t="s">
        <v>10</v>
      </c>
      <c r="C103" s="25" t="s">
        <v>471</v>
      </c>
      <c r="D103" s="73" t="s">
        <v>624</v>
      </c>
      <c r="E103" s="247">
        <v>40.450000000000003</v>
      </c>
      <c r="F103" s="247">
        <f t="shared" si="2"/>
        <v>606.75</v>
      </c>
      <c r="G103" s="74"/>
    </row>
    <row r="104" spans="1:7" ht="15.6" x14ac:dyDescent="0.3">
      <c r="A104" s="29">
        <v>10</v>
      </c>
      <c r="B104" s="27" t="s">
        <v>10</v>
      </c>
      <c r="C104" s="27" t="s">
        <v>472</v>
      </c>
      <c r="D104" s="73" t="s">
        <v>624</v>
      </c>
      <c r="E104" s="247">
        <v>27</v>
      </c>
      <c r="F104" s="247">
        <f t="shared" si="2"/>
        <v>270</v>
      </c>
      <c r="G104" s="70"/>
    </row>
    <row r="105" spans="1:7" ht="15.6" x14ac:dyDescent="0.3">
      <c r="A105" s="29">
        <v>10</v>
      </c>
      <c r="B105" s="27" t="s">
        <v>10</v>
      </c>
      <c r="C105" s="27" t="s">
        <v>473</v>
      </c>
      <c r="D105" s="73" t="s">
        <v>624</v>
      </c>
      <c r="E105" s="247">
        <v>49.55</v>
      </c>
      <c r="F105" s="247">
        <f t="shared" si="2"/>
        <v>495.5</v>
      </c>
      <c r="G105" s="70"/>
    </row>
    <row r="106" spans="1:7" ht="15.6" x14ac:dyDescent="0.3">
      <c r="A106" s="26">
        <v>10</v>
      </c>
      <c r="B106" s="27" t="s">
        <v>10</v>
      </c>
      <c r="C106" s="27" t="s">
        <v>480</v>
      </c>
      <c r="D106" s="73"/>
      <c r="E106" s="247">
        <v>104.8</v>
      </c>
      <c r="F106" s="247">
        <f t="shared" si="2"/>
        <v>1048</v>
      </c>
      <c r="G106" s="70"/>
    </row>
    <row r="107" spans="1:7" ht="15.6" x14ac:dyDescent="0.3">
      <c r="A107" s="26">
        <v>15</v>
      </c>
      <c r="B107" s="25" t="s">
        <v>10</v>
      </c>
      <c r="C107" s="25" t="s">
        <v>478</v>
      </c>
      <c r="D107" s="72" t="s">
        <v>461</v>
      </c>
      <c r="E107" s="247">
        <v>5.59</v>
      </c>
      <c r="F107" s="247">
        <f t="shared" si="2"/>
        <v>83.85</v>
      </c>
      <c r="G107" s="70"/>
    </row>
    <row r="108" spans="1:7" ht="31.2" x14ac:dyDescent="0.3">
      <c r="A108" s="26">
        <v>6</v>
      </c>
      <c r="B108" s="25" t="s">
        <v>10</v>
      </c>
      <c r="C108" s="25" t="s">
        <v>474</v>
      </c>
      <c r="D108" s="73"/>
      <c r="E108" s="247">
        <v>70.3</v>
      </c>
      <c r="F108" s="247">
        <f t="shared" si="2"/>
        <v>421.79999999999995</v>
      </c>
      <c r="G108" s="70"/>
    </row>
    <row r="109" spans="1:7" ht="15.6" x14ac:dyDescent="0.3">
      <c r="A109" s="26"/>
      <c r="B109" s="25"/>
      <c r="C109" s="25"/>
      <c r="D109" s="72"/>
      <c r="E109" s="247"/>
      <c r="F109" s="247">
        <f t="shared" si="2"/>
        <v>0</v>
      </c>
      <c r="G109" s="70"/>
    </row>
    <row r="110" spans="1:7" ht="15.6" x14ac:dyDescent="0.3">
      <c r="A110" s="26">
        <v>1</v>
      </c>
      <c r="B110" s="25" t="s">
        <v>479</v>
      </c>
      <c r="C110" s="25" t="s">
        <v>481</v>
      </c>
      <c r="D110" s="73"/>
      <c r="E110" s="247">
        <v>1619.56</v>
      </c>
      <c r="F110" s="247">
        <f t="shared" si="2"/>
        <v>1619.56</v>
      </c>
      <c r="G110" s="70"/>
    </row>
    <row r="111" spans="1:7" ht="15.6" x14ac:dyDescent="0.3">
      <c r="A111" s="21"/>
      <c r="B111" s="20"/>
      <c r="C111" s="20"/>
      <c r="D111" s="69"/>
      <c r="E111" s="248"/>
      <c r="F111" s="248">
        <f t="shared" si="2"/>
        <v>0</v>
      </c>
      <c r="G111" s="67"/>
    </row>
    <row r="112" spans="1:7" ht="17.399999999999999" x14ac:dyDescent="0.3">
      <c r="A112" s="17"/>
      <c r="B112" s="16"/>
      <c r="C112" s="9" t="s">
        <v>8</v>
      </c>
      <c r="D112" s="259"/>
      <c r="E112" s="249"/>
      <c r="F112" s="252">
        <f>SUM(F101:F110)</f>
        <v>5085.3099999999995</v>
      </c>
      <c r="G112" s="64"/>
    </row>
    <row r="113" spans="1:7" ht="17.399999999999999" x14ac:dyDescent="0.3">
      <c r="A113" s="11"/>
      <c r="B113" s="10"/>
      <c r="C113" s="63" t="s">
        <v>7</v>
      </c>
      <c r="D113" s="237"/>
      <c r="E113" s="250"/>
      <c r="F113" s="253">
        <f>F112*0.16</f>
        <v>813.64959999999996</v>
      </c>
      <c r="G113" s="60"/>
    </row>
    <row r="114" spans="1:7" ht="17.399999999999999" x14ac:dyDescent="0.3">
      <c r="A114" s="11"/>
      <c r="B114" s="10"/>
      <c r="C114" s="59" t="s">
        <v>6</v>
      </c>
      <c r="D114" s="260"/>
      <c r="E114" s="251"/>
      <c r="F114" s="254">
        <f>F112+F113</f>
        <v>5898.9595999999992</v>
      </c>
      <c r="G114" s="56"/>
    </row>
    <row r="115" spans="1:7" ht="15.6" x14ac:dyDescent="0.3">
      <c r="A115" s="6" t="s">
        <v>5</v>
      </c>
      <c r="B115" s="5"/>
      <c r="C115" s="5" t="s">
        <v>4</v>
      </c>
      <c r="D115" s="259"/>
      <c r="E115" s="5" t="s">
        <v>3</v>
      </c>
      <c r="F115" s="5"/>
      <c r="G115" s="4"/>
    </row>
    <row r="116" spans="1:7" ht="15.6" x14ac:dyDescent="0.3">
      <c r="A116" s="3" t="s">
        <v>625</v>
      </c>
      <c r="B116" s="2"/>
      <c r="C116" s="2" t="s">
        <v>39</v>
      </c>
      <c r="D116" s="260"/>
      <c r="E116" s="2" t="s">
        <v>0</v>
      </c>
      <c r="F116" s="2"/>
      <c r="G116" s="1"/>
    </row>
  </sheetData>
  <mergeCells count="39">
    <mergeCell ref="A92:C95"/>
    <mergeCell ref="D92:G92"/>
    <mergeCell ref="E93:F93"/>
    <mergeCell ref="E94:F94"/>
    <mergeCell ref="E95:F95"/>
    <mergeCell ref="A60:C63"/>
    <mergeCell ref="D60:G60"/>
    <mergeCell ref="E61:F61"/>
    <mergeCell ref="E62:F62"/>
    <mergeCell ref="E63:F63"/>
    <mergeCell ref="B34:G34"/>
    <mergeCell ref="B35:G35"/>
    <mergeCell ref="C53:E53"/>
    <mergeCell ref="C54:E54"/>
    <mergeCell ref="C55:E55"/>
    <mergeCell ref="B30:C32"/>
    <mergeCell ref="D30:G30"/>
    <mergeCell ref="F31:G31"/>
    <mergeCell ref="F32:G32"/>
    <mergeCell ref="B33:G33"/>
    <mergeCell ref="C24:D24"/>
    <mergeCell ref="A25:B25"/>
    <mergeCell ref="E25:G25"/>
    <mergeCell ref="A26:B26"/>
    <mergeCell ref="E26:G26"/>
    <mergeCell ref="C23:D23"/>
    <mergeCell ref="B3:C6"/>
    <mergeCell ref="D3:G3"/>
    <mergeCell ref="D4:E4"/>
    <mergeCell ref="F4:G4"/>
    <mergeCell ref="D5:E5"/>
    <mergeCell ref="F5:G5"/>
    <mergeCell ref="D6:E6"/>
    <mergeCell ref="F6:G6"/>
    <mergeCell ref="E7:G7"/>
    <mergeCell ref="B8:G8"/>
    <mergeCell ref="B9:G9"/>
    <mergeCell ref="B10:G10"/>
    <mergeCell ref="C22:D22"/>
  </mergeCells>
  <dataValidations disablePrompts="1" count="1">
    <dataValidation type="textLength" errorStyle="warning" allowBlank="1" showErrorMessage="1" errorTitle="Tipo de unidad" error="Escriba el tipo de unidad (bruto, cajas, docenas, paquetes, fajos, etc.) al que se refiere el precio unitario._x000a_" promptTitle="Tipo de unidad" sqref="A25 A56 A87 A115" xr:uid="{59693BCD-2BDF-42B6-ADAD-A3C61034A90A}">
      <formula1>0</formula1>
      <formula2>256</formula2>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9F38E-FFCA-43F5-88C1-17FF9791D06A}">
  <dimension ref="A3:I157"/>
  <sheetViews>
    <sheetView topLeftCell="A135" workbookViewId="0">
      <selection activeCell="D3" sqref="A3:G29"/>
    </sheetView>
  </sheetViews>
  <sheetFormatPr baseColWidth="10" defaultRowHeight="14.4" x14ac:dyDescent="0.3"/>
  <cols>
    <col min="1" max="1" width="22.88671875" customWidth="1"/>
    <col min="2" max="2" width="19.77734375" customWidth="1"/>
    <col min="3" max="3" width="47.88671875" customWidth="1"/>
    <col min="4" max="4" width="28.88671875" customWidth="1"/>
    <col min="5" max="5" width="17" customWidth="1"/>
    <col min="6" max="6" width="16" customWidth="1"/>
    <col min="7" max="7" width="22.6640625" customWidth="1"/>
  </cols>
  <sheetData>
    <row r="3" spans="1:9" ht="24.6" x14ac:dyDescent="0.3">
      <c r="A3" s="271" t="s">
        <v>38</v>
      </c>
      <c r="B3" s="302"/>
      <c r="C3" s="272"/>
      <c r="D3" s="305" t="s">
        <v>37</v>
      </c>
      <c r="E3" s="306"/>
      <c r="F3" s="306"/>
      <c r="G3" s="307"/>
    </row>
    <row r="4" spans="1:9" ht="21" x14ac:dyDescent="0.4">
      <c r="A4" s="273"/>
      <c r="B4" s="303"/>
      <c r="C4" s="274"/>
      <c r="D4" s="51" t="s">
        <v>36</v>
      </c>
      <c r="E4" s="308" t="s">
        <v>643</v>
      </c>
      <c r="F4" s="282"/>
      <c r="G4" s="50"/>
    </row>
    <row r="5" spans="1:9" ht="21" x14ac:dyDescent="0.4">
      <c r="A5" s="273"/>
      <c r="B5" s="303"/>
      <c r="C5" s="274"/>
      <c r="D5" s="51" t="s">
        <v>51</v>
      </c>
      <c r="E5" s="284">
        <v>23</v>
      </c>
      <c r="F5" s="282"/>
      <c r="G5" s="50"/>
    </row>
    <row r="6" spans="1:9" ht="30" x14ac:dyDescent="0.3">
      <c r="A6" s="275"/>
      <c r="B6" s="304"/>
      <c r="C6" s="276"/>
      <c r="D6" s="47" t="s">
        <v>50</v>
      </c>
      <c r="E6" s="287" t="s">
        <v>634</v>
      </c>
      <c r="F6" s="287"/>
      <c r="G6" s="87"/>
    </row>
    <row r="7" spans="1:9" ht="20.399999999999999" x14ac:dyDescent="0.35">
      <c r="A7" s="39" t="s">
        <v>48</v>
      </c>
      <c r="B7" s="43" t="s">
        <v>628</v>
      </c>
      <c r="C7" s="42"/>
      <c r="D7" s="42"/>
      <c r="E7" s="86"/>
      <c r="F7" s="85"/>
      <c r="G7" s="84"/>
    </row>
    <row r="8" spans="1:9" ht="20.399999999999999" x14ac:dyDescent="0.35">
      <c r="A8" s="39" t="s">
        <v>30</v>
      </c>
      <c r="B8" s="38" t="s">
        <v>657</v>
      </c>
      <c r="C8" s="37"/>
      <c r="D8" s="37"/>
      <c r="E8" s="83"/>
      <c r="F8" s="82"/>
      <c r="G8" s="81"/>
    </row>
    <row r="9" spans="1:9" ht="20.399999999999999" x14ac:dyDescent="0.35">
      <c r="A9" s="39" t="s">
        <v>46</v>
      </c>
      <c r="B9" s="38" t="s">
        <v>658</v>
      </c>
      <c r="C9" s="37"/>
      <c r="D9" s="37"/>
      <c r="E9" s="80"/>
      <c r="F9" s="79"/>
      <c r="G9" s="78"/>
    </row>
    <row r="10" spans="1:9" ht="20.399999999999999" x14ac:dyDescent="0.35">
      <c r="A10" s="39" t="s">
        <v>28</v>
      </c>
      <c r="B10" s="38" t="s">
        <v>299</v>
      </c>
      <c r="C10" s="37"/>
      <c r="D10" s="37"/>
      <c r="E10" s="37"/>
      <c r="F10" s="37"/>
      <c r="G10" s="77"/>
    </row>
    <row r="11" spans="1:9" ht="60" x14ac:dyDescent="0.3">
      <c r="A11" s="34" t="s">
        <v>26</v>
      </c>
      <c r="B11" s="34" t="s">
        <v>25</v>
      </c>
      <c r="C11" s="34" t="s">
        <v>24</v>
      </c>
      <c r="D11" s="34" t="s">
        <v>43</v>
      </c>
      <c r="E11" s="34" t="s">
        <v>42</v>
      </c>
      <c r="F11" s="34" t="s">
        <v>22</v>
      </c>
      <c r="G11" s="34" t="s">
        <v>21</v>
      </c>
    </row>
    <row r="12" spans="1:9" ht="15.6" x14ac:dyDescent="0.3">
      <c r="A12" s="33">
        <v>12</v>
      </c>
      <c r="B12" s="32" t="s">
        <v>10</v>
      </c>
      <c r="C12" s="32" t="s">
        <v>633</v>
      </c>
      <c r="D12" s="76"/>
      <c r="E12" s="178">
        <v>17.739999999999998</v>
      </c>
      <c r="F12" s="178">
        <f t="shared" ref="F12:F22" si="0">A12*E12</f>
        <v>212.88</v>
      </c>
      <c r="G12" s="74"/>
    </row>
    <row r="13" spans="1:9" ht="15.6" x14ac:dyDescent="0.3">
      <c r="A13" s="29">
        <v>6</v>
      </c>
      <c r="B13" s="25" t="s">
        <v>173</v>
      </c>
      <c r="C13" s="25" t="s">
        <v>660</v>
      </c>
      <c r="D13" s="73"/>
      <c r="E13" s="179">
        <v>65.86</v>
      </c>
      <c r="F13" s="179">
        <f t="shared" si="0"/>
        <v>395.15999999999997</v>
      </c>
      <c r="G13" s="74"/>
      <c r="I13">
        <v>17</v>
      </c>
    </row>
    <row r="14" spans="1:9" ht="31.2" x14ac:dyDescent="0.3">
      <c r="A14" s="29">
        <v>15</v>
      </c>
      <c r="B14" s="25" t="s">
        <v>10</v>
      </c>
      <c r="C14" s="25" t="s">
        <v>290</v>
      </c>
      <c r="D14" s="73" t="s">
        <v>291</v>
      </c>
      <c r="E14" s="179">
        <v>11.68</v>
      </c>
      <c r="F14" s="179">
        <f t="shared" si="0"/>
        <v>175.2</v>
      </c>
      <c r="G14" s="140" t="s">
        <v>659</v>
      </c>
    </row>
    <row r="15" spans="1:9" ht="31.2" x14ac:dyDescent="0.3">
      <c r="A15" s="29">
        <v>32</v>
      </c>
      <c r="B15" s="27" t="s">
        <v>10</v>
      </c>
      <c r="C15" s="27" t="s">
        <v>271</v>
      </c>
      <c r="D15" s="73" t="s">
        <v>272</v>
      </c>
      <c r="E15" s="179">
        <v>15.98</v>
      </c>
      <c r="F15" s="179">
        <f t="shared" si="0"/>
        <v>511.36</v>
      </c>
      <c r="G15" s="139" t="s">
        <v>659</v>
      </c>
    </row>
    <row r="16" spans="1:9" ht="15.6" x14ac:dyDescent="0.3">
      <c r="A16" s="29"/>
      <c r="B16" s="27"/>
      <c r="C16" s="27"/>
      <c r="D16" s="73"/>
      <c r="E16" s="179"/>
      <c r="F16" s="179">
        <f t="shared" si="0"/>
        <v>0</v>
      </c>
      <c r="G16" s="139"/>
    </row>
    <row r="17" spans="1:8" ht="15.6" x14ac:dyDescent="0.3">
      <c r="A17" s="26"/>
      <c r="B17" s="27"/>
      <c r="C17" s="27"/>
      <c r="D17" s="73"/>
      <c r="E17" s="179"/>
      <c r="F17" s="179">
        <f t="shared" si="0"/>
        <v>0</v>
      </c>
      <c r="G17" s="70"/>
    </row>
    <row r="18" spans="1:8" ht="15.6" x14ac:dyDescent="0.3">
      <c r="A18" s="26"/>
      <c r="B18" s="25"/>
      <c r="C18" s="25"/>
      <c r="D18" s="72"/>
      <c r="E18" s="179"/>
      <c r="F18" s="179">
        <f t="shared" si="0"/>
        <v>0</v>
      </c>
      <c r="G18" s="70"/>
    </row>
    <row r="19" spans="1:8" ht="15.6" x14ac:dyDescent="0.3">
      <c r="A19" s="26"/>
      <c r="B19" s="25"/>
      <c r="C19" s="25"/>
      <c r="D19" s="73"/>
      <c r="E19" s="179"/>
      <c r="F19" s="179">
        <f t="shared" si="0"/>
        <v>0</v>
      </c>
      <c r="G19" s="70"/>
      <c r="H19" t="s">
        <v>656</v>
      </c>
    </row>
    <row r="20" spans="1:8" ht="15.6" x14ac:dyDescent="0.3">
      <c r="A20" s="26"/>
      <c r="B20" s="25"/>
      <c r="C20" s="25"/>
      <c r="D20" s="72"/>
      <c r="E20" s="179"/>
      <c r="F20" s="179">
        <f t="shared" si="0"/>
        <v>0</v>
      </c>
      <c r="G20" s="70"/>
    </row>
    <row r="21" spans="1:8" ht="15.6" x14ac:dyDescent="0.3">
      <c r="A21" s="26"/>
      <c r="B21" s="25"/>
      <c r="C21" s="25"/>
      <c r="D21" s="73"/>
      <c r="E21" s="179"/>
      <c r="F21" s="179">
        <f t="shared" si="0"/>
        <v>0</v>
      </c>
      <c r="G21" s="70"/>
    </row>
    <row r="22" spans="1:8" ht="15.6" x14ac:dyDescent="0.3">
      <c r="A22" s="21"/>
      <c r="B22" s="20"/>
      <c r="C22" s="20"/>
      <c r="D22" s="69"/>
      <c r="E22" s="180"/>
      <c r="F22" s="180">
        <f t="shared" si="0"/>
        <v>0</v>
      </c>
      <c r="G22" s="67"/>
    </row>
    <row r="23" spans="1:8" ht="17.399999999999999" x14ac:dyDescent="0.3">
      <c r="A23" s="17"/>
      <c r="B23" s="16"/>
      <c r="C23" s="9" t="s">
        <v>8</v>
      </c>
      <c r="D23" s="259"/>
      <c r="E23" s="181"/>
      <c r="F23" s="182">
        <f>SUM(F12:F21)</f>
        <v>1294.5999999999999</v>
      </c>
      <c r="G23" s="64"/>
    </row>
    <row r="24" spans="1:8" ht="17.399999999999999" x14ac:dyDescent="0.3">
      <c r="A24" s="11"/>
      <c r="B24" s="10"/>
      <c r="C24" s="63" t="s">
        <v>7</v>
      </c>
      <c r="D24" s="237"/>
      <c r="E24" s="183"/>
      <c r="F24" s="184">
        <f>F23*0.16</f>
        <v>207.136</v>
      </c>
      <c r="G24" s="60"/>
    </row>
    <row r="25" spans="1:8" ht="17.399999999999999" x14ac:dyDescent="0.3">
      <c r="A25" s="11"/>
      <c r="B25" s="10"/>
      <c r="C25" s="59" t="s">
        <v>6</v>
      </c>
      <c r="D25" s="260"/>
      <c r="E25" s="185"/>
      <c r="F25" s="186">
        <f>F23+F24</f>
        <v>1501.7359999999999</v>
      </c>
      <c r="G25" s="56"/>
    </row>
    <row r="26" spans="1:8" ht="15.6" x14ac:dyDescent="0.3">
      <c r="A26" s="6" t="s">
        <v>5</v>
      </c>
      <c r="B26" s="5"/>
      <c r="C26" s="5" t="s">
        <v>4</v>
      </c>
      <c r="D26" s="259"/>
      <c r="E26" s="5" t="s">
        <v>3</v>
      </c>
      <c r="F26" s="5"/>
      <c r="G26" s="4"/>
    </row>
    <row r="27" spans="1:8" ht="15.6" x14ac:dyDescent="0.3">
      <c r="A27" s="3" t="s">
        <v>625</v>
      </c>
      <c r="B27" s="2"/>
      <c r="C27" s="2" t="s">
        <v>39</v>
      </c>
      <c r="D27" s="260"/>
      <c r="E27" s="2" t="s">
        <v>0</v>
      </c>
      <c r="F27" s="2"/>
      <c r="G27" s="1"/>
    </row>
    <row r="31" spans="1:8" ht="21" x14ac:dyDescent="0.4">
      <c r="A31" s="55"/>
      <c r="B31" s="326" t="s">
        <v>38</v>
      </c>
      <c r="C31" s="327"/>
      <c r="D31" s="277" t="s">
        <v>37</v>
      </c>
      <c r="E31" s="278"/>
      <c r="F31" s="278"/>
      <c r="G31" s="279"/>
    </row>
    <row r="32" spans="1:8" ht="21" x14ac:dyDescent="0.4">
      <c r="A32" s="53"/>
      <c r="B32" s="328"/>
      <c r="C32" s="329"/>
      <c r="D32" s="280" t="s">
        <v>36</v>
      </c>
      <c r="E32" s="281"/>
      <c r="F32" s="282" t="s">
        <v>636</v>
      </c>
      <c r="G32" s="283"/>
    </row>
    <row r="33" spans="1:7" ht="21" x14ac:dyDescent="0.4">
      <c r="A33" s="53"/>
      <c r="B33" s="328"/>
      <c r="C33" s="329"/>
      <c r="D33" s="134" t="s">
        <v>118</v>
      </c>
      <c r="E33" s="133"/>
      <c r="F33" s="132">
        <v>23</v>
      </c>
      <c r="G33" s="50"/>
    </row>
    <row r="34" spans="1:7" ht="21" x14ac:dyDescent="0.4">
      <c r="A34" s="49"/>
      <c r="B34" s="330"/>
      <c r="C34" s="331"/>
      <c r="D34" s="285" t="s">
        <v>50</v>
      </c>
      <c r="E34" s="286"/>
      <c r="F34" s="287" t="s">
        <v>635</v>
      </c>
      <c r="G34" s="288"/>
    </row>
    <row r="35" spans="1:7" ht="20.399999999999999" x14ac:dyDescent="0.35">
      <c r="A35" s="39" t="s">
        <v>48</v>
      </c>
      <c r="B35" s="43" t="s">
        <v>0</v>
      </c>
      <c r="C35" s="42"/>
      <c r="D35" s="42"/>
      <c r="E35" s="289" t="s">
        <v>116</v>
      </c>
      <c r="F35" s="289"/>
      <c r="G35" s="290"/>
    </row>
    <row r="36" spans="1:7" ht="20.399999999999999" x14ac:dyDescent="0.35">
      <c r="A36" s="39" t="s">
        <v>30</v>
      </c>
      <c r="B36" s="291"/>
      <c r="C36" s="292"/>
      <c r="D36" s="292"/>
      <c r="E36" s="292"/>
      <c r="F36" s="292"/>
      <c r="G36" s="293"/>
    </row>
    <row r="37" spans="1:7" ht="20.399999999999999" x14ac:dyDescent="0.35">
      <c r="A37" s="39" t="s">
        <v>46</v>
      </c>
      <c r="B37" s="324"/>
      <c r="C37" s="292"/>
      <c r="D37" s="292"/>
      <c r="E37" s="292"/>
      <c r="F37" s="292"/>
      <c r="G37" s="293"/>
    </row>
    <row r="38" spans="1:7" ht="20.399999999999999" x14ac:dyDescent="0.35">
      <c r="A38" s="39" t="s">
        <v>28</v>
      </c>
      <c r="B38" s="291" t="s">
        <v>114</v>
      </c>
      <c r="C38" s="292"/>
      <c r="D38" s="292"/>
      <c r="E38" s="292"/>
      <c r="F38" s="292"/>
      <c r="G38" s="293"/>
    </row>
    <row r="39" spans="1:7" ht="15" x14ac:dyDescent="0.3">
      <c r="A39" s="34" t="s">
        <v>26</v>
      </c>
      <c r="B39" s="34" t="s">
        <v>25</v>
      </c>
      <c r="C39" s="34" t="s">
        <v>24</v>
      </c>
      <c r="D39" s="34" t="s">
        <v>43</v>
      </c>
      <c r="E39" s="34" t="s">
        <v>42</v>
      </c>
      <c r="F39" s="34" t="s">
        <v>22</v>
      </c>
      <c r="G39" s="34" t="s">
        <v>21</v>
      </c>
    </row>
    <row r="40" spans="1:7" ht="15.6" x14ac:dyDescent="0.3">
      <c r="A40" s="127">
        <v>8</v>
      </c>
      <c r="B40" s="131" t="s">
        <v>10</v>
      </c>
      <c r="C40" s="123" t="s">
        <v>513</v>
      </c>
      <c r="D40" s="130"/>
      <c r="E40" s="121">
        <v>1310.3499999999999</v>
      </c>
      <c r="F40" s="129">
        <f>A40*E40</f>
        <v>10482.799999999999</v>
      </c>
      <c r="G40" s="128"/>
    </row>
    <row r="41" spans="1:7" ht="15.6" x14ac:dyDescent="0.3">
      <c r="A41" s="127"/>
      <c r="B41" s="126"/>
      <c r="C41" s="123"/>
      <c r="D41" s="122"/>
      <c r="E41" s="121"/>
      <c r="F41" s="113">
        <f>A41*E41</f>
        <v>0</v>
      </c>
      <c r="G41" s="70"/>
    </row>
    <row r="42" spans="1:7" ht="15.6" x14ac:dyDescent="0.3">
      <c r="A42" s="325" t="s">
        <v>112</v>
      </c>
      <c r="B42" s="325"/>
      <c r="C42" s="325"/>
      <c r="D42" s="124"/>
      <c r="E42" s="121"/>
      <c r="F42" s="113">
        <v>0</v>
      </c>
      <c r="G42" s="70"/>
    </row>
    <row r="43" spans="1:7" ht="15.6" x14ac:dyDescent="0.3">
      <c r="A43" s="125">
        <v>1</v>
      </c>
      <c r="B43" s="124"/>
      <c r="C43" s="123" t="s">
        <v>111</v>
      </c>
      <c r="D43" s="122"/>
      <c r="E43" s="121">
        <v>258.62</v>
      </c>
      <c r="F43" s="113">
        <f>A43*E43</f>
        <v>258.62</v>
      </c>
      <c r="G43" s="70"/>
    </row>
    <row r="44" spans="1:7" ht="15.6" x14ac:dyDescent="0.3">
      <c r="A44" s="94"/>
      <c r="B44" s="94"/>
      <c r="C44" s="29"/>
      <c r="D44" s="94"/>
      <c r="E44" s="120"/>
      <c r="F44" s="113">
        <f>A44*E44</f>
        <v>0</v>
      </c>
      <c r="G44" s="70"/>
    </row>
    <row r="45" spans="1:7" ht="15.6" x14ac:dyDescent="0.3">
      <c r="A45" s="94"/>
      <c r="B45" s="94"/>
      <c r="C45" s="29"/>
      <c r="D45" s="94"/>
      <c r="E45" s="71"/>
      <c r="F45" s="113">
        <f>A45*E45</f>
        <v>0</v>
      </c>
      <c r="G45" s="70"/>
    </row>
    <row r="46" spans="1:7" ht="15.6" x14ac:dyDescent="0.3">
      <c r="A46" s="111" t="s">
        <v>110</v>
      </c>
      <c r="B46" s="111"/>
      <c r="C46" s="119"/>
      <c r="D46" s="115"/>
      <c r="E46" s="71"/>
      <c r="F46" s="113">
        <v>0</v>
      </c>
      <c r="G46" s="70"/>
    </row>
    <row r="47" spans="1:7" ht="15.6" x14ac:dyDescent="0.3">
      <c r="A47" s="111" t="s">
        <v>109</v>
      </c>
      <c r="B47" s="111"/>
      <c r="C47" s="117"/>
      <c r="D47" s="115"/>
      <c r="E47" s="71"/>
      <c r="F47" s="113">
        <v>0</v>
      </c>
      <c r="G47" s="70"/>
    </row>
    <row r="48" spans="1:7" ht="15.6" x14ac:dyDescent="0.3">
      <c r="A48" s="111" t="s">
        <v>108</v>
      </c>
      <c r="B48" s="117"/>
      <c r="C48" s="117"/>
      <c r="D48" s="115"/>
      <c r="E48" s="71"/>
      <c r="F48" s="113">
        <v>0</v>
      </c>
      <c r="G48" s="70"/>
    </row>
    <row r="49" spans="1:7" ht="15.6" x14ac:dyDescent="0.3">
      <c r="A49" s="111" t="s">
        <v>107</v>
      </c>
      <c r="B49" s="117"/>
      <c r="C49" s="117"/>
      <c r="D49" s="115"/>
      <c r="E49" s="71"/>
      <c r="F49" s="113">
        <v>0</v>
      </c>
      <c r="G49" s="70"/>
    </row>
    <row r="50" spans="1:7" ht="15.6" x14ac:dyDescent="0.3">
      <c r="A50" s="111" t="s">
        <v>106</v>
      </c>
      <c r="B50" s="117"/>
      <c r="C50" s="117"/>
      <c r="D50" s="115"/>
      <c r="E50" s="118"/>
      <c r="F50" s="113">
        <v>0</v>
      </c>
      <c r="G50" s="70"/>
    </row>
    <row r="51" spans="1:7" ht="15.6" x14ac:dyDescent="0.3">
      <c r="A51" s="111"/>
      <c r="B51" s="117"/>
      <c r="C51" s="117"/>
      <c r="D51" s="115"/>
      <c r="E51" s="114"/>
      <c r="F51" s="113">
        <v>0</v>
      </c>
      <c r="G51" s="112"/>
    </row>
    <row r="52" spans="1:7" ht="15.6" x14ac:dyDescent="0.3">
      <c r="A52" s="111" t="s">
        <v>105</v>
      </c>
      <c r="B52" s="117"/>
      <c r="C52" s="117"/>
      <c r="D52" s="115"/>
      <c r="E52" s="114"/>
      <c r="F52" s="113">
        <v>0</v>
      </c>
      <c r="G52" s="112"/>
    </row>
    <row r="53" spans="1:7" ht="15.6" x14ac:dyDescent="0.3">
      <c r="A53" s="111" t="s">
        <v>104</v>
      </c>
      <c r="B53" s="117"/>
      <c r="C53" s="116"/>
      <c r="D53" s="115"/>
      <c r="E53" s="114"/>
      <c r="F53" s="113">
        <v>0</v>
      </c>
      <c r="G53" s="112"/>
    </row>
    <row r="54" spans="1:7" ht="17.399999999999999" x14ac:dyDescent="0.3">
      <c r="A54" s="111" t="s">
        <v>103</v>
      </c>
      <c r="B54" s="110"/>
      <c r="C54" s="110"/>
      <c r="D54" s="270" t="s">
        <v>8</v>
      </c>
      <c r="E54" s="270"/>
      <c r="F54" s="109">
        <f>SUM(F40:F52)</f>
        <v>10741.42</v>
      </c>
      <c r="G54" s="60"/>
    </row>
    <row r="55" spans="1:7" ht="17.399999999999999" x14ac:dyDescent="0.3">
      <c r="A55" s="11"/>
      <c r="B55" s="10"/>
      <c r="C55" s="270" t="s">
        <v>7</v>
      </c>
      <c r="D55" s="270"/>
      <c r="E55" s="270"/>
      <c r="F55" s="109">
        <f>F54*0.16</f>
        <v>1718.6272000000001</v>
      </c>
      <c r="G55" s="60"/>
    </row>
    <row r="56" spans="1:7" ht="17.399999999999999" x14ac:dyDescent="0.3">
      <c r="A56" s="11"/>
      <c r="B56" s="10"/>
      <c r="C56" s="295" t="s">
        <v>6</v>
      </c>
      <c r="D56" s="295"/>
      <c r="E56" s="295"/>
      <c r="F56" s="108">
        <f>+F54+F55</f>
        <v>12460.047200000001</v>
      </c>
      <c r="G56" s="56"/>
    </row>
    <row r="57" spans="1:7" ht="15.6" x14ac:dyDescent="0.3">
      <c r="A57" s="296" t="s">
        <v>5</v>
      </c>
      <c r="B57" s="297"/>
      <c r="C57" s="5" t="s">
        <v>4</v>
      </c>
      <c r="D57" s="5"/>
      <c r="E57" s="297" t="s">
        <v>3</v>
      </c>
      <c r="F57" s="297"/>
      <c r="G57" s="298"/>
    </row>
    <row r="58" spans="1:7" ht="15.6" x14ac:dyDescent="0.3">
      <c r="A58" s="299" t="s">
        <v>2</v>
      </c>
      <c r="B58" s="300"/>
      <c r="C58" s="2" t="s">
        <v>39</v>
      </c>
      <c r="D58" s="2"/>
      <c r="E58" s="300" t="s">
        <v>70</v>
      </c>
      <c r="F58" s="300"/>
      <c r="G58" s="301"/>
    </row>
    <row r="59" spans="1:7" x14ac:dyDescent="0.3">
      <c r="A59" s="107"/>
      <c r="B59" s="107"/>
      <c r="C59" s="107"/>
      <c r="D59" s="107"/>
      <c r="E59" s="107"/>
      <c r="F59" s="107"/>
      <c r="G59" s="107"/>
    </row>
    <row r="62" spans="1:7" ht="21" x14ac:dyDescent="0.4">
      <c r="A62" s="55"/>
      <c r="B62" s="271" t="s">
        <v>38</v>
      </c>
      <c r="C62" s="272"/>
      <c r="D62" s="277" t="s">
        <v>37</v>
      </c>
      <c r="E62" s="278"/>
      <c r="F62" s="278"/>
      <c r="G62" s="279"/>
    </row>
    <row r="63" spans="1:7" ht="21" x14ac:dyDescent="0.4">
      <c r="A63" s="53"/>
      <c r="B63" s="273"/>
      <c r="C63" s="274"/>
      <c r="D63" s="280" t="s">
        <v>36</v>
      </c>
      <c r="E63" s="281"/>
      <c r="F63" s="282" t="s">
        <v>637</v>
      </c>
      <c r="G63" s="283"/>
    </row>
    <row r="64" spans="1:7" ht="21" x14ac:dyDescent="0.4">
      <c r="A64" s="53"/>
      <c r="B64" s="273"/>
      <c r="C64" s="274"/>
      <c r="D64" s="135" t="s">
        <v>118</v>
      </c>
      <c r="E64" s="136"/>
      <c r="F64" s="90">
        <v>23</v>
      </c>
      <c r="G64" s="50"/>
    </row>
    <row r="65" spans="1:7" ht="21" x14ac:dyDescent="0.4">
      <c r="A65" s="49"/>
      <c r="B65" s="275"/>
      <c r="C65" s="276"/>
      <c r="D65" s="285" t="s">
        <v>50</v>
      </c>
      <c r="E65" s="286"/>
      <c r="F65" s="287" t="s">
        <v>638</v>
      </c>
      <c r="G65" s="288"/>
    </row>
    <row r="66" spans="1:7" ht="20.399999999999999" x14ac:dyDescent="0.35">
      <c r="A66" s="39" t="s">
        <v>48</v>
      </c>
      <c r="B66" s="43" t="s">
        <v>0</v>
      </c>
      <c r="C66" s="42"/>
      <c r="D66" s="42"/>
      <c r="E66" s="289"/>
      <c r="F66" s="289"/>
      <c r="G66" s="290"/>
    </row>
    <row r="67" spans="1:7" ht="20.399999999999999" x14ac:dyDescent="0.35">
      <c r="A67" s="39" t="s">
        <v>30</v>
      </c>
      <c r="B67" s="291"/>
      <c r="C67" s="292"/>
      <c r="D67" s="292"/>
      <c r="E67" s="292"/>
      <c r="F67" s="292"/>
      <c r="G67" s="293"/>
    </row>
    <row r="68" spans="1:7" ht="20.399999999999999" x14ac:dyDescent="0.35">
      <c r="A68" s="39" t="s">
        <v>46</v>
      </c>
      <c r="B68" s="291" t="s">
        <v>362</v>
      </c>
      <c r="C68" s="292"/>
      <c r="D68" s="292"/>
      <c r="E68" s="292"/>
      <c r="F68" s="292"/>
      <c r="G68" s="293"/>
    </row>
    <row r="69" spans="1:7" ht="20.399999999999999" x14ac:dyDescent="0.35">
      <c r="A69" s="39" t="s">
        <v>28</v>
      </c>
      <c r="B69" s="291" t="s">
        <v>55</v>
      </c>
      <c r="C69" s="292"/>
      <c r="D69" s="292"/>
      <c r="E69" s="292"/>
      <c r="F69" s="292"/>
      <c r="G69" s="293"/>
    </row>
    <row r="70" spans="1:7" ht="15" x14ac:dyDescent="0.3">
      <c r="A70" s="34" t="s">
        <v>26</v>
      </c>
      <c r="B70" s="34" t="s">
        <v>25</v>
      </c>
      <c r="C70" s="34" t="s">
        <v>24</v>
      </c>
      <c r="D70" s="34" t="s">
        <v>43</v>
      </c>
      <c r="E70" s="34" t="s">
        <v>42</v>
      </c>
      <c r="F70" s="34" t="s">
        <v>22</v>
      </c>
      <c r="G70" s="169" t="s">
        <v>21</v>
      </c>
    </row>
    <row r="71" spans="1:7" ht="15.6" x14ac:dyDescent="0.3">
      <c r="A71" s="33">
        <v>5</v>
      </c>
      <c r="B71" s="32" t="s">
        <v>135</v>
      </c>
      <c r="C71" s="32" t="s">
        <v>598</v>
      </c>
      <c r="D71" s="171">
        <v>170451</v>
      </c>
      <c r="E71" s="178">
        <v>446.9</v>
      </c>
      <c r="F71" s="267">
        <f t="shared" ref="F71:F88" si="1">A71*E71</f>
        <v>2234.5</v>
      </c>
      <c r="G71" s="128"/>
    </row>
    <row r="72" spans="1:7" ht="15.6" x14ac:dyDescent="0.3">
      <c r="A72" s="29"/>
      <c r="B72" s="25"/>
      <c r="C72" s="95"/>
      <c r="D72" s="72"/>
      <c r="E72" s="179"/>
      <c r="F72" s="268">
        <f t="shared" si="1"/>
        <v>0</v>
      </c>
      <c r="G72" s="70"/>
    </row>
    <row r="73" spans="1:7" ht="15.6" x14ac:dyDescent="0.3">
      <c r="A73" s="29"/>
      <c r="B73" s="25"/>
      <c r="C73" s="25"/>
      <c r="D73" s="72"/>
      <c r="E73" s="179"/>
      <c r="F73" s="268">
        <f t="shared" si="1"/>
        <v>0</v>
      </c>
      <c r="G73" s="70"/>
    </row>
    <row r="74" spans="1:7" ht="15.6" x14ac:dyDescent="0.3">
      <c r="A74" s="29"/>
      <c r="B74" s="25"/>
      <c r="C74" s="25"/>
      <c r="D74" s="72"/>
      <c r="E74" s="179"/>
      <c r="F74" s="268">
        <f t="shared" si="1"/>
        <v>0</v>
      </c>
      <c r="G74" s="70"/>
    </row>
    <row r="75" spans="1:7" ht="15.6" x14ac:dyDescent="0.3">
      <c r="A75" s="29"/>
      <c r="B75" s="25"/>
      <c r="C75" s="25"/>
      <c r="D75" s="72"/>
      <c r="E75" s="179"/>
      <c r="F75" s="268">
        <f t="shared" si="1"/>
        <v>0</v>
      </c>
      <c r="G75" s="70"/>
    </row>
    <row r="76" spans="1:7" ht="15.6" x14ac:dyDescent="0.3">
      <c r="A76" s="29"/>
      <c r="B76" s="25"/>
      <c r="C76" s="25"/>
      <c r="D76" s="72"/>
      <c r="E76" s="179"/>
      <c r="F76" s="268">
        <f t="shared" si="1"/>
        <v>0</v>
      </c>
      <c r="G76" s="70"/>
    </row>
    <row r="77" spans="1:7" ht="15.6" x14ac:dyDescent="0.3">
      <c r="A77" s="29"/>
      <c r="B77" s="25"/>
      <c r="C77" s="25"/>
      <c r="D77" s="72"/>
      <c r="E77" s="179"/>
      <c r="F77" s="268">
        <f t="shared" si="1"/>
        <v>0</v>
      </c>
      <c r="G77" s="70"/>
    </row>
    <row r="78" spans="1:7" ht="15.6" x14ac:dyDescent="0.3">
      <c r="A78" s="29"/>
      <c r="B78" s="25"/>
      <c r="C78" s="25"/>
      <c r="D78" s="73"/>
      <c r="E78" s="179"/>
      <c r="F78" s="268">
        <f t="shared" si="1"/>
        <v>0</v>
      </c>
      <c r="G78" s="70"/>
    </row>
    <row r="79" spans="1:7" ht="15.6" x14ac:dyDescent="0.3">
      <c r="A79" s="29"/>
      <c r="B79" s="25"/>
      <c r="C79" s="25"/>
      <c r="D79" s="73"/>
      <c r="E79" s="179"/>
      <c r="F79" s="268">
        <f t="shared" si="1"/>
        <v>0</v>
      </c>
      <c r="G79" s="70"/>
    </row>
    <row r="80" spans="1:7" ht="15.6" x14ac:dyDescent="0.3">
      <c r="A80" s="29"/>
      <c r="B80" s="25"/>
      <c r="C80" s="25"/>
      <c r="D80" s="72"/>
      <c r="E80" s="179"/>
      <c r="F80" s="268">
        <f t="shared" si="1"/>
        <v>0</v>
      </c>
      <c r="G80" s="70"/>
    </row>
    <row r="81" spans="1:7" ht="15.6" x14ac:dyDescent="0.3">
      <c r="A81" s="29"/>
      <c r="B81" s="25"/>
      <c r="C81" s="25"/>
      <c r="D81" s="72"/>
      <c r="E81" s="179"/>
      <c r="F81" s="268">
        <f t="shared" si="1"/>
        <v>0</v>
      </c>
      <c r="G81" s="70"/>
    </row>
    <row r="82" spans="1:7" ht="15.6" x14ac:dyDescent="0.3">
      <c r="A82" s="29"/>
      <c r="B82" s="25"/>
      <c r="C82" s="25"/>
      <c r="D82" s="72"/>
      <c r="E82" s="179"/>
      <c r="F82" s="268">
        <f t="shared" si="1"/>
        <v>0</v>
      </c>
      <c r="G82" s="70"/>
    </row>
    <row r="83" spans="1:7" ht="15.6" x14ac:dyDescent="0.3">
      <c r="A83" s="29"/>
      <c r="B83" s="25"/>
      <c r="C83" s="25"/>
      <c r="D83" s="72"/>
      <c r="E83" s="179"/>
      <c r="F83" s="268">
        <f t="shared" si="1"/>
        <v>0</v>
      </c>
      <c r="G83" s="70"/>
    </row>
    <row r="84" spans="1:7" ht="15.6" x14ac:dyDescent="0.3">
      <c r="A84" s="173"/>
      <c r="B84" s="25"/>
      <c r="C84" s="25"/>
      <c r="D84" s="72"/>
      <c r="E84" s="179"/>
      <c r="F84" s="268">
        <f t="shared" si="1"/>
        <v>0</v>
      </c>
      <c r="G84" s="70"/>
    </row>
    <row r="85" spans="1:7" ht="15.6" x14ac:dyDescent="0.3">
      <c r="A85" s="26"/>
      <c r="B85" s="25"/>
      <c r="C85" s="25"/>
      <c r="D85" s="72"/>
      <c r="E85" s="179"/>
      <c r="F85" s="268">
        <f t="shared" si="1"/>
        <v>0</v>
      </c>
      <c r="G85" s="70"/>
    </row>
    <row r="86" spans="1:7" ht="15.6" x14ac:dyDescent="0.3">
      <c r="A86" s="26"/>
      <c r="B86" s="25"/>
      <c r="C86" s="25"/>
      <c r="D86" s="72"/>
      <c r="E86" s="179"/>
      <c r="F86" s="268">
        <f t="shared" si="1"/>
        <v>0</v>
      </c>
      <c r="G86" s="70"/>
    </row>
    <row r="87" spans="1:7" ht="15.6" x14ac:dyDescent="0.3">
      <c r="A87" s="26"/>
      <c r="B87" s="25"/>
      <c r="C87" s="25"/>
      <c r="D87" s="72"/>
      <c r="E87" s="179"/>
      <c r="F87" s="268">
        <f t="shared" si="1"/>
        <v>0</v>
      </c>
      <c r="G87" s="70"/>
    </row>
    <row r="88" spans="1:7" ht="15.6" x14ac:dyDescent="0.3">
      <c r="A88" s="21"/>
      <c r="B88" s="20"/>
      <c r="C88" s="20"/>
      <c r="D88" s="69"/>
      <c r="E88" s="180"/>
      <c r="F88" s="269">
        <f t="shared" si="1"/>
        <v>0</v>
      </c>
      <c r="G88" s="67"/>
    </row>
    <row r="89" spans="1:7" ht="17.399999999999999" x14ac:dyDescent="0.3">
      <c r="A89" s="17"/>
      <c r="B89" s="16"/>
      <c r="C89" s="294" t="s">
        <v>8</v>
      </c>
      <c r="D89" s="294"/>
      <c r="E89" s="181"/>
      <c r="F89" s="256">
        <f>SUM(F71:F87)</f>
        <v>2234.5</v>
      </c>
      <c r="G89" s="64"/>
    </row>
    <row r="90" spans="1:7" ht="17.399999999999999" x14ac:dyDescent="0.3">
      <c r="A90" s="11"/>
      <c r="B90" s="10"/>
      <c r="C90" s="270" t="s">
        <v>7</v>
      </c>
      <c r="D90" s="270"/>
      <c r="E90" s="183"/>
      <c r="F90" s="257">
        <f>F89*0.16</f>
        <v>357.52</v>
      </c>
      <c r="G90" s="60"/>
    </row>
    <row r="91" spans="1:7" ht="17.399999999999999" x14ac:dyDescent="0.3">
      <c r="A91" s="11"/>
      <c r="B91" s="10"/>
      <c r="C91" s="295" t="s">
        <v>6</v>
      </c>
      <c r="D91" s="295"/>
      <c r="E91" s="185"/>
      <c r="F91" s="258">
        <f>F89+F90</f>
        <v>2592.02</v>
      </c>
      <c r="G91" s="56"/>
    </row>
    <row r="92" spans="1:7" ht="15.6" x14ac:dyDescent="0.3">
      <c r="A92" s="296" t="s">
        <v>5</v>
      </c>
      <c r="B92" s="297"/>
      <c r="C92" s="5" t="s">
        <v>4</v>
      </c>
      <c r="D92" s="5"/>
      <c r="E92" s="297" t="s">
        <v>3</v>
      </c>
      <c r="F92" s="297"/>
      <c r="G92" s="298"/>
    </row>
    <row r="93" spans="1:7" ht="15.6" x14ac:dyDescent="0.3">
      <c r="A93" s="299" t="s">
        <v>408</v>
      </c>
      <c r="B93" s="300"/>
      <c r="C93" s="2" t="s">
        <v>39</v>
      </c>
      <c r="D93" s="2"/>
      <c r="E93" s="300" t="s">
        <v>70</v>
      </c>
      <c r="F93" s="300"/>
      <c r="G93" s="301"/>
    </row>
    <row r="97" spans="1:7" ht="24.6" x14ac:dyDescent="0.3">
      <c r="A97" s="271" t="s">
        <v>38</v>
      </c>
      <c r="B97" s="302"/>
      <c r="C97" s="272"/>
      <c r="D97" s="305" t="s">
        <v>37</v>
      </c>
      <c r="E97" s="306"/>
      <c r="F97" s="306"/>
      <c r="G97" s="307"/>
    </row>
    <row r="98" spans="1:7" ht="21" x14ac:dyDescent="0.4">
      <c r="A98" s="273"/>
      <c r="B98" s="303"/>
      <c r="C98" s="274"/>
      <c r="D98" s="51" t="s">
        <v>36</v>
      </c>
      <c r="E98" s="308" t="s">
        <v>637</v>
      </c>
      <c r="F98" s="282"/>
      <c r="G98" s="50"/>
    </row>
    <row r="99" spans="1:7" ht="21" x14ac:dyDescent="0.4">
      <c r="A99" s="273"/>
      <c r="B99" s="303"/>
      <c r="C99" s="274"/>
      <c r="D99" s="51" t="s">
        <v>51</v>
      </c>
      <c r="E99" s="284">
        <v>23</v>
      </c>
      <c r="F99" s="282"/>
      <c r="G99" s="50"/>
    </row>
    <row r="100" spans="1:7" ht="30" x14ac:dyDescent="0.3">
      <c r="A100" s="275"/>
      <c r="B100" s="304"/>
      <c r="C100" s="276"/>
      <c r="D100" s="47" t="s">
        <v>50</v>
      </c>
      <c r="E100" s="287" t="s">
        <v>641</v>
      </c>
      <c r="F100" s="288"/>
      <c r="G100" s="87"/>
    </row>
    <row r="101" spans="1:7" ht="20.399999999999999" x14ac:dyDescent="0.35">
      <c r="A101" s="39" t="s">
        <v>48</v>
      </c>
      <c r="B101" s="43" t="s">
        <v>0</v>
      </c>
      <c r="C101" s="42"/>
      <c r="D101" s="42"/>
      <c r="E101" s="86"/>
      <c r="F101" s="85"/>
      <c r="G101" s="84"/>
    </row>
    <row r="102" spans="1:7" ht="20.399999999999999" x14ac:dyDescent="0.35">
      <c r="A102" s="39" t="s">
        <v>30</v>
      </c>
      <c r="B102" s="38" t="s">
        <v>639</v>
      </c>
      <c r="C102" s="37"/>
      <c r="D102" s="37"/>
      <c r="E102" s="83"/>
      <c r="F102" s="82"/>
      <c r="G102" s="81"/>
    </row>
    <row r="103" spans="1:7" ht="20.399999999999999" x14ac:dyDescent="0.35">
      <c r="A103" s="39" t="s">
        <v>46</v>
      </c>
      <c r="B103" s="38" t="s">
        <v>158</v>
      </c>
      <c r="C103" s="37"/>
      <c r="D103" s="37"/>
      <c r="E103" s="80"/>
      <c r="F103" s="79"/>
      <c r="G103" s="78"/>
    </row>
    <row r="104" spans="1:7" ht="20.399999999999999" x14ac:dyDescent="0.35">
      <c r="A104" s="39" t="s">
        <v>28</v>
      </c>
      <c r="B104" s="38" t="s">
        <v>336</v>
      </c>
      <c r="C104" s="37"/>
      <c r="D104" s="37"/>
      <c r="E104" s="37"/>
      <c r="F104" s="37"/>
      <c r="G104" s="77"/>
    </row>
    <row r="105" spans="1:7" ht="15" x14ac:dyDescent="0.3">
      <c r="A105" s="34" t="s">
        <v>26</v>
      </c>
      <c r="B105" s="34" t="s">
        <v>25</v>
      </c>
      <c r="C105" s="34" t="s">
        <v>24</v>
      </c>
      <c r="D105" s="34" t="s">
        <v>43</v>
      </c>
      <c r="E105" s="34" t="s">
        <v>42</v>
      </c>
      <c r="F105" s="34" t="s">
        <v>22</v>
      </c>
      <c r="G105" s="169" t="s">
        <v>21</v>
      </c>
    </row>
    <row r="106" spans="1:7" ht="15.6" x14ac:dyDescent="0.3">
      <c r="A106" s="33"/>
      <c r="B106" s="32"/>
      <c r="C106" s="32"/>
      <c r="D106" s="76"/>
      <c r="E106" s="75"/>
      <c r="F106" s="75">
        <f t="shared" ref="F106:F120" si="2">A106*E106</f>
        <v>0</v>
      </c>
      <c r="G106" s="74"/>
    </row>
    <row r="107" spans="1:7" ht="31.2" x14ac:dyDescent="0.3">
      <c r="A107" s="29">
        <v>2000</v>
      </c>
      <c r="B107" s="25" t="s">
        <v>10</v>
      </c>
      <c r="C107" s="25" t="s">
        <v>640</v>
      </c>
      <c r="D107" s="73"/>
      <c r="E107" s="71">
        <v>0.85</v>
      </c>
      <c r="F107" s="71">
        <f t="shared" si="2"/>
        <v>1700</v>
      </c>
      <c r="G107" s="74"/>
    </row>
    <row r="108" spans="1:7" ht="15.6" x14ac:dyDescent="0.3">
      <c r="A108" s="29"/>
      <c r="B108" s="25"/>
      <c r="C108" s="25"/>
      <c r="D108" s="73"/>
      <c r="E108" s="71"/>
      <c r="F108" s="71">
        <f t="shared" si="2"/>
        <v>0</v>
      </c>
      <c r="G108" s="74"/>
    </row>
    <row r="109" spans="1:7" ht="15.6" x14ac:dyDescent="0.3">
      <c r="A109" s="29"/>
      <c r="B109" s="27"/>
      <c r="C109" s="27"/>
      <c r="D109" s="73"/>
      <c r="E109" s="71"/>
      <c r="F109" s="71">
        <f t="shared" si="2"/>
        <v>0</v>
      </c>
      <c r="G109" s="70"/>
    </row>
    <row r="110" spans="1:7" ht="15.6" x14ac:dyDescent="0.3">
      <c r="A110" s="29"/>
      <c r="B110" s="27"/>
      <c r="C110" s="27"/>
      <c r="D110" s="73"/>
      <c r="E110" s="71"/>
      <c r="F110" s="71">
        <f t="shared" si="2"/>
        <v>0</v>
      </c>
      <c r="G110" s="70"/>
    </row>
    <row r="111" spans="1:7" ht="15.6" x14ac:dyDescent="0.3">
      <c r="A111" s="29"/>
      <c r="B111" s="27"/>
      <c r="C111" s="27"/>
      <c r="D111" s="73"/>
      <c r="E111" s="71"/>
      <c r="F111" s="71">
        <f t="shared" si="2"/>
        <v>0</v>
      </c>
      <c r="G111" s="70"/>
    </row>
    <row r="112" spans="1:7" ht="15.6" x14ac:dyDescent="0.3">
      <c r="A112" s="29"/>
      <c r="B112" s="27"/>
      <c r="C112" s="27"/>
      <c r="D112" s="73"/>
      <c r="E112" s="71"/>
      <c r="F112" s="71">
        <f t="shared" si="2"/>
        <v>0</v>
      </c>
      <c r="G112" s="70"/>
    </row>
    <row r="113" spans="1:7" ht="15.6" x14ac:dyDescent="0.3">
      <c r="A113" s="26"/>
      <c r="B113" s="27"/>
      <c r="C113" s="27"/>
      <c r="D113" s="73"/>
      <c r="E113" s="71"/>
      <c r="F113" s="71">
        <f t="shared" si="2"/>
        <v>0</v>
      </c>
      <c r="G113" s="70"/>
    </row>
    <row r="114" spans="1:7" ht="15.6" x14ac:dyDescent="0.3">
      <c r="A114" s="26"/>
      <c r="B114" s="27"/>
      <c r="C114" s="27"/>
      <c r="D114" s="73"/>
      <c r="E114" s="71"/>
      <c r="F114" s="71">
        <f t="shared" si="2"/>
        <v>0</v>
      </c>
      <c r="G114" s="70"/>
    </row>
    <row r="115" spans="1:7" ht="15.6" x14ac:dyDescent="0.3">
      <c r="A115" s="26"/>
      <c r="B115" s="25"/>
      <c r="C115" s="27"/>
      <c r="D115" s="73"/>
      <c r="E115" s="71"/>
      <c r="F115" s="71">
        <f t="shared" si="2"/>
        <v>0</v>
      </c>
      <c r="G115" s="70"/>
    </row>
    <row r="116" spans="1:7" ht="15.6" x14ac:dyDescent="0.3">
      <c r="A116" s="26"/>
      <c r="B116" s="25"/>
      <c r="C116" s="27"/>
      <c r="D116" s="73"/>
      <c r="E116" s="71"/>
      <c r="F116" s="71">
        <f t="shared" si="2"/>
        <v>0</v>
      </c>
      <c r="G116" s="70"/>
    </row>
    <row r="117" spans="1:7" ht="15.6" x14ac:dyDescent="0.3">
      <c r="A117" s="26"/>
      <c r="B117" s="25"/>
      <c r="C117" s="25"/>
      <c r="D117" s="72"/>
      <c r="E117" s="71"/>
      <c r="F117" s="71">
        <f t="shared" si="2"/>
        <v>0</v>
      </c>
      <c r="G117" s="70"/>
    </row>
    <row r="118" spans="1:7" ht="15.6" x14ac:dyDescent="0.3">
      <c r="A118" s="26"/>
      <c r="B118" s="25"/>
      <c r="C118" s="25"/>
      <c r="D118" s="72"/>
      <c r="E118" s="71"/>
      <c r="F118" s="71">
        <f t="shared" si="2"/>
        <v>0</v>
      </c>
      <c r="G118" s="70"/>
    </row>
    <row r="119" spans="1:7" ht="15.6" x14ac:dyDescent="0.3">
      <c r="A119" s="26"/>
      <c r="B119" s="25"/>
      <c r="C119" s="25"/>
      <c r="D119" s="72"/>
      <c r="E119" s="71"/>
      <c r="F119" s="71">
        <f t="shared" si="2"/>
        <v>0</v>
      </c>
      <c r="G119" s="70"/>
    </row>
    <row r="120" spans="1:7" ht="15.6" x14ac:dyDescent="0.3">
      <c r="A120" s="21"/>
      <c r="B120" s="20"/>
      <c r="C120" s="20"/>
      <c r="D120" s="69"/>
      <c r="E120" s="68"/>
      <c r="F120" s="68">
        <f t="shared" si="2"/>
        <v>0</v>
      </c>
      <c r="G120" s="67"/>
    </row>
    <row r="121" spans="1:7" ht="17.399999999999999" x14ac:dyDescent="0.3">
      <c r="A121" s="17"/>
      <c r="B121" s="16"/>
      <c r="C121" s="9" t="s">
        <v>8</v>
      </c>
      <c r="D121" s="9"/>
      <c r="E121" s="66"/>
      <c r="F121" s="65">
        <f>SUM(F106:F119)</f>
        <v>1700</v>
      </c>
      <c r="G121" s="64"/>
    </row>
    <row r="122" spans="1:7" ht="17.399999999999999" x14ac:dyDescent="0.3">
      <c r="A122" s="11"/>
      <c r="B122" s="10"/>
      <c r="C122" s="63" t="s">
        <v>7</v>
      </c>
      <c r="D122" s="63"/>
      <c r="E122" s="62"/>
      <c r="F122" s="61">
        <f>F121*0.16</f>
        <v>272</v>
      </c>
      <c r="G122" s="60"/>
    </row>
    <row r="123" spans="1:7" ht="17.399999999999999" x14ac:dyDescent="0.3">
      <c r="A123" s="11"/>
      <c r="B123" s="10"/>
      <c r="C123" s="59" t="s">
        <v>6</v>
      </c>
      <c r="D123" s="59"/>
      <c r="E123" s="58"/>
      <c r="F123" s="57">
        <f>F121+F122</f>
        <v>1972</v>
      </c>
      <c r="G123" s="56"/>
    </row>
    <row r="124" spans="1:7" ht="15.6" x14ac:dyDescent="0.3">
      <c r="A124" s="6" t="s">
        <v>5</v>
      </c>
      <c r="B124" s="5"/>
      <c r="C124" s="5" t="s">
        <v>4</v>
      </c>
      <c r="D124" s="5"/>
      <c r="E124" s="5" t="s">
        <v>3</v>
      </c>
      <c r="F124" s="5"/>
      <c r="G124" s="4"/>
    </row>
    <row r="125" spans="1:7" ht="15.6" x14ac:dyDescent="0.3">
      <c r="A125" s="3" t="s">
        <v>2</v>
      </c>
      <c r="B125" s="2"/>
      <c r="C125" s="2" t="s">
        <v>39</v>
      </c>
      <c r="D125" s="2"/>
      <c r="E125" s="2" t="s">
        <v>0</v>
      </c>
      <c r="F125" s="2"/>
      <c r="G125" s="1"/>
    </row>
    <row r="129" spans="1:7" ht="24.6" x14ac:dyDescent="0.3">
      <c r="A129" s="271" t="s">
        <v>38</v>
      </c>
      <c r="B129" s="302"/>
      <c r="C129" s="272"/>
      <c r="D129" s="305" t="s">
        <v>37</v>
      </c>
      <c r="E129" s="306"/>
      <c r="F129" s="306"/>
      <c r="G129" s="307"/>
    </row>
    <row r="130" spans="1:7" ht="21" x14ac:dyDescent="0.4">
      <c r="A130" s="273"/>
      <c r="B130" s="303"/>
      <c r="C130" s="274"/>
      <c r="D130" s="51" t="s">
        <v>36</v>
      </c>
      <c r="E130" s="308" t="s">
        <v>643</v>
      </c>
      <c r="F130" s="282"/>
      <c r="G130" s="50"/>
    </row>
    <row r="131" spans="1:7" ht="21" x14ac:dyDescent="0.4">
      <c r="A131" s="273"/>
      <c r="B131" s="303"/>
      <c r="C131" s="274"/>
      <c r="D131" s="51" t="s">
        <v>51</v>
      </c>
      <c r="E131" s="284">
        <v>23</v>
      </c>
      <c r="F131" s="282"/>
      <c r="G131" s="50"/>
    </row>
    <row r="132" spans="1:7" ht="30" x14ac:dyDescent="0.3">
      <c r="A132" s="275"/>
      <c r="B132" s="304"/>
      <c r="C132" s="276"/>
      <c r="D132" s="47" t="s">
        <v>50</v>
      </c>
      <c r="E132" s="287" t="s">
        <v>649</v>
      </c>
      <c r="F132" s="287"/>
      <c r="G132" s="87"/>
    </row>
    <row r="133" spans="1:7" ht="20.399999999999999" x14ac:dyDescent="0.35">
      <c r="A133" s="39" t="s">
        <v>48</v>
      </c>
      <c r="B133" s="43" t="s">
        <v>47</v>
      </c>
      <c r="C133" s="42"/>
      <c r="D133" s="42"/>
      <c r="E133" s="86"/>
      <c r="F133" s="85"/>
      <c r="G133" s="84"/>
    </row>
    <row r="134" spans="1:7" ht="20.399999999999999" x14ac:dyDescent="0.35">
      <c r="A134" s="39" t="s">
        <v>547</v>
      </c>
      <c r="B134" s="38" t="s">
        <v>403</v>
      </c>
      <c r="C134" s="37"/>
      <c r="D134" s="37"/>
      <c r="E134" s="312"/>
      <c r="F134" s="313"/>
      <c r="G134" s="314"/>
    </row>
    <row r="135" spans="1:7" ht="20.399999999999999" x14ac:dyDescent="0.35">
      <c r="A135" s="39" t="s">
        <v>46</v>
      </c>
      <c r="B135" s="38" t="s">
        <v>362</v>
      </c>
      <c r="C135" s="37"/>
      <c r="D135" s="37"/>
      <c r="E135" s="80"/>
      <c r="F135" s="79"/>
      <c r="G135" s="78"/>
    </row>
    <row r="136" spans="1:7" ht="20.399999999999999" x14ac:dyDescent="0.35">
      <c r="A136" s="39" t="s">
        <v>28</v>
      </c>
      <c r="B136" s="38" t="s">
        <v>44</v>
      </c>
      <c r="C136" s="37"/>
      <c r="D136" s="37"/>
      <c r="E136" s="37"/>
      <c r="F136" s="37"/>
      <c r="G136" s="77"/>
    </row>
    <row r="137" spans="1:7" ht="15" x14ac:dyDescent="0.3">
      <c r="A137" s="34" t="s">
        <v>26</v>
      </c>
      <c r="B137" s="34" t="s">
        <v>25</v>
      </c>
      <c r="C137" s="34" t="s">
        <v>24</v>
      </c>
      <c r="D137" s="34" t="s">
        <v>43</v>
      </c>
      <c r="E137" s="34" t="s">
        <v>42</v>
      </c>
      <c r="F137" s="34" t="s">
        <v>22</v>
      </c>
      <c r="G137" s="34" t="s">
        <v>21</v>
      </c>
    </row>
    <row r="138" spans="1:7" ht="15.6" x14ac:dyDescent="0.3">
      <c r="A138" s="33">
        <v>3</v>
      </c>
      <c r="B138" s="32" t="s">
        <v>53</v>
      </c>
      <c r="C138" s="32" t="s">
        <v>644</v>
      </c>
      <c r="D138" s="76">
        <v>15418</v>
      </c>
      <c r="E138" s="178">
        <v>134.1</v>
      </c>
      <c r="F138" s="178">
        <f t="shared" ref="F138:F152" si="3">A138*E138</f>
        <v>402.29999999999995</v>
      </c>
      <c r="G138" s="74"/>
    </row>
    <row r="139" spans="1:7" ht="15.6" x14ac:dyDescent="0.3">
      <c r="A139" s="29">
        <v>2</v>
      </c>
      <c r="B139" s="25" t="s">
        <v>53</v>
      </c>
      <c r="C139" s="25" t="s">
        <v>645</v>
      </c>
      <c r="D139" s="73">
        <v>15412</v>
      </c>
      <c r="E139" s="179">
        <v>90</v>
      </c>
      <c r="F139" s="179">
        <f t="shared" si="3"/>
        <v>180</v>
      </c>
      <c r="G139" s="74"/>
    </row>
    <row r="140" spans="1:7" ht="15.6" x14ac:dyDescent="0.3">
      <c r="A140" s="29">
        <v>3</v>
      </c>
      <c r="B140" s="25" t="s">
        <v>53</v>
      </c>
      <c r="C140" s="25" t="s">
        <v>646</v>
      </c>
      <c r="D140" s="73">
        <v>22290</v>
      </c>
      <c r="E140" s="179">
        <v>95</v>
      </c>
      <c r="F140" s="179">
        <f t="shared" si="3"/>
        <v>285</v>
      </c>
      <c r="G140" s="74"/>
    </row>
    <row r="141" spans="1:7" ht="31.2" x14ac:dyDescent="0.3">
      <c r="A141" s="29">
        <v>5</v>
      </c>
      <c r="B141" s="27" t="s">
        <v>53</v>
      </c>
      <c r="C141" s="27" t="s">
        <v>647</v>
      </c>
      <c r="D141" s="73">
        <v>27065</v>
      </c>
      <c r="E141" s="179">
        <v>30</v>
      </c>
      <c r="F141" s="179">
        <f t="shared" si="3"/>
        <v>150</v>
      </c>
      <c r="G141" s="70" t="s">
        <v>648</v>
      </c>
    </row>
    <row r="142" spans="1:7" ht="15.6" x14ac:dyDescent="0.3">
      <c r="A142" s="29"/>
      <c r="B142" s="27"/>
      <c r="C142" s="27"/>
      <c r="D142" s="73"/>
      <c r="E142" s="179"/>
      <c r="F142" s="179">
        <f t="shared" si="3"/>
        <v>0</v>
      </c>
      <c r="G142" s="70"/>
    </row>
    <row r="143" spans="1:7" ht="15.6" x14ac:dyDescent="0.3">
      <c r="A143" s="29"/>
      <c r="B143" s="27"/>
      <c r="C143" s="27"/>
      <c r="D143" s="73"/>
      <c r="E143" s="179"/>
      <c r="F143" s="179">
        <f t="shared" si="3"/>
        <v>0</v>
      </c>
      <c r="G143" s="70"/>
    </row>
    <row r="144" spans="1:7" ht="15.6" x14ac:dyDescent="0.3">
      <c r="A144" s="29"/>
      <c r="B144" s="27"/>
      <c r="C144" s="27"/>
      <c r="D144" s="73"/>
      <c r="E144" s="179"/>
      <c r="F144" s="179">
        <f t="shared" si="3"/>
        <v>0</v>
      </c>
      <c r="G144" s="70"/>
    </row>
    <row r="145" spans="1:7" ht="15.6" x14ac:dyDescent="0.3">
      <c r="A145" s="26"/>
      <c r="B145" s="27"/>
      <c r="C145" s="27"/>
      <c r="D145" s="73"/>
      <c r="E145" s="179"/>
      <c r="F145" s="179">
        <f t="shared" si="3"/>
        <v>0</v>
      </c>
      <c r="G145" s="70"/>
    </row>
    <row r="146" spans="1:7" ht="15.6" x14ac:dyDescent="0.3">
      <c r="A146" s="26"/>
      <c r="B146" s="27"/>
      <c r="C146" s="27"/>
      <c r="D146" s="73"/>
      <c r="E146" s="179"/>
      <c r="F146" s="179">
        <f t="shared" si="3"/>
        <v>0</v>
      </c>
      <c r="G146" s="70"/>
    </row>
    <row r="147" spans="1:7" ht="15.6" x14ac:dyDescent="0.3">
      <c r="A147" s="26"/>
      <c r="B147" s="25"/>
      <c r="C147" s="27"/>
      <c r="D147" s="73"/>
      <c r="E147" s="179"/>
      <c r="F147" s="179">
        <f t="shared" si="3"/>
        <v>0</v>
      </c>
      <c r="G147" s="70"/>
    </row>
    <row r="148" spans="1:7" ht="15.6" x14ac:dyDescent="0.3">
      <c r="A148" s="26"/>
      <c r="B148" s="25"/>
      <c r="C148" s="25"/>
      <c r="D148" s="72"/>
      <c r="E148" s="179"/>
      <c r="F148" s="179">
        <f t="shared" si="3"/>
        <v>0</v>
      </c>
      <c r="G148" s="70"/>
    </row>
    <row r="149" spans="1:7" ht="15.6" x14ac:dyDescent="0.3">
      <c r="A149" s="26"/>
      <c r="B149" s="25"/>
      <c r="C149" s="25"/>
      <c r="D149" s="72"/>
      <c r="E149" s="179"/>
      <c r="F149" s="179">
        <f t="shared" si="3"/>
        <v>0</v>
      </c>
      <c r="G149" s="70"/>
    </row>
    <row r="150" spans="1:7" ht="15.6" x14ac:dyDescent="0.3">
      <c r="A150" s="26"/>
      <c r="B150" s="25"/>
      <c r="C150" s="25"/>
      <c r="D150" s="72"/>
      <c r="E150" s="179"/>
      <c r="F150" s="179">
        <f t="shared" si="3"/>
        <v>0</v>
      </c>
      <c r="G150" s="70"/>
    </row>
    <row r="151" spans="1:7" ht="15.6" x14ac:dyDescent="0.3">
      <c r="A151" s="26"/>
      <c r="B151" s="25"/>
      <c r="C151" s="25"/>
      <c r="D151" s="72"/>
      <c r="E151" s="179"/>
      <c r="F151" s="179">
        <f t="shared" si="3"/>
        <v>0</v>
      </c>
      <c r="G151" s="70"/>
    </row>
    <row r="152" spans="1:7" ht="15.6" x14ac:dyDescent="0.3">
      <c r="A152" s="21"/>
      <c r="B152" s="20"/>
      <c r="C152" s="20"/>
      <c r="D152" s="69"/>
      <c r="E152" s="180"/>
      <c r="F152" s="180">
        <f t="shared" si="3"/>
        <v>0</v>
      </c>
      <c r="G152" s="67"/>
    </row>
    <row r="153" spans="1:7" ht="17.399999999999999" x14ac:dyDescent="0.3">
      <c r="A153" s="17"/>
      <c r="B153" s="16"/>
      <c r="C153" s="9" t="s">
        <v>8</v>
      </c>
      <c r="D153" s="9"/>
      <c r="E153" s="181"/>
      <c r="F153" s="182">
        <f>SUM(F138:F151)</f>
        <v>1017.3</v>
      </c>
      <c r="G153" s="64"/>
    </row>
    <row r="154" spans="1:7" ht="17.399999999999999" x14ac:dyDescent="0.3">
      <c r="A154" s="11"/>
      <c r="B154" s="10"/>
      <c r="C154" s="63" t="s">
        <v>7</v>
      </c>
      <c r="D154" s="63"/>
      <c r="E154" s="183"/>
      <c r="F154" s="184">
        <f>F153*0.16</f>
        <v>162.768</v>
      </c>
      <c r="G154" s="60"/>
    </row>
    <row r="155" spans="1:7" ht="17.399999999999999" x14ac:dyDescent="0.3">
      <c r="A155" s="11"/>
      <c r="B155" s="10"/>
      <c r="C155" s="59" t="s">
        <v>6</v>
      </c>
      <c r="D155" s="59"/>
      <c r="E155" s="185"/>
      <c r="F155" s="186">
        <f>F153+F154</f>
        <v>1180.068</v>
      </c>
      <c r="G155" s="56"/>
    </row>
    <row r="156" spans="1:7" ht="15.6" x14ac:dyDescent="0.3">
      <c r="A156" s="6" t="s">
        <v>5</v>
      </c>
      <c r="B156" s="5"/>
      <c r="C156" s="5" t="s">
        <v>4</v>
      </c>
      <c r="D156" s="5"/>
      <c r="E156" s="5" t="s">
        <v>3</v>
      </c>
      <c r="F156" s="5"/>
      <c r="G156" s="4"/>
    </row>
    <row r="157" spans="1:7" ht="15.6" x14ac:dyDescent="0.3">
      <c r="A157" s="3" t="s">
        <v>2</v>
      </c>
      <c r="B157" s="2"/>
      <c r="C157" s="2" t="s">
        <v>39</v>
      </c>
      <c r="D157" s="2"/>
      <c r="E157" s="2" t="s">
        <v>0</v>
      </c>
      <c r="F157" s="2"/>
      <c r="G157" s="1"/>
    </row>
  </sheetData>
  <mergeCells count="51">
    <mergeCell ref="E134:G134"/>
    <mergeCell ref="A129:C132"/>
    <mergeCell ref="D129:G129"/>
    <mergeCell ref="E130:F130"/>
    <mergeCell ref="E131:F131"/>
    <mergeCell ref="E132:F132"/>
    <mergeCell ref="A97:C100"/>
    <mergeCell ref="D97:G97"/>
    <mergeCell ref="E98:F98"/>
    <mergeCell ref="E99:F99"/>
    <mergeCell ref="E100:F100"/>
    <mergeCell ref="C90:D90"/>
    <mergeCell ref="C91:D91"/>
    <mergeCell ref="A92:B92"/>
    <mergeCell ref="E92:G92"/>
    <mergeCell ref="A93:B93"/>
    <mergeCell ref="E93:G93"/>
    <mergeCell ref="E66:G66"/>
    <mergeCell ref="B67:G67"/>
    <mergeCell ref="B68:G68"/>
    <mergeCell ref="B69:G69"/>
    <mergeCell ref="C89:D89"/>
    <mergeCell ref="B62:C65"/>
    <mergeCell ref="D62:G62"/>
    <mergeCell ref="D63:E63"/>
    <mergeCell ref="F63:G63"/>
    <mergeCell ref="D65:E65"/>
    <mergeCell ref="F65:G65"/>
    <mergeCell ref="C55:E55"/>
    <mergeCell ref="C56:E56"/>
    <mergeCell ref="A3:C6"/>
    <mergeCell ref="D3:G3"/>
    <mergeCell ref="E4:F4"/>
    <mergeCell ref="E5:F5"/>
    <mergeCell ref="E6:F6"/>
    <mergeCell ref="A57:B57"/>
    <mergeCell ref="E57:G57"/>
    <mergeCell ref="A58:B58"/>
    <mergeCell ref="E58:G58"/>
    <mergeCell ref="F34:G34"/>
    <mergeCell ref="E35:G35"/>
    <mergeCell ref="B36:G36"/>
    <mergeCell ref="B37:G37"/>
    <mergeCell ref="B38:G38"/>
    <mergeCell ref="A42:C42"/>
    <mergeCell ref="B31:C34"/>
    <mergeCell ref="D31:G31"/>
    <mergeCell ref="D32:E32"/>
    <mergeCell ref="F32:G32"/>
    <mergeCell ref="D34:E34"/>
    <mergeCell ref="D54:E54"/>
  </mergeCells>
  <dataValidations disablePrompts="1" count="1">
    <dataValidation type="textLength" errorStyle="warning" allowBlank="1" showErrorMessage="1" errorTitle="Tipo de unidad" error="Escriba el tipo de unidad (bruto, cajas, docenas, paquetes, fajos, etc.) al que se refiere el precio unitario._x000a_" promptTitle="Tipo de unidad" sqref="A26 A45 A57 A92 A124 A156" xr:uid="{EAC21F0C-4A8D-4F4E-9468-20753AA1DA6F}">
      <formula1>0</formula1>
      <formula2>256</formula2>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8EF6C-007E-4EB7-A886-F67C1C3422C4}">
  <dimension ref="A4:G728"/>
  <sheetViews>
    <sheetView tabSelected="1" topLeftCell="A694" zoomScale="85" zoomScaleNormal="85" workbookViewId="0">
      <selection activeCell="D704" sqref="A704:G730"/>
    </sheetView>
  </sheetViews>
  <sheetFormatPr baseColWidth="10" defaultRowHeight="14.4" x14ac:dyDescent="0.3"/>
  <cols>
    <col min="1" max="1" width="23.88671875" customWidth="1"/>
    <col min="2" max="2" width="18.109375" customWidth="1"/>
    <col min="3" max="3" width="29.44140625" customWidth="1"/>
    <col min="4" max="4" width="28.33203125" customWidth="1"/>
    <col min="5" max="5" width="26.6640625" customWidth="1"/>
    <col min="6" max="6" width="18.21875" customWidth="1"/>
    <col min="7" max="7" width="21.88671875" customWidth="1"/>
  </cols>
  <sheetData>
    <row r="4" spans="1:7" ht="21" x14ac:dyDescent="0.4">
      <c r="A4" s="55"/>
      <c r="B4" s="271" t="s">
        <v>38</v>
      </c>
      <c r="C4" s="272"/>
      <c r="D4" s="277" t="s">
        <v>37</v>
      </c>
      <c r="E4" s="278"/>
      <c r="F4" s="278"/>
      <c r="G4" s="279"/>
    </row>
    <row r="5" spans="1:7" ht="21" x14ac:dyDescent="0.4">
      <c r="A5" s="53"/>
      <c r="B5" s="273"/>
      <c r="C5" s="274"/>
      <c r="D5" s="280" t="s">
        <v>36</v>
      </c>
      <c r="E5" s="281"/>
      <c r="F5" s="282" t="s">
        <v>557</v>
      </c>
      <c r="G5" s="283"/>
    </row>
    <row r="6" spans="1:7" ht="21" x14ac:dyDescent="0.4">
      <c r="A6" s="53"/>
      <c r="B6" s="273"/>
      <c r="C6" s="274"/>
      <c r="D6" s="135" t="s">
        <v>118</v>
      </c>
      <c r="E6" s="136"/>
      <c r="F6" s="90">
        <v>22</v>
      </c>
      <c r="G6" s="50"/>
    </row>
    <row r="7" spans="1:7" ht="21" x14ac:dyDescent="0.4">
      <c r="A7" s="49"/>
      <c r="B7" s="275"/>
      <c r="C7" s="276"/>
      <c r="D7" s="285" t="s">
        <v>50</v>
      </c>
      <c r="E7" s="286"/>
      <c r="F7" s="287" t="s">
        <v>558</v>
      </c>
      <c r="G7" s="288"/>
    </row>
    <row r="8" spans="1:7" ht="20.399999999999999" x14ac:dyDescent="0.35">
      <c r="A8" s="39" t="s">
        <v>48</v>
      </c>
      <c r="B8" s="43" t="s">
        <v>0</v>
      </c>
      <c r="C8" s="42"/>
      <c r="D8" s="42"/>
      <c r="E8" s="42"/>
      <c r="F8" s="42"/>
      <c r="G8" s="106"/>
    </row>
    <row r="9" spans="1:7" ht="20.399999999999999" x14ac:dyDescent="0.35">
      <c r="A9" s="39" t="s">
        <v>313</v>
      </c>
      <c r="B9" s="38" t="s">
        <v>560</v>
      </c>
      <c r="C9" s="37"/>
      <c r="D9" s="37"/>
      <c r="E9" s="37"/>
      <c r="F9" s="37"/>
      <c r="G9" s="77"/>
    </row>
    <row r="10" spans="1:7" ht="20.399999999999999" x14ac:dyDescent="0.35">
      <c r="A10" s="39" t="s">
        <v>46</v>
      </c>
      <c r="B10" s="291" t="s">
        <v>559</v>
      </c>
      <c r="C10" s="292"/>
      <c r="D10" s="292"/>
      <c r="E10" s="292"/>
      <c r="F10" s="292"/>
      <c r="G10" s="293"/>
    </row>
    <row r="11" spans="1:7" ht="20.399999999999999" x14ac:dyDescent="0.35">
      <c r="A11" s="39" t="s">
        <v>28</v>
      </c>
      <c r="B11" s="38" t="s">
        <v>97</v>
      </c>
      <c r="C11" s="37"/>
      <c r="D11" s="37"/>
      <c r="E11" s="37"/>
      <c r="F11" s="37"/>
      <c r="G11" s="77"/>
    </row>
    <row r="12" spans="1:7" ht="60" x14ac:dyDescent="0.3">
      <c r="A12" s="34" t="s">
        <v>26</v>
      </c>
      <c r="B12" s="34" t="s">
        <v>25</v>
      </c>
      <c r="C12" s="34" t="s">
        <v>24</v>
      </c>
      <c r="D12" s="34" t="s">
        <v>43</v>
      </c>
      <c r="E12" s="34" t="s">
        <v>42</v>
      </c>
      <c r="F12" s="34" t="s">
        <v>22</v>
      </c>
      <c r="G12" s="34" t="s">
        <v>21</v>
      </c>
    </row>
    <row r="13" spans="1:7" ht="15.6" x14ac:dyDescent="0.3">
      <c r="A13" s="33"/>
      <c r="B13" s="32"/>
      <c r="C13" s="32"/>
      <c r="D13" s="76"/>
      <c r="E13" s="75"/>
      <c r="F13" s="75">
        <f t="shared" ref="F13:F27" si="0">A13*E13</f>
        <v>0</v>
      </c>
      <c r="G13" s="74"/>
    </row>
    <row r="14" spans="1:7" ht="15.6" x14ac:dyDescent="0.3">
      <c r="A14" s="29"/>
      <c r="B14" s="25"/>
      <c r="C14" s="25"/>
      <c r="D14" s="73"/>
      <c r="E14" s="71"/>
      <c r="F14" s="71">
        <f t="shared" si="0"/>
        <v>0</v>
      </c>
      <c r="G14" s="74"/>
    </row>
    <row r="15" spans="1:7" ht="15.6" x14ac:dyDescent="0.3">
      <c r="A15" s="29">
        <v>6</v>
      </c>
      <c r="B15" s="25" t="s">
        <v>94</v>
      </c>
      <c r="C15" s="25" t="s">
        <v>96</v>
      </c>
      <c r="D15" s="73" t="s">
        <v>95</v>
      </c>
      <c r="E15" s="71">
        <v>96.82</v>
      </c>
      <c r="F15" s="71">
        <f t="shared" si="0"/>
        <v>580.91999999999996</v>
      </c>
      <c r="G15" s="74"/>
    </row>
    <row r="16" spans="1:7" ht="31.2" x14ac:dyDescent="0.3">
      <c r="A16" s="29">
        <v>6</v>
      </c>
      <c r="B16" s="27" t="s">
        <v>10</v>
      </c>
      <c r="C16" s="27" t="s">
        <v>561</v>
      </c>
      <c r="D16" s="73"/>
      <c r="E16" s="71">
        <v>22</v>
      </c>
      <c r="F16" s="71">
        <f t="shared" si="0"/>
        <v>132</v>
      </c>
      <c r="G16" s="70"/>
    </row>
    <row r="17" spans="1:7" ht="15.6" x14ac:dyDescent="0.3">
      <c r="A17" s="29"/>
      <c r="B17" s="27"/>
      <c r="C17" s="27"/>
      <c r="D17" s="73"/>
      <c r="E17" s="71"/>
      <c r="F17" s="71">
        <f>A17*E17</f>
        <v>0</v>
      </c>
      <c r="G17" s="70"/>
    </row>
    <row r="18" spans="1:7" ht="15.6" x14ac:dyDescent="0.3">
      <c r="A18" s="29"/>
      <c r="B18" s="27"/>
      <c r="C18" s="27"/>
      <c r="D18" s="73"/>
      <c r="E18" s="71"/>
      <c r="F18" s="71">
        <f>A18*E18</f>
        <v>0</v>
      </c>
      <c r="G18" s="70"/>
    </row>
    <row r="19" spans="1:7" ht="15.6" x14ac:dyDescent="0.3">
      <c r="A19" s="29">
        <v>9</v>
      </c>
      <c r="B19" s="27" t="s">
        <v>10</v>
      </c>
      <c r="C19" s="27" t="s">
        <v>411</v>
      </c>
      <c r="D19" s="73" t="s">
        <v>413</v>
      </c>
      <c r="E19" s="71">
        <v>71.25</v>
      </c>
      <c r="F19" s="71">
        <f t="shared" si="0"/>
        <v>641.25</v>
      </c>
      <c r="G19" s="70" t="s">
        <v>371</v>
      </c>
    </row>
    <row r="20" spans="1:7" ht="15.6" x14ac:dyDescent="0.3">
      <c r="A20" s="26"/>
      <c r="B20" s="27"/>
      <c r="C20" s="27"/>
      <c r="D20" s="73"/>
      <c r="E20" s="71"/>
      <c r="F20" s="71">
        <f t="shared" si="0"/>
        <v>0</v>
      </c>
      <c r="G20" s="70"/>
    </row>
    <row r="21" spans="1:7" ht="15.6" x14ac:dyDescent="0.3">
      <c r="A21" s="26"/>
      <c r="B21" s="27"/>
      <c r="C21" s="27"/>
      <c r="D21" s="99"/>
      <c r="E21" s="71"/>
      <c r="F21" s="71">
        <f t="shared" si="0"/>
        <v>0</v>
      </c>
      <c r="G21" s="70"/>
    </row>
    <row r="22" spans="1:7" ht="15.6" x14ac:dyDescent="0.3">
      <c r="A22" s="26"/>
      <c r="B22" s="25"/>
      <c r="C22" s="25"/>
      <c r="D22" s="72"/>
      <c r="E22" s="71"/>
      <c r="F22" s="71">
        <f t="shared" si="0"/>
        <v>0</v>
      </c>
      <c r="G22" s="70"/>
    </row>
    <row r="23" spans="1:7" ht="15.6" x14ac:dyDescent="0.3">
      <c r="A23" s="26"/>
      <c r="B23" s="25"/>
      <c r="C23" s="25"/>
      <c r="D23" s="72"/>
      <c r="E23" s="71"/>
      <c r="F23" s="71">
        <f t="shared" si="0"/>
        <v>0</v>
      </c>
      <c r="G23" s="70"/>
    </row>
    <row r="24" spans="1:7" ht="15.6" x14ac:dyDescent="0.3">
      <c r="A24" s="26"/>
      <c r="B24" s="25"/>
      <c r="C24" s="25"/>
      <c r="D24" s="72"/>
      <c r="E24" s="71"/>
      <c r="F24" s="71">
        <f t="shared" si="0"/>
        <v>0</v>
      </c>
      <c r="G24" s="70"/>
    </row>
    <row r="25" spans="1:7" ht="15.6" x14ac:dyDescent="0.3">
      <c r="A25" s="26"/>
      <c r="B25" s="25"/>
      <c r="C25" s="25"/>
      <c r="D25" s="72"/>
      <c r="E25" s="71"/>
      <c r="F25" s="71">
        <f t="shared" si="0"/>
        <v>0</v>
      </c>
      <c r="G25" s="70"/>
    </row>
    <row r="26" spans="1:7" ht="15.6" x14ac:dyDescent="0.3">
      <c r="A26" s="26"/>
      <c r="B26" s="25"/>
      <c r="C26" s="25"/>
      <c r="D26" s="72"/>
      <c r="E26" s="71"/>
      <c r="F26" s="71">
        <f t="shared" si="0"/>
        <v>0</v>
      </c>
      <c r="G26" s="70"/>
    </row>
    <row r="27" spans="1:7" ht="15.6" x14ac:dyDescent="0.3">
      <c r="A27" s="21"/>
      <c r="B27" s="20"/>
      <c r="C27" s="20"/>
      <c r="D27" s="69"/>
      <c r="E27" s="68"/>
      <c r="F27" s="68">
        <f t="shared" si="0"/>
        <v>0</v>
      </c>
      <c r="G27" s="67"/>
    </row>
    <row r="28" spans="1:7" ht="17.399999999999999" x14ac:dyDescent="0.3">
      <c r="A28" s="17"/>
      <c r="B28" s="16"/>
      <c r="C28" s="9" t="s">
        <v>8</v>
      </c>
      <c r="D28" s="9"/>
      <c r="E28" s="66"/>
      <c r="F28" s="105">
        <f>SUM(F13:F26)</f>
        <v>1354.17</v>
      </c>
      <c r="G28" s="64"/>
    </row>
    <row r="29" spans="1:7" ht="17.399999999999999" x14ac:dyDescent="0.3">
      <c r="A29" s="11"/>
      <c r="B29" s="10"/>
      <c r="C29" s="63" t="s">
        <v>7</v>
      </c>
      <c r="D29" s="63"/>
      <c r="E29" s="62"/>
      <c r="F29" s="104">
        <f>F28*0.16</f>
        <v>216.66720000000001</v>
      </c>
      <c r="G29" s="60"/>
    </row>
    <row r="30" spans="1:7" ht="17.399999999999999" x14ac:dyDescent="0.3">
      <c r="A30" s="11"/>
      <c r="B30" s="10"/>
      <c r="C30" s="59" t="s">
        <v>6</v>
      </c>
      <c r="D30" s="59"/>
      <c r="E30" s="58"/>
      <c r="F30" s="103">
        <f>F28+F29</f>
        <v>1570.8372000000002</v>
      </c>
      <c r="G30" s="56"/>
    </row>
    <row r="31" spans="1:7" ht="15.6" x14ac:dyDescent="0.3">
      <c r="A31" s="6" t="s">
        <v>5</v>
      </c>
      <c r="B31" s="5"/>
      <c r="C31" s="5" t="s">
        <v>4</v>
      </c>
      <c r="D31" s="5"/>
      <c r="E31" s="5" t="s">
        <v>3</v>
      </c>
      <c r="F31" s="5"/>
      <c r="G31" s="4"/>
    </row>
    <row r="32" spans="1:7" ht="15.6" x14ac:dyDescent="0.3">
      <c r="A32" s="3" t="s">
        <v>408</v>
      </c>
      <c r="B32" s="2"/>
      <c r="C32" s="2" t="s">
        <v>39</v>
      </c>
      <c r="D32" s="2"/>
      <c r="E32" s="2" t="s">
        <v>70</v>
      </c>
      <c r="F32" s="2"/>
      <c r="G32" s="1"/>
    </row>
    <row r="36" spans="1:7" ht="21" x14ac:dyDescent="0.4">
      <c r="A36" s="55"/>
      <c r="B36" s="271" t="s">
        <v>38</v>
      </c>
      <c r="C36" s="272"/>
      <c r="D36" s="277" t="s">
        <v>37</v>
      </c>
      <c r="E36" s="278"/>
      <c r="F36" s="278"/>
      <c r="G36" s="279"/>
    </row>
    <row r="37" spans="1:7" ht="21" x14ac:dyDescent="0.4">
      <c r="A37" s="53"/>
      <c r="B37" s="273"/>
      <c r="C37" s="274"/>
      <c r="D37" s="280" t="s">
        <v>36</v>
      </c>
      <c r="E37" s="281"/>
      <c r="F37" s="282" t="s">
        <v>564</v>
      </c>
      <c r="G37" s="283"/>
    </row>
    <row r="38" spans="1:7" ht="21" x14ac:dyDescent="0.4">
      <c r="A38" s="53"/>
      <c r="B38" s="273"/>
      <c r="C38" s="274"/>
      <c r="D38" s="135" t="s">
        <v>118</v>
      </c>
      <c r="E38" s="136"/>
      <c r="F38" s="90">
        <v>22</v>
      </c>
      <c r="G38" s="50"/>
    </row>
    <row r="39" spans="1:7" ht="21" x14ac:dyDescent="0.4">
      <c r="A39" s="49"/>
      <c r="B39" s="275"/>
      <c r="C39" s="276"/>
      <c r="D39" s="285" t="s">
        <v>50</v>
      </c>
      <c r="E39" s="286"/>
      <c r="F39" s="287" t="s">
        <v>565</v>
      </c>
      <c r="G39" s="288"/>
    </row>
    <row r="40" spans="1:7" ht="20.399999999999999" x14ac:dyDescent="0.35">
      <c r="A40" s="39" t="s">
        <v>48</v>
      </c>
      <c r="B40" s="43" t="s">
        <v>0</v>
      </c>
      <c r="C40" s="42"/>
      <c r="D40" s="42"/>
      <c r="E40" s="42"/>
      <c r="F40" s="42"/>
      <c r="G40" s="106"/>
    </row>
    <row r="41" spans="1:7" ht="20.399999999999999" x14ac:dyDescent="0.35">
      <c r="A41" s="39" t="s">
        <v>313</v>
      </c>
      <c r="B41" s="38" t="s">
        <v>563</v>
      </c>
      <c r="C41" s="37"/>
      <c r="D41" s="37"/>
      <c r="E41" s="37"/>
      <c r="F41" s="37"/>
      <c r="G41" s="77"/>
    </row>
    <row r="42" spans="1:7" ht="20.399999999999999" x14ac:dyDescent="0.35">
      <c r="A42" s="39" t="s">
        <v>46</v>
      </c>
      <c r="B42" s="291"/>
      <c r="C42" s="292"/>
      <c r="D42" s="292"/>
      <c r="E42" s="292"/>
      <c r="F42" s="292"/>
      <c r="G42" s="293"/>
    </row>
    <row r="43" spans="1:7" ht="20.399999999999999" x14ac:dyDescent="0.35">
      <c r="A43" s="39" t="s">
        <v>28</v>
      </c>
      <c r="B43" s="38" t="s">
        <v>72</v>
      </c>
      <c r="C43" s="37"/>
      <c r="D43" s="37"/>
      <c r="E43" s="37"/>
      <c r="F43" s="37"/>
      <c r="G43" s="77"/>
    </row>
    <row r="44" spans="1:7" ht="15" x14ac:dyDescent="0.3">
      <c r="A44" s="34" t="s">
        <v>26</v>
      </c>
      <c r="B44" s="34" t="s">
        <v>25</v>
      </c>
      <c r="C44" s="34" t="s">
        <v>24</v>
      </c>
      <c r="D44" s="34" t="s">
        <v>43</v>
      </c>
      <c r="E44" s="34" t="s">
        <v>42</v>
      </c>
      <c r="F44" s="34" t="s">
        <v>22</v>
      </c>
      <c r="G44" s="34" t="s">
        <v>21</v>
      </c>
    </row>
    <row r="45" spans="1:7" ht="15.6" x14ac:dyDescent="0.3">
      <c r="A45" s="33">
        <v>30</v>
      </c>
      <c r="B45" s="32" t="s">
        <v>10</v>
      </c>
      <c r="C45" s="32" t="s">
        <v>562</v>
      </c>
      <c r="D45" s="76"/>
      <c r="E45" s="75">
        <v>120</v>
      </c>
      <c r="F45" s="75">
        <f t="shared" ref="F45:F48" si="1">A45*E45</f>
        <v>3600</v>
      </c>
      <c r="G45" s="74"/>
    </row>
    <row r="46" spans="1:7" ht="15.6" x14ac:dyDescent="0.3">
      <c r="A46" s="29"/>
      <c r="B46" s="25"/>
      <c r="C46" s="25"/>
      <c r="D46" s="73"/>
      <c r="E46" s="71"/>
      <c r="F46" s="71">
        <f t="shared" si="1"/>
        <v>0</v>
      </c>
      <c r="G46" s="74"/>
    </row>
    <row r="47" spans="1:7" ht="15.6" x14ac:dyDescent="0.3">
      <c r="A47" s="29"/>
      <c r="B47" s="25"/>
      <c r="C47" s="25"/>
      <c r="D47" s="73"/>
      <c r="E47" s="71"/>
      <c r="F47" s="71">
        <f t="shared" si="1"/>
        <v>0</v>
      </c>
      <c r="G47" s="74"/>
    </row>
    <row r="48" spans="1:7" ht="15.6" x14ac:dyDescent="0.3">
      <c r="A48" s="29"/>
      <c r="B48" s="27"/>
      <c r="C48" s="27"/>
      <c r="D48" s="73"/>
      <c r="E48" s="71"/>
      <c r="F48" s="71">
        <f t="shared" si="1"/>
        <v>0</v>
      </c>
      <c r="G48" s="70"/>
    </row>
    <row r="49" spans="1:7" ht="15.6" x14ac:dyDescent="0.3">
      <c r="A49" s="29"/>
      <c r="B49" s="27"/>
      <c r="C49" s="27"/>
      <c r="D49" s="73"/>
      <c r="E49" s="71"/>
      <c r="F49" s="71">
        <f>A49*E49</f>
        <v>0</v>
      </c>
      <c r="G49" s="70"/>
    </row>
    <row r="50" spans="1:7" ht="15.6" x14ac:dyDescent="0.3">
      <c r="A50" s="29"/>
      <c r="B50" s="27"/>
      <c r="C50" s="27"/>
      <c r="D50" s="73"/>
      <c r="E50" s="71"/>
      <c r="F50" s="71">
        <f>A50*E50</f>
        <v>0</v>
      </c>
      <c r="G50" s="70"/>
    </row>
    <row r="51" spans="1:7" ht="15.6" x14ac:dyDescent="0.3">
      <c r="A51" s="29"/>
      <c r="B51" s="27"/>
      <c r="C51" s="27"/>
      <c r="D51" s="73"/>
      <c r="E51" s="71"/>
      <c r="F51" s="71">
        <f t="shared" ref="F51:F59" si="2">A51*E51</f>
        <v>0</v>
      </c>
      <c r="G51" s="70"/>
    </row>
    <row r="52" spans="1:7" ht="15.6" x14ac:dyDescent="0.3">
      <c r="A52" s="26"/>
      <c r="B52" s="27"/>
      <c r="C52" s="27"/>
      <c r="D52" s="73"/>
      <c r="E52" s="71"/>
      <c r="F52" s="71">
        <f t="shared" si="2"/>
        <v>0</v>
      </c>
      <c r="G52" s="70"/>
    </row>
    <row r="53" spans="1:7" ht="15.6" x14ac:dyDescent="0.3">
      <c r="A53" s="26"/>
      <c r="B53" s="27"/>
      <c r="C53" s="27"/>
      <c r="D53" s="99"/>
      <c r="E53" s="71"/>
      <c r="F53" s="71">
        <f t="shared" si="2"/>
        <v>0</v>
      </c>
      <c r="G53" s="70"/>
    </row>
    <row r="54" spans="1:7" ht="15.6" x14ac:dyDescent="0.3">
      <c r="A54" s="26"/>
      <c r="B54" s="25"/>
      <c r="C54" s="25"/>
      <c r="D54" s="72"/>
      <c r="E54" s="71"/>
      <c r="F54" s="71">
        <f t="shared" si="2"/>
        <v>0</v>
      </c>
      <c r="G54" s="70"/>
    </row>
    <row r="55" spans="1:7" ht="15.6" x14ac:dyDescent="0.3">
      <c r="A55" s="26"/>
      <c r="B55" s="25"/>
      <c r="C55" s="25"/>
      <c r="D55" s="72"/>
      <c r="E55" s="71"/>
      <c r="F55" s="71">
        <f t="shared" si="2"/>
        <v>0</v>
      </c>
      <c r="G55" s="70"/>
    </row>
    <row r="56" spans="1:7" ht="15.6" x14ac:dyDescent="0.3">
      <c r="A56" s="26"/>
      <c r="B56" s="25"/>
      <c r="C56" s="25"/>
      <c r="D56" s="72"/>
      <c r="E56" s="71"/>
      <c r="F56" s="71">
        <f t="shared" si="2"/>
        <v>0</v>
      </c>
      <c r="G56" s="70"/>
    </row>
    <row r="57" spans="1:7" ht="15.6" x14ac:dyDescent="0.3">
      <c r="A57" s="26"/>
      <c r="B57" s="25"/>
      <c r="C57" s="25"/>
      <c r="D57" s="72"/>
      <c r="E57" s="71"/>
      <c r="F57" s="71">
        <f t="shared" si="2"/>
        <v>0</v>
      </c>
      <c r="G57" s="70"/>
    </row>
    <row r="58" spans="1:7" ht="15.6" x14ac:dyDescent="0.3">
      <c r="A58" s="26"/>
      <c r="B58" s="25"/>
      <c r="C58" s="25"/>
      <c r="D58" s="72"/>
      <c r="E58" s="71"/>
      <c r="F58" s="71">
        <f t="shared" si="2"/>
        <v>0</v>
      </c>
      <c r="G58" s="70"/>
    </row>
    <row r="59" spans="1:7" ht="15.6" x14ac:dyDescent="0.3">
      <c r="A59" s="21"/>
      <c r="B59" s="20"/>
      <c r="C59" s="20"/>
      <c r="D59" s="69"/>
      <c r="E59" s="68"/>
      <c r="F59" s="68">
        <f t="shared" si="2"/>
        <v>0</v>
      </c>
      <c r="G59" s="67"/>
    </row>
    <row r="60" spans="1:7" ht="17.399999999999999" x14ac:dyDescent="0.3">
      <c r="A60" s="17"/>
      <c r="B60" s="16"/>
      <c r="C60" s="9" t="s">
        <v>8</v>
      </c>
      <c r="D60" s="9"/>
      <c r="E60" s="66"/>
      <c r="F60" s="105">
        <f>SUM(F45:F58)</f>
        <v>3600</v>
      </c>
      <c r="G60" s="64"/>
    </row>
    <row r="61" spans="1:7" ht="17.399999999999999" x14ac:dyDescent="0.3">
      <c r="A61" s="11"/>
      <c r="B61" s="10"/>
      <c r="C61" s="63" t="s">
        <v>7</v>
      </c>
      <c r="D61" s="63"/>
      <c r="E61" s="62"/>
      <c r="F61" s="104">
        <f>F60*0.16</f>
        <v>576</v>
      </c>
      <c r="G61" s="60"/>
    </row>
    <row r="62" spans="1:7" ht="17.399999999999999" x14ac:dyDescent="0.3">
      <c r="A62" s="11"/>
      <c r="B62" s="10"/>
      <c r="C62" s="59" t="s">
        <v>6</v>
      </c>
      <c r="D62" s="59"/>
      <c r="E62" s="58"/>
      <c r="F62" s="103">
        <f>F60+F61</f>
        <v>4176</v>
      </c>
      <c r="G62" s="56"/>
    </row>
    <row r="63" spans="1:7" ht="15.6" x14ac:dyDescent="0.3">
      <c r="A63" s="6" t="s">
        <v>5</v>
      </c>
      <c r="B63" s="5"/>
      <c r="C63" s="5" t="s">
        <v>4</v>
      </c>
      <c r="D63" s="5"/>
      <c r="E63" s="5" t="s">
        <v>3</v>
      </c>
      <c r="F63" s="5"/>
      <c r="G63" s="4"/>
    </row>
    <row r="64" spans="1:7" ht="15.6" x14ac:dyDescent="0.3">
      <c r="A64" s="3" t="s">
        <v>2</v>
      </c>
      <c r="B64" s="2"/>
      <c r="C64" s="2" t="s">
        <v>39</v>
      </c>
      <c r="D64" s="2"/>
      <c r="E64" s="2" t="s">
        <v>70</v>
      </c>
      <c r="F64" s="2"/>
      <c r="G64" s="1"/>
    </row>
    <row r="67" spans="1:7" ht="21" x14ac:dyDescent="0.4">
      <c r="A67" s="55"/>
      <c r="B67" s="271" t="s">
        <v>38</v>
      </c>
      <c r="C67" s="272"/>
      <c r="D67" s="277" t="s">
        <v>37</v>
      </c>
      <c r="E67" s="278"/>
      <c r="F67" s="278"/>
      <c r="G67" s="279"/>
    </row>
    <row r="68" spans="1:7" ht="21" x14ac:dyDescent="0.4">
      <c r="A68" s="53"/>
      <c r="B68" s="273"/>
      <c r="C68" s="274"/>
      <c r="D68" s="280" t="s">
        <v>36</v>
      </c>
      <c r="E68" s="281"/>
      <c r="F68" s="282" t="s">
        <v>571</v>
      </c>
      <c r="G68" s="283"/>
    </row>
    <row r="69" spans="1:7" ht="21" x14ac:dyDescent="0.4">
      <c r="A69" s="53"/>
      <c r="B69" s="273"/>
      <c r="C69" s="274"/>
      <c r="D69" s="135" t="s">
        <v>118</v>
      </c>
      <c r="E69" s="136"/>
      <c r="F69" s="90">
        <v>22</v>
      </c>
      <c r="G69" s="50"/>
    </row>
    <row r="70" spans="1:7" ht="21" x14ac:dyDescent="0.4">
      <c r="A70" s="49"/>
      <c r="B70" s="275"/>
      <c r="C70" s="276"/>
      <c r="D70" s="285" t="s">
        <v>50</v>
      </c>
      <c r="E70" s="286"/>
      <c r="F70" s="287" t="s">
        <v>572</v>
      </c>
      <c r="G70" s="288"/>
    </row>
    <row r="71" spans="1:7" ht="20.399999999999999" x14ac:dyDescent="0.35">
      <c r="A71" s="39" t="s">
        <v>48</v>
      </c>
      <c r="B71" s="43" t="s">
        <v>0</v>
      </c>
      <c r="C71" s="42"/>
      <c r="D71" s="42"/>
      <c r="E71" s="42"/>
      <c r="F71" s="42"/>
      <c r="G71" s="106"/>
    </row>
    <row r="72" spans="1:7" ht="20.399999999999999" x14ac:dyDescent="0.35">
      <c r="A72" s="39" t="s">
        <v>313</v>
      </c>
      <c r="B72" s="38" t="s">
        <v>568</v>
      </c>
      <c r="C72" s="37"/>
      <c r="D72" s="37"/>
      <c r="E72" s="37"/>
      <c r="F72" s="37"/>
      <c r="G72" s="77"/>
    </row>
    <row r="73" spans="1:7" ht="20.399999999999999" x14ac:dyDescent="0.35">
      <c r="A73" s="39" t="s">
        <v>46</v>
      </c>
      <c r="B73" s="291"/>
      <c r="C73" s="292"/>
      <c r="D73" s="292"/>
      <c r="E73" s="292"/>
      <c r="F73" s="292"/>
      <c r="G73" s="293"/>
    </row>
    <row r="74" spans="1:7" ht="20.399999999999999" x14ac:dyDescent="0.35">
      <c r="A74" s="39" t="s">
        <v>28</v>
      </c>
      <c r="B74" s="38" t="s">
        <v>55</v>
      </c>
      <c r="C74" s="37"/>
      <c r="D74" s="37"/>
      <c r="E74" s="37"/>
      <c r="F74" s="37"/>
      <c r="G74" s="77"/>
    </row>
    <row r="75" spans="1:7" ht="15" x14ac:dyDescent="0.3">
      <c r="A75" s="34" t="s">
        <v>26</v>
      </c>
      <c r="B75" s="34" t="s">
        <v>25</v>
      </c>
      <c r="C75" s="34" t="s">
        <v>24</v>
      </c>
      <c r="D75" s="34" t="s">
        <v>43</v>
      </c>
      <c r="E75" s="34" t="s">
        <v>42</v>
      </c>
      <c r="F75" s="34" t="s">
        <v>22</v>
      </c>
      <c r="G75" s="34" t="s">
        <v>21</v>
      </c>
    </row>
    <row r="76" spans="1:7" ht="15.6" x14ac:dyDescent="0.3">
      <c r="A76" s="33"/>
      <c r="B76" s="32"/>
      <c r="C76" s="32"/>
      <c r="D76" s="76"/>
      <c r="E76" s="178"/>
      <c r="F76" s="178">
        <f t="shared" ref="F76:F79" si="3">A76*E76</f>
        <v>0</v>
      </c>
      <c r="G76" s="74"/>
    </row>
    <row r="77" spans="1:7" ht="15.6" x14ac:dyDescent="0.3">
      <c r="A77" s="29">
        <v>100</v>
      </c>
      <c r="B77" s="25" t="s">
        <v>570</v>
      </c>
      <c r="C77" s="25" t="s">
        <v>567</v>
      </c>
      <c r="D77" s="73"/>
      <c r="E77" s="179">
        <v>17</v>
      </c>
      <c r="F77" s="179">
        <f t="shared" si="3"/>
        <v>1700</v>
      </c>
      <c r="G77" s="74"/>
    </row>
    <row r="78" spans="1:7" ht="15.6" x14ac:dyDescent="0.3">
      <c r="A78" s="29">
        <v>100</v>
      </c>
      <c r="B78" s="25" t="s">
        <v>570</v>
      </c>
      <c r="C78" s="25" t="s">
        <v>569</v>
      </c>
      <c r="D78" s="73"/>
      <c r="E78" s="179">
        <v>18.559999999999999</v>
      </c>
      <c r="F78" s="179">
        <f t="shared" si="3"/>
        <v>1855.9999999999998</v>
      </c>
      <c r="G78" s="74"/>
    </row>
    <row r="79" spans="1:7" ht="15.6" x14ac:dyDescent="0.3">
      <c r="A79" s="29"/>
      <c r="B79" s="27"/>
      <c r="C79" s="27"/>
      <c r="D79" s="73"/>
      <c r="E79" s="179"/>
      <c r="F79" s="179">
        <f t="shared" si="3"/>
        <v>0</v>
      </c>
      <c r="G79" s="70"/>
    </row>
    <row r="80" spans="1:7" ht="15.6" x14ac:dyDescent="0.3">
      <c r="A80" s="29"/>
      <c r="B80" s="27"/>
      <c r="C80" s="27"/>
      <c r="D80" s="73"/>
      <c r="E80" s="179"/>
      <c r="F80" s="179">
        <f>A80*E80</f>
        <v>0</v>
      </c>
      <c r="G80" s="70"/>
    </row>
    <row r="81" spans="1:7" ht="15.6" x14ac:dyDescent="0.3">
      <c r="A81" s="29"/>
      <c r="B81" s="27"/>
      <c r="C81" s="27"/>
      <c r="D81" s="73"/>
      <c r="E81" s="179"/>
      <c r="F81" s="179">
        <f>A81*E81</f>
        <v>0</v>
      </c>
      <c r="G81" s="70"/>
    </row>
    <row r="82" spans="1:7" ht="15.6" x14ac:dyDescent="0.3">
      <c r="A82" s="29"/>
      <c r="B82" s="27"/>
      <c r="C82" s="27"/>
      <c r="D82" s="73"/>
      <c r="E82" s="179"/>
      <c r="F82" s="179">
        <f t="shared" ref="F82:F90" si="4">A82*E82</f>
        <v>0</v>
      </c>
      <c r="G82" s="70"/>
    </row>
    <row r="83" spans="1:7" ht="15.6" x14ac:dyDescent="0.3">
      <c r="A83" s="26"/>
      <c r="B83" s="27"/>
      <c r="C83" s="27"/>
      <c r="D83" s="73"/>
      <c r="E83" s="179"/>
      <c r="F83" s="179">
        <f t="shared" si="4"/>
        <v>0</v>
      </c>
      <c r="G83" s="70"/>
    </row>
    <row r="84" spans="1:7" ht="15.6" x14ac:dyDescent="0.3">
      <c r="A84" s="26"/>
      <c r="B84" s="27"/>
      <c r="C84" s="27"/>
      <c r="D84" s="99"/>
      <c r="E84" s="179"/>
      <c r="F84" s="179">
        <f t="shared" si="4"/>
        <v>0</v>
      </c>
      <c r="G84" s="70"/>
    </row>
    <row r="85" spans="1:7" ht="15.6" x14ac:dyDescent="0.3">
      <c r="A85" s="26"/>
      <c r="B85" s="25"/>
      <c r="C85" s="25"/>
      <c r="D85" s="72"/>
      <c r="E85" s="179"/>
      <c r="F85" s="179">
        <f t="shared" si="4"/>
        <v>0</v>
      </c>
      <c r="G85" s="70"/>
    </row>
    <row r="86" spans="1:7" ht="15.6" x14ac:dyDescent="0.3">
      <c r="A86" s="26"/>
      <c r="B86" s="25"/>
      <c r="C86" s="25"/>
      <c r="D86" s="72"/>
      <c r="E86" s="179"/>
      <c r="F86" s="179">
        <f t="shared" si="4"/>
        <v>0</v>
      </c>
      <c r="G86" s="70"/>
    </row>
    <row r="87" spans="1:7" ht="15.6" x14ac:dyDescent="0.3">
      <c r="A87" s="26"/>
      <c r="B87" s="25"/>
      <c r="C87" s="25"/>
      <c r="D87" s="72"/>
      <c r="E87" s="179"/>
      <c r="F87" s="179">
        <f t="shared" si="4"/>
        <v>0</v>
      </c>
      <c r="G87" s="70"/>
    </row>
    <row r="88" spans="1:7" ht="15.6" x14ac:dyDescent="0.3">
      <c r="A88" s="26"/>
      <c r="B88" s="25"/>
      <c r="C88" s="25"/>
      <c r="D88" s="72"/>
      <c r="E88" s="179"/>
      <c r="F88" s="179">
        <f t="shared" si="4"/>
        <v>0</v>
      </c>
      <c r="G88" s="70"/>
    </row>
    <row r="89" spans="1:7" ht="15.6" x14ac:dyDescent="0.3">
      <c r="A89" s="26"/>
      <c r="B89" s="25"/>
      <c r="C89" s="25"/>
      <c r="D89" s="72"/>
      <c r="E89" s="179"/>
      <c r="F89" s="179">
        <f t="shared" si="4"/>
        <v>0</v>
      </c>
      <c r="G89" s="70"/>
    </row>
    <row r="90" spans="1:7" ht="15.6" x14ac:dyDescent="0.3">
      <c r="A90" s="21"/>
      <c r="B90" s="20"/>
      <c r="C90" s="20"/>
      <c r="D90" s="69"/>
      <c r="E90" s="180"/>
      <c r="F90" s="180">
        <f t="shared" si="4"/>
        <v>0</v>
      </c>
      <c r="G90" s="67"/>
    </row>
    <row r="91" spans="1:7" ht="17.399999999999999" x14ac:dyDescent="0.3">
      <c r="A91" s="17"/>
      <c r="B91" s="16"/>
      <c r="C91" s="9" t="s">
        <v>8</v>
      </c>
      <c r="D91" s="9"/>
      <c r="E91" s="181"/>
      <c r="F91" s="256">
        <f>SUM(F76:F89)</f>
        <v>3556</v>
      </c>
      <c r="G91" s="64"/>
    </row>
    <row r="92" spans="1:7" ht="17.399999999999999" x14ac:dyDescent="0.3">
      <c r="A92" s="11"/>
      <c r="B92" s="10"/>
      <c r="C92" s="63" t="s">
        <v>7</v>
      </c>
      <c r="D92" s="63"/>
      <c r="E92" s="183"/>
      <c r="F92" s="257">
        <f>F91*0.16</f>
        <v>568.96</v>
      </c>
      <c r="G92" s="60"/>
    </row>
    <row r="93" spans="1:7" ht="17.399999999999999" x14ac:dyDescent="0.3">
      <c r="A93" s="11"/>
      <c r="B93" s="10"/>
      <c r="C93" s="59" t="s">
        <v>6</v>
      </c>
      <c r="D93" s="59"/>
      <c r="E93" s="185"/>
      <c r="F93" s="258">
        <f>F91+F92</f>
        <v>4124.96</v>
      </c>
      <c r="G93" s="56"/>
    </row>
    <row r="94" spans="1:7" ht="15.6" x14ac:dyDescent="0.3">
      <c r="A94" s="6" t="s">
        <v>5</v>
      </c>
      <c r="B94" s="5"/>
      <c r="C94" s="5" t="s">
        <v>4</v>
      </c>
      <c r="D94" s="5"/>
      <c r="E94" s="5" t="s">
        <v>3</v>
      </c>
      <c r="F94" s="5"/>
      <c r="G94" s="4"/>
    </row>
    <row r="95" spans="1:7" ht="15.6" x14ac:dyDescent="0.3">
      <c r="A95" s="3" t="s">
        <v>2</v>
      </c>
      <c r="B95" s="2"/>
      <c r="C95" s="2" t="s">
        <v>39</v>
      </c>
      <c r="D95" s="2"/>
      <c r="E95" s="2" t="s">
        <v>70</v>
      </c>
      <c r="F95" s="2"/>
      <c r="G95" s="1"/>
    </row>
    <row r="98" spans="1:7" ht="21" x14ac:dyDescent="0.4">
      <c r="A98" s="55"/>
      <c r="B98" s="271" t="s">
        <v>38</v>
      </c>
      <c r="C98" s="272"/>
      <c r="D98" s="277" t="s">
        <v>37</v>
      </c>
      <c r="E98" s="278"/>
      <c r="F98" s="278"/>
      <c r="G98" s="279"/>
    </row>
    <row r="99" spans="1:7" ht="21" x14ac:dyDescent="0.4">
      <c r="A99" s="53"/>
      <c r="B99" s="273"/>
      <c r="C99" s="274"/>
      <c r="D99" s="280" t="s">
        <v>36</v>
      </c>
      <c r="E99" s="281"/>
      <c r="F99" s="282" t="s">
        <v>571</v>
      </c>
      <c r="G99" s="283"/>
    </row>
    <row r="100" spans="1:7" ht="21" x14ac:dyDescent="0.4">
      <c r="A100" s="53"/>
      <c r="B100" s="273"/>
      <c r="C100" s="274"/>
      <c r="D100" s="135" t="s">
        <v>118</v>
      </c>
      <c r="E100" s="136"/>
      <c r="F100" s="90">
        <v>22</v>
      </c>
      <c r="G100" s="50"/>
    </row>
    <row r="101" spans="1:7" ht="21" x14ac:dyDescent="0.4">
      <c r="A101" s="49"/>
      <c r="B101" s="275"/>
      <c r="C101" s="276"/>
      <c r="D101" s="285" t="s">
        <v>50</v>
      </c>
      <c r="E101" s="286"/>
      <c r="F101" s="287" t="s">
        <v>578</v>
      </c>
      <c r="G101" s="288"/>
    </row>
    <row r="102" spans="1:7" ht="20.399999999999999" x14ac:dyDescent="0.35">
      <c r="A102" s="39" t="s">
        <v>48</v>
      </c>
      <c r="B102" s="43" t="s">
        <v>0</v>
      </c>
      <c r="C102" s="42"/>
      <c r="D102" s="42"/>
      <c r="E102" s="42"/>
      <c r="F102" s="42"/>
      <c r="G102" s="106"/>
    </row>
    <row r="103" spans="1:7" ht="20.399999999999999" x14ac:dyDescent="0.35">
      <c r="A103" s="39" t="s">
        <v>313</v>
      </c>
      <c r="B103" s="38" t="s">
        <v>573</v>
      </c>
      <c r="C103" s="37"/>
      <c r="D103" s="37"/>
      <c r="E103" s="37"/>
      <c r="F103" s="37"/>
      <c r="G103" s="77"/>
    </row>
    <row r="104" spans="1:7" ht="20.399999999999999" x14ac:dyDescent="0.35">
      <c r="A104" s="39" t="s">
        <v>46</v>
      </c>
      <c r="B104" s="291" t="s">
        <v>574</v>
      </c>
      <c r="C104" s="292"/>
      <c r="D104" s="292"/>
      <c r="E104" s="292"/>
      <c r="F104" s="292"/>
      <c r="G104" s="293"/>
    </row>
    <row r="105" spans="1:7" ht="20.399999999999999" x14ac:dyDescent="0.35">
      <c r="A105" s="39" t="s">
        <v>28</v>
      </c>
      <c r="B105" s="38" t="s">
        <v>575</v>
      </c>
      <c r="C105" s="37"/>
      <c r="D105" s="37"/>
      <c r="E105" s="37"/>
      <c r="F105" s="37"/>
      <c r="G105" s="77"/>
    </row>
    <row r="106" spans="1:7" ht="15" x14ac:dyDescent="0.3">
      <c r="A106" s="34" t="s">
        <v>26</v>
      </c>
      <c r="B106" s="34" t="s">
        <v>25</v>
      </c>
      <c r="C106" s="34" t="s">
        <v>24</v>
      </c>
      <c r="D106" s="34" t="s">
        <v>43</v>
      </c>
      <c r="E106" s="34" t="s">
        <v>42</v>
      </c>
      <c r="F106" s="34" t="s">
        <v>22</v>
      </c>
      <c r="G106" s="34" t="s">
        <v>21</v>
      </c>
    </row>
    <row r="107" spans="1:7" ht="31.2" x14ac:dyDescent="0.3">
      <c r="A107" s="33">
        <v>28</v>
      </c>
      <c r="B107" s="32" t="s">
        <v>576</v>
      </c>
      <c r="C107" s="32" t="s">
        <v>577</v>
      </c>
      <c r="D107" s="76"/>
      <c r="E107" s="178">
        <v>326</v>
      </c>
      <c r="F107" s="178">
        <f t="shared" ref="F107:F110" si="5">A107*E107</f>
        <v>9128</v>
      </c>
      <c r="G107" s="74"/>
    </row>
    <row r="108" spans="1:7" ht="15.6" x14ac:dyDescent="0.3">
      <c r="A108" s="29"/>
      <c r="B108" s="25"/>
      <c r="C108" s="25"/>
      <c r="D108" s="73"/>
      <c r="E108" s="179"/>
      <c r="F108" s="179">
        <f t="shared" si="5"/>
        <v>0</v>
      </c>
      <c r="G108" s="74"/>
    </row>
    <row r="109" spans="1:7" ht="15.6" x14ac:dyDescent="0.3">
      <c r="A109" s="29"/>
      <c r="B109" s="25"/>
      <c r="C109" s="25"/>
      <c r="D109" s="73"/>
      <c r="E109" s="179"/>
      <c r="F109" s="179">
        <f t="shared" si="5"/>
        <v>0</v>
      </c>
      <c r="G109" s="74"/>
    </row>
    <row r="110" spans="1:7" ht="15.6" x14ac:dyDescent="0.3">
      <c r="A110" s="29"/>
      <c r="B110" s="27"/>
      <c r="C110" s="27"/>
      <c r="D110" s="73"/>
      <c r="E110" s="179"/>
      <c r="F110" s="179">
        <f t="shared" si="5"/>
        <v>0</v>
      </c>
      <c r="G110" s="70"/>
    </row>
    <row r="111" spans="1:7" ht="15.6" x14ac:dyDescent="0.3">
      <c r="A111" s="29"/>
      <c r="B111" s="27"/>
      <c r="C111" s="27"/>
      <c r="D111" s="73"/>
      <c r="E111" s="179"/>
      <c r="F111" s="179">
        <f>A111*E111</f>
        <v>0</v>
      </c>
      <c r="G111" s="70"/>
    </row>
    <row r="112" spans="1:7" ht="15.6" x14ac:dyDescent="0.3">
      <c r="A112" s="29"/>
      <c r="B112" s="27"/>
      <c r="C112" s="27"/>
      <c r="D112" s="73"/>
      <c r="E112" s="179"/>
      <c r="F112" s="179">
        <f>A112*E112</f>
        <v>0</v>
      </c>
      <c r="G112" s="70"/>
    </row>
    <row r="113" spans="1:7" ht="15.6" x14ac:dyDescent="0.3">
      <c r="A113" s="29"/>
      <c r="B113" s="27"/>
      <c r="C113" s="27"/>
      <c r="D113" s="73"/>
      <c r="E113" s="179"/>
      <c r="F113" s="179">
        <f t="shared" ref="F113:F121" si="6">A113*E113</f>
        <v>0</v>
      </c>
      <c r="G113" s="70"/>
    </row>
    <row r="114" spans="1:7" ht="15.6" x14ac:dyDescent="0.3">
      <c r="A114" s="26"/>
      <c r="B114" s="27"/>
      <c r="C114" s="27"/>
      <c r="D114" s="73"/>
      <c r="E114" s="179"/>
      <c r="F114" s="179">
        <f t="shared" si="6"/>
        <v>0</v>
      </c>
      <c r="G114" s="70"/>
    </row>
    <row r="115" spans="1:7" ht="15.6" x14ac:dyDescent="0.3">
      <c r="A115" s="26"/>
      <c r="B115" s="27"/>
      <c r="C115" s="27"/>
      <c r="D115" s="99"/>
      <c r="E115" s="179"/>
      <c r="F115" s="179">
        <f t="shared" si="6"/>
        <v>0</v>
      </c>
      <c r="G115" s="70"/>
    </row>
    <row r="116" spans="1:7" ht="15.6" x14ac:dyDescent="0.3">
      <c r="A116" s="26"/>
      <c r="B116" s="25"/>
      <c r="C116" s="25"/>
      <c r="D116" s="72"/>
      <c r="E116" s="179"/>
      <c r="F116" s="179">
        <f t="shared" si="6"/>
        <v>0</v>
      </c>
      <c r="G116" s="70"/>
    </row>
    <row r="117" spans="1:7" ht="15.6" x14ac:dyDescent="0.3">
      <c r="A117" s="26"/>
      <c r="B117" s="25"/>
      <c r="C117" s="25"/>
      <c r="D117" s="72"/>
      <c r="E117" s="179"/>
      <c r="F117" s="179">
        <f t="shared" si="6"/>
        <v>0</v>
      </c>
      <c r="G117" s="70"/>
    </row>
    <row r="118" spans="1:7" ht="15.6" x14ac:dyDescent="0.3">
      <c r="A118" s="26"/>
      <c r="B118" s="25"/>
      <c r="C118" s="25"/>
      <c r="D118" s="72"/>
      <c r="E118" s="179"/>
      <c r="F118" s="179">
        <f t="shared" si="6"/>
        <v>0</v>
      </c>
      <c r="G118" s="70"/>
    </row>
    <row r="119" spans="1:7" ht="15.6" x14ac:dyDescent="0.3">
      <c r="A119" s="26"/>
      <c r="B119" s="25"/>
      <c r="C119" s="25"/>
      <c r="D119" s="72"/>
      <c r="E119" s="179"/>
      <c r="F119" s="179">
        <f t="shared" si="6"/>
        <v>0</v>
      </c>
      <c r="G119" s="70"/>
    </row>
    <row r="120" spans="1:7" ht="15.6" x14ac:dyDescent="0.3">
      <c r="A120" s="26"/>
      <c r="B120" s="25"/>
      <c r="C120" s="25"/>
      <c r="D120" s="72"/>
      <c r="E120" s="179"/>
      <c r="F120" s="179">
        <f t="shared" si="6"/>
        <v>0</v>
      </c>
      <c r="G120" s="70"/>
    </row>
    <row r="121" spans="1:7" ht="15.6" x14ac:dyDescent="0.3">
      <c r="A121" s="21"/>
      <c r="B121" s="20"/>
      <c r="C121" s="20"/>
      <c r="D121" s="69"/>
      <c r="E121" s="180"/>
      <c r="F121" s="180">
        <f t="shared" si="6"/>
        <v>0</v>
      </c>
      <c r="G121" s="67"/>
    </row>
    <row r="122" spans="1:7" ht="17.399999999999999" x14ac:dyDescent="0.3">
      <c r="A122" s="17"/>
      <c r="B122" s="16"/>
      <c r="C122" s="9" t="s">
        <v>8</v>
      </c>
      <c r="D122" s="9"/>
      <c r="E122" s="181"/>
      <c r="F122" s="256">
        <f>SUM(F107:F120)</f>
        <v>9128</v>
      </c>
      <c r="G122" s="64"/>
    </row>
    <row r="123" spans="1:7" ht="17.399999999999999" x14ac:dyDescent="0.3">
      <c r="A123" s="11"/>
      <c r="B123" s="10"/>
      <c r="C123" s="63" t="s">
        <v>7</v>
      </c>
      <c r="D123" s="63"/>
      <c r="E123" s="183"/>
      <c r="F123" s="257">
        <f>F122*0.16</f>
        <v>1460.48</v>
      </c>
      <c r="G123" s="60"/>
    </row>
    <row r="124" spans="1:7" ht="17.399999999999999" x14ac:dyDescent="0.3">
      <c r="A124" s="11"/>
      <c r="B124" s="10"/>
      <c r="C124" s="59" t="s">
        <v>6</v>
      </c>
      <c r="D124" s="59"/>
      <c r="E124" s="185"/>
      <c r="F124" s="258">
        <f>F122+F123</f>
        <v>10588.48</v>
      </c>
      <c r="G124" s="56"/>
    </row>
    <row r="125" spans="1:7" ht="15.6" x14ac:dyDescent="0.3">
      <c r="A125" s="6" t="s">
        <v>5</v>
      </c>
      <c r="B125" s="5"/>
      <c r="C125" s="5" t="s">
        <v>4</v>
      </c>
      <c r="D125" s="5"/>
      <c r="E125" s="5" t="s">
        <v>3</v>
      </c>
      <c r="F125" s="5"/>
      <c r="G125" s="4"/>
    </row>
    <row r="126" spans="1:7" ht="15.6" x14ac:dyDescent="0.3">
      <c r="A126" s="3" t="s">
        <v>2</v>
      </c>
      <c r="B126" s="2"/>
      <c r="C126" s="2" t="s">
        <v>39</v>
      </c>
      <c r="D126" s="2"/>
      <c r="E126" s="2" t="s">
        <v>70</v>
      </c>
      <c r="F126" s="2"/>
      <c r="G126" s="1"/>
    </row>
    <row r="129" spans="1:7" ht="30" customHeight="1" x14ac:dyDescent="0.4">
      <c r="A129" s="55"/>
      <c r="B129" s="271" t="s">
        <v>38</v>
      </c>
      <c r="C129" s="272"/>
      <c r="D129" s="305" t="s">
        <v>37</v>
      </c>
      <c r="E129" s="306"/>
      <c r="F129" s="306"/>
      <c r="G129" s="307"/>
    </row>
    <row r="130" spans="1:7" ht="21" x14ac:dyDescent="0.4">
      <c r="A130" s="53"/>
      <c r="B130" s="273"/>
      <c r="C130" s="274"/>
      <c r="D130" s="51" t="s">
        <v>36</v>
      </c>
      <c r="F130" s="282" t="s">
        <v>593</v>
      </c>
      <c r="G130" s="283"/>
    </row>
    <row r="131" spans="1:7" ht="21" x14ac:dyDescent="0.4">
      <c r="A131" s="49"/>
      <c r="B131" s="273"/>
      <c r="C131" s="274"/>
      <c r="D131" s="207" t="s">
        <v>34</v>
      </c>
      <c r="F131" s="287" t="s">
        <v>579</v>
      </c>
      <c r="G131" s="350"/>
    </row>
    <row r="132" spans="1:7" ht="20.399999999999999" x14ac:dyDescent="0.35">
      <c r="A132" s="39" t="s">
        <v>32</v>
      </c>
      <c r="B132" s="291" t="s">
        <v>47</v>
      </c>
      <c r="C132" s="292"/>
      <c r="D132" s="292"/>
      <c r="E132" s="292"/>
      <c r="F132" s="292"/>
      <c r="G132" s="293"/>
    </row>
    <row r="133" spans="1:7" ht="20.399999999999999" x14ac:dyDescent="0.35">
      <c r="A133" s="39" t="s">
        <v>30</v>
      </c>
      <c r="B133" s="291" t="s">
        <v>594</v>
      </c>
      <c r="C133" s="292"/>
      <c r="D133" s="292"/>
      <c r="E133" s="292"/>
      <c r="F133" s="292"/>
      <c r="G133" s="293"/>
    </row>
    <row r="134" spans="1:7" ht="20.399999999999999" x14ac:dyDescent="0.35">
      <c r="A134" s="39" t="s">
        <v>73</v>
      </c>
      <c r="B134" s="291" t="s">
        <v>592</v>
      </c>
      <c r="C134" s="292"/>
      <c r="D134" s="292"/>
      <c r="E134" s="292"/>
      <c r="F134" s="292"/>
      <c r="G134" s="293"/>
    </row>
    <row r="135" spans="1:7" ht="20.399999999999999" x14ac:dyDescent="0.35">
      <c r="A135" s="39" t="s">
        <v>28</v>
      </c>
      <c r="B135" s="38" t="s">
        <v>77</v>
      </c>
      <c r="C135" s="37"/>
      <c r="D135" s="218"/>
      <c r="E135" s="216"/>
      <c r="F135" s="208"/>
      <c r="G135" s="209"/>
    </row>
    <row r="136" spans="1:7" ht="15" x14ac:dyDescent="0.3">
      <c r="A136" s="34" t="s">
        <v>26</v>
      </c>
      <c r="B136" s="34" t="s">
        <v>25</v>
      </c>
      <c r="C136" s="210" t="s">
        <v>24</v>
      </c>
      <c r="D136" s="34"/>
      <c r="E136" s="217" t="s">
        <v>23</v>
      </c>
      <c r="F136" s="34" t="s">
        <v>22</v>
      </c>
      <c r="G136" s="34" t="s">
        <v>21</v>
      </c>
    </row>
    <row r="137" spans="1:7" ht="15.6" x14ac:dyDescent="0.3">
      <c r="A137" s="33"/>
      <c r="B137" s="32"/>
      <c r="C137" s="211"/>
      <c r="D137" s="219"/>
      <c r="E137" s="96"/>
      <c r="F137" s="96"/>
      <c r="G137" s="196"/>
    </row>
    <row r="138" spans="1:7" ht="46.8" x14ac:dyDescent="0.3">
      <c r="A138" s="29">
        <v>6</v>
      </c>
      <c r="B138" s="25" t="s">
        <v>10</v>
      </c>
      <c r="C138" s="212" t="s">
        <v>102</v>
      </c>
      <c r="D138" s="219"/>
      <c r="E138" s="262">
        <v>1406</v>
      </c>
      <c r="F138" s="262">
        <f>+A138*E138</f>
        <v>8436</v>
      </c>
      <c r="G138" s="196"/>
    </row>
    <row r="139" spans="1:7" ht="15.6" x14ac:dyDescent="0.3">
      <c r="A139" s="29"/>
      <c r="B139" s="25"/>
      <c r="C139" s="212"/>
      <c r="D139" s="94"/>
      <c r="E139" s="262"/>
      <c r="F139" s="264"/>
      <c r="G139" s="196"/>
    </row>
    <row r="140" spans="1:7" ht="15.6" x14ac:dyDescent="0.3">
      <c r="A140" s="29"/>
      <c r="B140" s="27"/>
      <c r="C140" s="213"/>
      <c r="D140" s="94"/>
      <c r="E140" s="262"/>
      <c r="F140" s="264"/>
      <c r="G140" s="196"/>
    </row>
    <row r="141" spans="1:7" ht="15.6" x14ac:dyDescent="0.3">
      <c r="A141" s="29"/>
      <c r="B141" s="27"/>
      <c r="C141" s="214"/>
      <c r="D141" s="94"/>
      <c r="E141" s="262"/>
      <c r="F141" s="264"/>
      <c r="G141" s="196"/>
    </row>
    <row r="142" spans="1:7" ht="15.6" x14ac:dyDescent="0.3">
      <c r="A142" s="29"/>
      <c r="B142" s="27"/>
      <c r="C142" s="214"/>
      <c r="D142" s="94"/>
      <c r="E142" s="262"/>
      <c r="F142" s="264"/>
      <c r="G142" s="196"/>
    </row>
    <row r="143" spans="1:7" ht="15.6" x14ac:dyDescent="0.3">
      <c r="A143" s="29"/>
      <c r="B143" s="27"/>
      <c r="C143" s="214"/>
      <c r="D143" s="94"/>
      <c r="E143" s="263"/>
      <c r="F143" s="264"/>
      <c r="G143" s="196"/>
    </row>
    <row r="144" spans="1:7" ht="15.6" x14ac:dyDescent="0.3">
      <c r="A144" s="26"/>
      <c r="B144" s="27"/>
      <c r="C144" s="213"/>
      <c r="D144" s="94"/>
      <c r="E144" s="262"/>
      <c r="F144" s="264"/>
      <c r="G144" s="196"/>
    </row>
    <row r="145" spans="1:7" ht="15.6" x14ac:dyDescent="0.3">
      <c r="A145" s="26"/>
      <c r="B145" s="27"/>
      <c r="C145" s="213"/>
      <c r="D145" s="94"/>
      <c r="E145" s="262"/>
      <c r="F145" s="264"/>
      <c r="G145" s="196"/>
    </row>
    <row r="146" spans="1:7" ht="15.6" x14ac:dyDescent="0.3">
      <c r="A146" s="26"/>
      <c r="B146" s="25"/>
      <c r="C146" s="212"/>
      <c r="D146" s="25"/>
      <c r="E146" s="262"/>
      <c r="F146" s="264"/>
      <c r="G146" s="196"/>
    </row>
    <row r="147" spans="1:7" ht="15.6" x14ac:dyDescent="0.3">
      <c r="A147" s="26"/>
      <c r="B147" s="25"/>
      <c r="C147" s="212"/>
      <c r="D147" s="25"/>
      <c r="E147" s="262"/>
      <c r="F147" s="264"/>
      <c r="G147" s="196"/>
    </row>
    <row r="148" spans="1:7" ht="15.6" x14ac:dyDescent="0.3">
      <c r="A148" s="26"/>
      <c r="B148" s="25"/>
      <c r="C148" s="212"/>
      <c r="D148" s="25"/>
      <c r="E148" s="262"/>
      <c r="F148" s="264"/>
      <c r="G148" s="196"/>
    </row>
    <row r="149" spans="1:7" ht="15.6" x14ac:dyDescent="0.3">
      <c r="A149" s="26"/>
      <c r="B149" s="25"/>
      <c r="C149" s="212"/>
      <c r="D149" s="25"/>
      <c r="E149" s="262"/>
      <c r="F149" s="264"/>
      <c r="G149" s="196"/>
    </row>
    <row r="150" spans="1:7" ht="15.6" x14ac:dyDescent="0.3">
      <c r="A150" s="26"/>
      <c r="B150" s="25"/>
      <c r="C150" s="212"/>
      <c r="D150" s="25"/>
      <c r="E150" s="262"/>
      <c r="F150" s="264"/>
      <c r="G150" s="196"/>
    </row>
    <row r="151" spans="1:7" ht="15.6" x14ac:dyDescent="0.3">
      <c r="A151" s="21"/>
      <c r="B151" s="20"/>
      <c r="C151" s="215"/>
      <c r="D151" s="20"/>
      <c r="E151" s="255"/>
      <c r="F151" s="265"/>
      <c r="G151" s="196"/>
    </row>
    <row r="152" spans="1:7" ht="17.399999999999999" x14ac:dyDescent="0.3">
      <c r="A152" s="17"/>
      <c r="B152" s="16"/>
      <c r="C152" s="356" t="s">
        <v>8</v>
      </c>
      <c r="D152" s="356"/>
      <c r="E152" s="356"/>
      <c r="F152" s="266">
        <f>+SUM(F137:F150)</f>
        <v>8436</v>
      </c>
      <c r="G152" s="196"/>
    </row>
    <row r="153" spans="1:7" ht="17.399999999999999" x14ac:dyDescent="0.3">
      <c r="A153" s="11"/>
      <c r="B153" s="10"/>
      <c r="C153" s="356" t="s">
        <v>7</v>
      </c>
      <c r="D153" s="356"/>
      <c r="E153" s="356"/>
      <c r="F153" s="266">
        <f>+F152*0.16</f>
        <v>1349.76</v>
      </c>
      <c r="G153" s="196"/>
    </row>
    <row r="154" spans="1:7" ht="17.399999999999999" x14ac:dyDescent="0.3">
      <c r="A154" s="11"/>
      <c r="B154" s="10"/>
      <c r="C154" s="356" t="s">
        <v>6</v>
      </c>
      <c r="D154" s="356"/>
      <c r="E154" s="356"/>
      <c r="F154" s="266">
        <f>+F152+F153</f>
        <v>9785.76</v>
      </c>
      <c r="G154" s="196"/>
    </row>
    <row r="155" spans="1:7" ht="15.6" x14ac:dyDescent="0.3">
      <c r="A155" s="6" t="s">
        <v>5</v>
      </c>
      <c r="B155" s="5"/>
      <c r="C155" s="5" t="s">
        <v>4</v>
      </c>
      <c r="D155" s="5"/>
      <c r="E155" s="5"/>
      <c r="F155" s="4" t="s">
        <v>3</v>
      </c>
      <c r="G155" s="196"/>
    </row>
    <row r="156" spans="1:7" ht="15.6" x14ac:dyDescent="0.3">
      <c r="A156" s="3" t="s">
        <v>2</v>
      </c>
      <c r="B156" s="2"/>
      <c r="C156" s="2" t="s">
        <v>1</v>
      </c>
      <c r="D156" s="2"/>
      <c r="E156" s="2"/>
      <c r="F156" s="1" t="s">
        <v>70</v>
      </c>
      <c r="G156" s="202"/>
    </row>
    <row r="159" spans="1:7" ht="24.6" x14ac:dyDescent="0.3">
      <c r="A159" s="271" t="s">
        <v>38</v>
      </c>
      <c r="B159" s="302"/>
      <c r="C159" s="272"/>
      <c r="D159" s="305" t="s">
        <v>37</v>
      </c>
      <c r="E159" s="306"/>
      <c r="F159" s="306"/>
      <c r="G159" s="307"/>
    </row>
    <row r="160" spans="1:7" ht="21" x14ac:dyDescent="0.4">
      <c r="A160" s="273"/>
      <c r="B160" s="303"/>
      <c r="C160" s="274"/>
      <c r="D160" s="51" t="s">
        <v>36</v>
      </c>
      <c r="E160" s="308" t="s">
        <v>593</v>
      </c>
      <c r="F160" s="282"/>
      <c r="G160" s="50"/>
    </row>
    <row r="161" spans="1:7" ht="21" x14ac:dyDescent="0.4">
      <c r="A161" s="273"/>
      <c r="B161" s="303"/>
      <c r="C161" s="274"/>
      <c r="D161" s="51" t="s">
        <v>51</v>
      </c>
      <c r="E161" s="284">
        <v>22</v>
      </c>
      <c r="F161" s="282"/>
      <c r="G161" s="50"/>
    </row>
    <row r="162" spans="1:7" ht="30" x14ac:dyDescent="0.3">
      <c r="A162" s="275"/>
      <c r="B162" s="304"/>
      <c r="C162" s="276"/>
      <c r="D162" s="47" t="s">
        <v>50</v>
      </c>
      <c r="E162" s="287" t="s">
        <v>582</v>
      </c>
      <c r="F162" s="287"/>
      <c r="G162" s="87"/>
    </row>
    <row r="163" spans="1:7" ht="20.399999999999999" x14ac:dyDescent="0.35">
      <c r="A163" s="39" t="s">
        <v>48</v>
      </c>
      <c r="B163" s="43" t="s">
        <v>47</v>
      </c>
      <c r="C163" s="42"/>
      <c r="D163" s="42"/>
      <c r="E163" s="86"/>
      <c r="F163" s="85"/>
      <c r="G163" s="84"/>
    </row>
    <row r="164" spans="1:7" ht="25.2" customHeight="1" x14ac:dyDescent="0.35">
      <c r="A164" s="39" t="s">
        <v>30</v>
      </c>
      <c r="B164" s="38"/>
      <c r="C164" s="37"/>
      <c r="D164" s="37"/>
      <c r="E164" s="312" t="s">
        <v>616</v>
      </c>
      <c r="F164" s="313"/>
      <c r="G164" s="314"/>
    </row>
    <row r="165" spans="1:7" ht="20.399999999999999" x14ac:dyDescent="0.35">
      <c r="A165" s="39" t="s">
        <v>46</v>
      </c>
      <c r="B165" s="38" t="s">
        <v>595</v>
      </c>
      <c r="C165" s="37"/>
      <c r="D165" s="37"/>
      <c r="E165" s="80"/>
      <c r="F165" s="79"/>
      <c r="G165" s="78"/>
    </row>
    <row r="166" spans="1:7" ht="20.399999999999999" x14ac:dyDescent="0.35">
      <c r="A166" s="39" t="s">
        <v>28</v>
      </c>
      <c r="B166" s="38" t="s">
        <v>44</v>
      </c>
      <c r="C166" s="37"/>
      <c r="D166" s="37"/>
      <c r="E166" s="37"/>
      <c r="F166" s="37"/>
      <c r="G166" s="77"/>
    </row>
    <row r="167" spans="1:7" ht="15" x14ac:dyDescent="0.3">
      <c r="A167" s="34" t="s">
        <v>26</v>
      </c>
      <c r="B167" s="34" t="s">
        <v>25</v>
      </c>
      <c r="C167" s="34" t="s">
        <v>24</v>
      </c>
      <c r="D167" s="34" t="s">
        <v>43</v>
      </c>
      <c r="E167" s="34" t="s">
        <v>42</v>
      </c>
      <c r="F167" s="34" t="s">
        <v>22</v>
      </c>
      <c r="G167" s="34" t="s">
        <v>21</v>
      </c>
    </row>
    <row r="168" spans="1:7" ht="15.6" x14ac:dyDescent="0.3">
      <c r="A168" s="33">
        <v>3</v>
      </c>
      <c r="B168" s="32" t="s">
        <v>10</v>
      </c>
      <c r="C168" s="32" t="s">
        <v>427</v>
      </c>
      <c r="D168" s="76"/>
      <c r="E168" s="178">
        <v>4036</v>
      </c>
      <c r="F168" s="178">
        <f t="shared" ref="F168:F182" si="7">A168*E168</f>
        <v>12108</v>
      </c>
      <c r="G168" s="74"/>
    </row>
    <row r="169" spans="1:7" ht="15.6" x14ac:dyDescent="0.3">
      <c r="A169" s="29"/>
      <c r="B169" s="25"/>
      <c r="C169" s="25"/>
      <c r="D169" s="73"/>
      <c r="E169" s="179"/>
      <c r="F169" s="179">
        <f t="shared" si="7"/>
        <v>0</v>
      </c>
      <c r="G169" s="74"/>
    </row>
    <row r="170" spans="1:7" ht="15.6" x14ac:dyDescent="0.3">
      <c r="A170" s="29"/>
      <c r="B170" s="25"/>
      <c r="C170" s="25"/>
      <c r="D170" s="73"/>
      <c r="E170" s="179"/>
      <c r="F170" s="179">
        <f t="shared" si="7"/>
        <v>0</v>
      </c>
      <c r="G170" s="74"/>
    </row>
    <row r="171" spans="1:7" ht="15.6" x14ac:dyDescent="0.3">
      <c r="A171" s="29"/>
      <c r="B171" s="27"/>
      <c r="C171" s="27"/>
      <c r="D171" s="73"/>
      <c r="E171" s="179"/>
      <c r="F171" s="179">
        <f t="shared" si="7"/>
        <v>0</v>
      </c>
      <c r="G171" s="70"/>
    </row>
    <row r="172" spans="1:7" ht="15.6" x14ac:dyDescent="0.3">
      <c r="A172" s="29"/>
      <c r="B172" s="27"/>
      <c r="C172" s="27"/>
      <c r="D172" s="73"/>
      <c r="E172" s="179"/>
      <c r="F172" s="179">
        <f t="shared" si="7"/>
        <v>0</v>
      </c>
      <c r="G172" s="70"/>
    </row>
    <row r="173" spans="1:7" ht="15.6" x14ac:dyDescent="0.3">
      <c r="A173" s="29"/>
      <c r="B173" s="27"/>
      <c r="C173" s="27"/>
      <c r="D173" s="73"/>
      <c r="E173" s="179"/>
      <c r="F173" s="179">
        <f t="shared" si="7"/>
        <v>0</v>
      </c>
      <c r="G173" s="70"/>
    </row>
    <row r="174" spans="1:7" ht="15.6" x14ac:dyDescent="0.3">
      <c r="A174" s="29"/>
      <c r="B174" s="27"/>
      <c r="C174" s="27"/>
      <c r="D174" s="73"/>
      <c r="E174" s="179"/>
      <c r="F174" s="179">
        <f t="shared" si="7"/>
        <v>0</v>
      </c>
      <c r="G174" s="70"/>
    </row>
    <row r="175" spans="1:7" ht="15.6" x14ac:dyDescent="0.3">
      <c r="A175" s="26"/>
      <c r="B175" s="27"/>
      <c r="C175" s="27"/>
      <c r="D175" s="73"/>
      <c r="E175" s="179"/>
      <c r="F175" s="179">
        <f t="shared" si="7"/>
        <v>0</v>
      </c>
      <c r="G175" s="70"/>
    </row>
    <row r="176" spans="1:7" ht="15.6" x14ac:dyDescent="0.3">
      <c r="A176" s="26"/>
      <c r="B176" s="27"/>
      <c r="C176" s="27"/>
      <c r="D176" s="73"/>
      <c r="E176" s="179"/>
      <c r="F176" s="179">
        <f t="shared" si="7"/>
        <v>0</v>
      </c>
      <c r="G176" s="70"/>
    </row>
    <row r="177" spans="1:7" ht="15.6" x14ac:dyDescent="0.3">
      <c r="A177" s="26"/>
      <c r="B177" s="25"/>
      <c r="C177" s="27"/>
      <c r="D177" s="73"/>
      <c r="E177" s="179"/>
      <c r="F177" s="179">
        <f t="shared" si="7"/>
        <v>0</v>
      </c>
      <c r="G177" s="70"/>
    </row>
    <row r="178" spans="1:7" ht="15.6" x14ac:dyDescent="0.3">
      <c r="A178" s="26"/>
      <c r="B178" s="25"/>
      <c r="C178" s="25"/>
      <c r="D178" s="72"/>
      <c r="E178" s="179"/>
      <c r="F178" s="179">
        <f t="shared" si="7"/>
        <v>0</v>
      </c>
      <c r="G178" s="70"/>
    </row>
    <row r="179" spans="1:7" ht="15.6" x14ac:dyDescent="0.3">
      <c r="A179" s="26"/>
      <c r="B179" s="25"/>
      <c r="C179" s="25"/>
      <c r="D179" s="72"/>
      <c r="E179" s="179"/>
      <c r="F179" s="179">
        <f t="shared" si="7"/>
        <v>0</v>
      </c>
      <c r="G179" s="70"/>
    </row>
    <row r="180" spans="1:7" ht="15.6" x14ac:dyDescent="0.3">
      <c r="A180" s="26"/>
      <c r="B180" s="25"/>
      <c r="C180" s="25"/>
      <c r="D180" s="72"/>
      <c r="E180" s="179"/>
      <c r="F180" s="179">
        <f t="shared" si="7"/>
        <v>0</v>
      </c>
      <c r="G180" s="70"/>
    </row>
    <row r="181" spans="1:7" ht="15.6" x14ac:dyDescent="0.3">
      <c r="A181" s="26"/>
      <c r="B181" s="25"/>
      <c r="C181" s="25"/>
      <c r="D181" s="72"/>
      <c r="E181" s="179"/>
      <c r="F181" s="179">
        <f t="shared" si="7"/>
        <v>0</v>
      </c>
      <c r="G181" s="70"/>
    </row>
    <row r="182" spans="1:7" ht="15.6" x14ac:dyDescent="0.3">
      <c r="A182" s="21"/>
      <c r="B182" s="20"/>
      <c r="C182" s="20"/>
      <c r="D182" s="69"/>
      <c r="E182" s="180"/>
      <c r="F182" s="180">
        <f t="shared" si="7"/>
        <v>0</v>
      </c>
      <c r="G182" s="67"/>
    </row>
    <row r="183" spans="1:7" ht="17.399999999999999" x14ac:dyDescent="0.3">
      <c r="A183" s="17"/>
      <c r="B183" s="16"/>
      <c r="C183" s="9" t="s">
        <v>8</v>
      </c>
      <c r="D183" s="9"/>
      <c r="E183" s="181"/>
      <c r="F183" s="182">
        <f>SUM(F168:F181)</f>
        <v>12108</v>
      </c>
      <c r="G183" s="64"/>
    </row>
    <row r="184" spans="1:7" ht="17.399999999999999" x14ac:dyDescent="0.3">
      <c r="A184" s="11"/>
      <c r="B184" s="10"/>
      <c r="C184" s="63" t="s">
        <v>7</v>
      </c>
      <c r="D184" s="63"/>
      <c r="E184" s="183"/>
      <c r="F184" s="184">
        <f>F183*0.16</f>
        <v>1937.28</v>
      </c>
      <c r="G184" s="60"/>
    </row>
    <row r="185" spans="1:7" ht="17.399999999999999" x14ac:dyDescent="0.3">
      <c r="A185" s="11"/>
      <c r="B185" s="10"/>
      <c r="C185" s="59" t="s">
        <v>6</v>
      </c>
      <c r="D185" s="59"/>
      <c r="E185" s="185"/>
      <c r="F185" s="186">
        <f>F183+F184</f>
        <v>14045.28</v>
      </c>
      <c r="G185" s="56"/>
    </row>
    <row r="186" spans="1:7" ht="15.6" x14ac:dyDescent="0.3">
      <c r="A186" s="6" t="s">
        <v>5</v>
      </c>
      <c r="B186" s="5"/>
      <c r="C186" s="5" t="s">
        <v>4</v>
      </c>
      <c r="D186" s="5"/>
      <c r="E186" s="5" t="s">
        <v>3</v>
      </c>
      <c r="F186" s="5"/>
      <c r="G186" s="4"/>
    </row>
    <row r="187" spans="1:7" ht="15.6" x14ac:dyDescent="0.3">
      <c r="A187" s="3" t="s">
        <v>408</v>
      </c>
      <c r="B187" s="2"/>
      <c r="C187" s="2" t="s">
        <v>39</v>
      </c>
      <c r="D187" s="2"/>
      <c r="E187" s="2" t="s">
        <v>0</v>
      </c>
      <c r="F187" s="2"/>
      <c r="G187" s="1"/>
    </row>
    <row r="191" spans="1:7" ht="24.6" x14ac:dyDescent="0.3">
      <c r="A191" s="271" t="s">
        <v>38</v>
      </c>
      <c r="B191" s="302"/>
      <c r="C191" s="272"/>
      <c r="D191" s="305" t="s">
        <v>37</v>
      </c>
      <c r="E191" s="306"/>
      <c r="F191" s="306"/>
      <c r="G191" s="307"/>
    </row>
    <row r="192" spans="1:7" ht="21" x14ac:dyDescent="0.4">
      <c r="A192" s="273"/>
      <c r="B192" s="303"/>
      <c r="C192" s="274"/>
      <c r="D192" s="51" t="s">
        <v>36</v>
      </c>
      <c r="E192" s="308" t="s">
        <v>593</v>
      </c>
      <c r="F192" s="282"/>
      <c r="G192" s="50"/>
    </row>
    <row r="193" spans="1:7" ht="21" x14ac:dyDescent="0.4">
      <c r="A193" s="273"/>
      <c r="B193" s="303"/>
      <c r="C193" s="274"/>
      <c r="D193" s="51" t="s">
        <v>51</v>
      </c>
      <c r="E193" s="284">
        <v>22</v>
      </c>
      <c r="F193" s="282"/>
      <c r="G193" s="50"/>
    </row>
    <row r="194" spans="1:7" ht="30" x14ac:dyDescent="0.3">
      <c r="A194" s="275"/>
      <c r="B194" s="304"/>
      <c r="C194" s="276"/>
      <c r="D194" s="47" t="s">
        <v>50</v>
      </c>
      <c r="E194" s="287" t="s">
        <v>583</v>
      </c>
      <c r="F194" s="287"/>
      <c r="G194" s="87"/>
    </row>
    <row r="195" spans="1:7" ht="20.399999999999999" x14ac:dyDescent="0.35">
      <c r="A195" s="39" t="s">
        <v>48</v>
      </c>
      <c r="B195" s="43" t="s">
        <v>47</v>
      </c>
      <c r="C195" s="42"/>
      <c r="D195" s="42"/>
      <c r="E195" s="86"/>
      <c r="F195" s="85"/>
      <c r="G195" s="84"/>
    </row>
    <row r="196" spans="1:7" ht="20.399999999999999" x14ac:dyDescent="0.35">
      <c r="A196" s="39" t="s">
        <v>30</v>
      </c>
      <c r="B196" s="38" t="s">
        <v>483</v>
      </c>
      <c r="C196" s="37"/>
      <c r="D196" s="37"/>
      <c r="E196" s="83"/>
      <c r="F196" s="82"/>
      <c r="G196" s="81"/>
    </row>
    <row r="197" spans="1:7" ht="20.399999999999999" x14ac:dyDescent="0.35">
      <c r="A197" s="39" t="s">
        <v>46</v>
      </c>
      <c r="B197" s="38" t="s">
        <v>596</v>
      </c>
      <c r="C197" s="37"/>
      <c r="D197" s="37"/>
      <c r="E197" s="80"/>
      <c r="F197" s="79"/>
      <c r="G197" s="78"/>
    </row>
    <row r="198" spans="1:7" ht="20.399999999999999" x14ac:dyDescent="0.35">
      <c r="A198" s="39" t="s">
        <v>28</v>
      </c>
      <c r="B198" s="38" t="s">
        <v>198</v>
      </c>
      <c r="C198" s="37"/>
      <c r="D198" s="37"/>
      <c r="E198" s="37"/>
      <c r="F198" s="37"/>
      <c r="G198" s="77"/>
    </row>
    <row r="199" spans="1:7" ht="15" x14ac:dyDescent="0.3">
      <c r="A199" s="34" t="s">
        <v>26</v>
      </c>
      <c r="B199" s="34" t="s">
        <v>25</v>
      </c>
      <c r="C199" s="34" t="s">
        <v>24</v>
      </c>
      <c r="D199" s="34" t="s">
        <v>43</v>
      </c>
      <c r="E199" s="34" t="s">
        <v>42</v>
      </c>
      <c r="F199" s="34" t="s">
        <v>22</v>
      </c>
      <c r="G199" s="34" t="s">
        <v>21</v>
      </c>
    </row>
    <row r="200" spans="1:7" ht="15.6" x14ac:dyDescent="0.3">
      <c r="A200" s="33"/>
      <c r="B200" s="32"/>
      <c r="C200" s="32"/>
      <c r="D200" s="76"/>
      <c r="E200" s="178"/>
      <c r="F200" s="178">
        <f t="shared" ref="F200:F214" si="8">A200*E200</f>
        <v>0</v>
      </c>
      <c r="G200" s="74"/>
    </row>
    <row r="201" spans="1:7" ht="46.8" x14ac:dyDescent="0.3">
      <c r="A201" s="29">
        <v>12</v>
      </c>
      <c r="B201" s="25" t="s">
        <v>10</v>
      </c>
      <c r="C201" s="25" t="s">
        <v>474</v>
      </c>
      <c r="D201" s="73"/>
      <c r="E201" s="179">
        <v>70.3</v>
      </c>
      <c r="F201" s="179">
        <f t="shared" si="8"/>
        <v>843.59999999999991</v>
      </c>
      <c r="G201" s="74"/>
    </row>
    <row r="202" spans="1:7" ht="31.2" x14ac:dyDescent="0.3">
      <c r="A202" s="29">
        <v>20</v>
      </c>
      <c r="B202" s="25" t="s">
        <v>10</v>
      </c>
      <c r="C202" s="25" t="s">
        <v>476</v>
      </c>
      <c r="D202" s="73" t="s">
        <v>477</v>
      </c>
      <c r="E202" s="179">
        <v>37.17</v>
      </c>
      <c r="F202" s="179">
        <f t="shared" si="8"/>
        <v>743.40000000000009</v>
      </c>
      <c r="G202" s="74"/>
    </row>
    <row r="203" spans="1:7" ht="15.6" x14ac:dyDescent="0.3">
      <c r="A203" s="29"/>
      <c r="B203" s="27"/>
      <c r="C203" s="27"/>
      <c r="D203" s="73"/>
      <c r="E203" s="179"/>
      <c r="F203" s="179">
        <f t="shared" si="8"/>
        <v>0</v>
      </c>
      <c r="G203" s="70"/>
    </row>
    <row r="204" spans="1:7" ht="15.6" x14ac:dyDescent="0.3">
      <c r="A204" s="29"/>
      <c r="B204" s="27"/>
      <c r="C204" s="27"/>
      <c r="D204" s="73"/>
      <c r="E204" s="179"/>
      <c r="F204" s="179">
        <f t="shared" si="8"/>
        <v>0</v>
      </c>
      <c r="G204" s="70"/>
    </row>
    <row r="205" spans="1:7" ht="15.6" x14ac:dyDescent="0.3">
      <c r="A205" s="29"/>
      <c r="B205" s="27"/>
      <c r="C205" s="27"/>
      <c r="D205" s="73"/>
      <c r="E205" s="179"/>
      <c r="F205" s="179">
        <f t="shared" si="8"/>
        <v>0</v>
      </c>
      <c r="G205" s="70"/>
    </row>
    <row r="206" spans="1:7" ht="15.6" x14ac:dyDescent="0.3">
      <c r="A206" s="29"/>
      <c r="B206" s="27"/>
      <c r="C206" s="27"/>
      <c r="D206" s="73"/>
      <c r="E206" s="179"/>
      <c r="F206" s="179">
        <f t="shared" si="8"/>
        <v>0</v>
      </c>
      <c r="G206" s="70"/>
    </row>
    <row r="207" spans="1:7" ht="15.6" x14ac:dyDescent="0.3">
      <c r="A207" s="26"/>
      <c r="B207" s="27"/>
      <c r="C207" s="27"/>
      <c r="D207" s="73"/>
      <c r="E207" s="179"/>
      <c r="F207" s="179">
        <f t="shared" si="8"/>
        <v>0</v>
      </c>
      <c r="G207" s="70"/>
    </row>
    <row r="208" spans="1:7" ht="15.6" x14ac:dyDescent="0.3">
      <c r="A208" s="26"/>
      <c r="B208" s="27"/>
      <c r="C208" s="27"/>
      <c r="D208" s="73"/>
      <c r="E208" s="179"/>
      <c r="F208" s="179">
        <f t="shared" si="8"/>
        <v>0</v>
      </c>
      <c r="G208" s="70"/>
    </row>
    <row r="209" spans="1:7" ht="15.6" x14ac:dyDescent="0.3">
      <c r="A209" s="26"/>
      <c r="B209" s="25"/>
      <c r="C209" s="27"/>
      <c r="D209" s="73"/>
      <c r="E209" s="179"/>
      <c r="F209" s="179">
        <f t="shared" si="8"/>
        <v>0</v>
      </c>
      <c r="G209" s="70"/>
    </row>
    <row r="210" spans="1:7" ht="15.6" x14ac:dyDescent="0.3">
      <c r="A210" s="26"/>
      <c r="B210" s="25"/>
      <c r="C210" s="25"/>
      <c r="D210" s="72"/>
      <c r="E210" s="179"/>
      <c r="F210" s="179">
        <f t="shared" si="8"/>
        <v>0</v>
      </c>
      <c r="G210" s="70"/>
    </row>
    <row r="211" spans="1:7" ht="15.6" x14ac:dyDescent="0.3">
      <c r="A211" s="26"/>
      <c r="B211" s="25"/>
      <c r="C211" s="25"/>
      <c r="D211" s="72"/>
      <c r="E211" s="179"/>
      <c r="F211" s="179">
        <f t="shared" si="8"/>
        <v>0</v>
      </c>
      <c r="G211" s="70"/>
    </row>
    <row r="212" spans="1:7" ht="15.6" x14ac:dyDescent="0.3">
      <c r="A212" s="26"/>
      <c r="B212" s="25"/>
      <c r="C212" s="25"/>
      <c r="D212" s="72"/>
      <c r="E212" s="179"/>
      <c r="F212" s="179">
        <f t="shared" si="8"/>
        <v>0</v>
      </c>
      <c r="G212" s="70"/>
    </row>
    <row r="213" spans="1:7" ht="15.6" x14ac:dyDescent="0.3">
      <c r="A213" s="26"/>
      <c r="B213" s="25"/>
      <c r="C213" s="25"/>
      <c r="D213" s="72"/>
      <c r="E213" s="179"/>
      <c r="F213" s="179">
        <f t="shared" si="8"/>
        <v>0</v>
      </c>
      <c r="G213" s="70"/>
    </row>
    <row r="214" spans="1:7" ht="15.6" x14ac:dyDescent="0.3">
      <c r="A214" s="21"/>
      <c r="B214" s="20"/>
      <c r="C214" s="20"/>
      <c r="D214" s="69"/>
      <c r="E214" s="180"/>
      <c r="F214" s="180">
        <f t="shared" si="8"/>
        <v>0</v>
      </c>
      <c r="G214" s="67"/>
    </row>
    <row r="215" spans="1:7" ht="17.399999999999999" x14ac:dyDescent="0.3">
      <c r="A215" s="17"/>
      <c r="B215" s="16"/>
      <c r="C215" s="9" t="s">
        <v>8</v>
      </c>
      <c r="D215" s="9"/>
      <c r="E215" s="181"/>
      <c r="F215" s="182">
        <f>SUM(F200:F213)</f>
        <v>1587</v>
      </c>
      <c r="G215" s="64"/>
    </row>
    <row r="216" spans="1:7" ht="17.399999999999999" x14ac:dyDescent="0.3">
      <c r="A216" s="11"/>
      <c r="B216" s="10"/>
      <c r="C216" s="63" t="s">
        <v>7</v>
      </c>
      <c r="D216" s="63"/>
      <c r="E216" s="183"/>
      <c r="F216" s="184">
        <f>F215*0.16</f>
        <v>253.92000000000002</v>
      </c>
      <c r="G216" s="60"/>
    </row>
    <row r="217" spans="1:7" ht="17.399999999999999" x14ac:dyDescent="0.3">
      <c r="A217" s="11"/>
      <c r="B217" s="10"/>
      <c r="C217" s="59" t="s">
        <v>6</v>
      </c>
      <c r="D217" s="59"/>
      <c r="E217" s="185"/>
      <c r="F217" s="186">
        <f>F215+F216</f>
        <v>1840.92</v>
      </c>
      <c r="G217" s="56"/>
    </row>
    <row r="218" spans="1:7" ht="15.6" x14ac:dyDescent="0.3">
      <c r="A218" s="6" t="s">
        <v>5</v>
      </c>
      <c r="B218" s="5"/>
      <c r="C218" s="5" t="s">
        <v>4</v>
      </c>
      <c r="D218" s="5"/>
      <c r="E218" s="5" t="s">
        <v>3</v>
      </c>
      <c r="F218" s="5"/>
      <c r="G218" s="4"/>
    </row>
    <row r="219" spans="1:7" ht="15.6" x14ac:dyDescent="0.3">
      <c r="A219" s="3" t="s">
        <v>374</v>
      </c>
      <c r="B219" s="2"/>
      <c r="C219" s="170" t="s">
        <v>39</v>
      </c>
      <c r="D219" s="2"/>
      <c r="E219" s="2" t="s">
        <v>0</v>
      </c>
      <c r="F219" s="2"/>
      <c r="G219" s="1"/>
    </row>
    <row r="223" spans="1:7" ht="24.6" x14ac:dyDescent="0.3">
      <c r="A223" s="271" t="s">
        <v>38</v>
      </c>
      <c r="B223" s="302"/>
      <c r="C223" s="272"/>
      <c r="D223" s="305" t="s">
        <v>37</v>
      </c>
      <c r="E223" s="306"/>
      <c r="F223" s="306"/>
      <c r="G223" s="307"/>
    </row>
    <row r="224" spans="1:7" ht="21" x14ac:dyDescent="0.4">
      <c r="A224" s="273"/>
      <c r="B224" s="303"/>
      <c r="C224" s="274"/>
      <c r="D224" s="51" t="s">
        <v>36</v>
      </c>
      <c r="E224" s="308" t="s">
        <v>593</v>
      </c>
      <c r="F224" s="282"/>
      <c r="G224" s="50"/>
    </row>
    <row r="225" spans="1:7" ht="21" x14ac:dyDescent="0.4">
      <c r="A225" s="273"/>
      <c r="B225" s="303"/>
      <c r="C225" s="274"/>
      <c r="D225" s="51" t="s">
        <v>51</v>
      </c>
      <c r="E225" s="284">
        <v>22</v>
      </c>
      <c r="F225" s="282"/>
      <c r="G225" s="50"/>
    </row>
    <row r="226" spans="1:7" ht="30" x14ac:dyDescent="0.3">
      <c r="A226" s="275"/>
      <c r="B226" s="304"/>
      <c r="C226" s="276"/>
      <c r="D226" s="47" t="s">
        <v>50</v>
      </c>
      <c r="E226" s="287" t="s">
        <v>584</v>
      </c>
      <c r="F226" s="287"/>
      <c r="G226" s="87"/>
    </row>
    <row r="227" spans="1:7" ht="20.399999999999999" x14ac:dyDescent="0.35">
      <c r="A227" s="39" t="s">
        <v>48</v>
      </c>
      <c r="B227" s="43" t="s">
        <v>47</v>
      </c>
      <c r="C227" s="42"/>
      <c r="D227" s="42"/>
      <c r="E227" s="309" t="s">
        <v>597</v>
      </c>
      <c r="F227" s="310"/>
      <c r="G227" s="311"/>
    </row>
    <row r="228" spans="1:7" ht="20.399999999999999" x14ac:dyDescent="0.35">
      <c r="A228" s="39" t="s">
        <v>487</v>
      </c>
      <c r="B228" s="38" t="s">
        <v>403</v>
      </c>
      <c r="C228" s="37"/>
      <c r="D228" s="37"/>
      <c r="E228" s="312"/>
      <c r="F228" s="313"/>
      <c r="G228" s="314"/>
    </row>
    <row r="229" spans="1:7" ht="20.399999999999999" x14ac:dyDescent="0.35">
      <c r="A229" s="39" t="s">
        <v>46</v>
      </c>
      <c r="B229" s="38" t="s">
        <v>490</v>
      </c>
      <c r="C229" s="37"/>
      <c r="D229" s="37"/>
      <c r="E229" s="315"/>
      <c r="F229" s="316"/>
      <c r="G229" s="317"/>
    </row>
    <row r="230" spans="1:7" ht="20.399999999999999" x14ac:dyDescent="0.35">
      <c r="A230" s="39" t="s">
        <v>28</v>
      </c>
      <c r="B230" s="38" t="s">
        <v>77</v>
      </c>
      <c r="C230" s="37"/>
      <c r="D230" s="37"/>
      <c r="E230" s="37"/>
      <c r="F230" s="37"/>
      <c r="G230" s="77"/>
    </row>
    <row r="231" spans="1:7" ht="15" x14ac:dyDescent="0.3">
      <c r="A231" s="34" t="s">
        <v>26</v>
      </c>
      <c r="B231" s="34" t="s">
        <v>25</v>
      </c>
      <c r="C231" s="34" t="s">
        <v>24</v>
      </c>
      <c r="D231" s="34" t="s">
        <v>43</v>
      </c>
      <c r="E231" s="34" t="s">
        <v>42</v>
      </c>
      <c r="F231" s="34" t="s">
        <v>22</v>
      </c>
      <c r="G231" s="34" t="s">
        <v>21</v>
      </c>
    </row>
    <row r="232" spans="1:7" ht="31.2" x14ac:dyDescent="0.3">
      <c r="A232" s="33">
        <v>9</v>
      </c>
      <c r="B232" s="32" t="s">
        <v>10</v>
      </c>
      <c r="C232" s="32" t="s">
        <v>491</v>
      </c>
      <c r="D232" s="76" t="s">
        <v>492</v>
      </c>
      <c r="E232" s="178">
        <v>1377.01</v>
      </c>
      <c r="F232" s="178">
        <f t="shared" ref="F232:F246" si="9">A232*E232</f>
        <v>12393.09</v>
      </c>
      <c r="G232" s="74"/>
    </row>
    <row r="233" spans="1:7" ht="46.8" x14ac:dyDescent="0.3">
      <c r="A233" s="29">
        <v>9</v>
      </c>
      <c r="B233" s="25" t="s">
        <v>10</v>
      </c>
      <c r="C233" s="25" t="s">
        <v>493</v>
      </c>
      <c r="D233" s="73">
        <v>3826.2</v>
      </c>
      <c r="E233" s="179">
        <v>393.06</v>
      </c>
      <c r="F233" s="179">
        <f t="shared" si="9"/>
        <v>3537.54</v>
      </c>
      <c r="G233" s="74"/>
    </row>
    <row r="234" spans="1:7" ht="31.2" x14ac:dyDescent="0.3">
      <c r="A234" s="29">
        <v>9</v>
      </c>
      <c r="B234" s="25" t="s">
        <v>10</v>
      </c>
      <c r="C234" s="25" t="s">
        <v>494</v>
      </c>
      <c r="D234" s="73" t="s">
        <v>495</v>
      </c>
      <c r="E234" s="179">
        <v>204.79</v>
      </c>
      <c r="F234" s="179">
        <f t="shared" si="9"/>
        <v>1843.11</v>
      </c>
      <c r="G234" s="74"/>
    </row>
    <row r="235" spans="1:7" ht="31.2" x14ac:dyDescent="0.3">
      <c r="A235" s="29">
        <v>9</v>
      </c>
      <c r="B235" s="25" t="s">
        <v>10</v>
      </c>
      <c r="C235" s="212" t="s">
        <v>101</v>
      </c>
      <c r="D235" s="219"/>
      <c r="E235" s="73">
        <v>492.53</v>
      </c>
      <c r="F235" s="179">
        <f t="shared" si="9"/>
        <v>4432.7699999999995</v>
      </c>
      <c r="G235" s="70"/>
    </row>
    <row r="236" spans="1:7" ht="15.6" x14ac:dyDescent="0.3">
      <c r="A236" s="29"/>
      <c r="B236" s="27"/>
      <c r="C236" s="27"/>
      <c r="D236" s="73"/>
      <c r="E236" s="179"/>
      <c r="F236" s="179">
        <f t="shared" si="9"/>
        <v>0</v>
      </c>
      <c r="G236" s="70"/>
    </row>
    <row r="237" spans="1:7" ht="15.6" x14ac:dyDescent="0.3">
      <c r="A237" s="29"/>
      <c r="B237" s="27"/>
      <c r="C237" s="27"/>
      <c r="D237" s="73"/>
      <c r="E237" s="179"/>
      <c r="F237" s="179">
        <f t="shared" si="9"/>
        <v>0</v>
      </c>
      <c r="G237" s="70"/>
    </row>
    <row r="238" spans="1:7" ht="15.6" x14ac:dyDescent="0.3">
      <c r="A238" s="29"/>
      <c r="B238" s="27"/>
      <c r="C238" s="27"/>
      <c r="D238" s="73"/>
      <c r="E238" s="179"/>
      <c r="F238" s="179">
        <f t="shared" si="9"/>
        <v>0</v>
      </c>
      <c r="G238" s="70"/>
    </row>
    <row r="239" spans="1:7" ht="15.6" x14ac:dyDescent="0.3">
      <c r="A239" s="26"/>
      <c r="B239" s="27"/>
      <c r="C239" s="27"/>
      <c r="D239" s="73"/>
      <c r="E239" s="179"/>
      <c r="F239" s="179">
        <f t="shared" si="9"/>
        <v>0</v>
      </c>
      <c r="G239" s="70"/>
    </row>
    <row r="240" spans="1:7" ht="15.6" x14ac:dyDescent="0.3">
      <c r="A240" s="26"/>
      <c r="B240" s="27"/>
      <c r="C240" s="27"/>
      <c r="D240" s="73"/>
      <c r="E240" s="179"/>
      <c r="F240" s="179">
        <f t="shared" si="9"/>
        <v>0</v>
      </c>
      <c r="G240" s="70"/>
    </row>
    <row r="241" spans="1:7" ht="15.6" x14ac:dyDescent="0.3">
      <c r="A241" s="26"/>
      <c r="B241" s="25"/>
      <c r="C241" s="27"/>
      <c r="D241" s="73"/>
      <c r="E241" s="179"/>
      <c r="F241" s="179">
        <f t="shared" si="9"/>
        <v>0</v>
      </c>
      <c r="G241" s="70"/>
    </row>
    <row r="242" spans="1:7" ht="15.6" x14ac:dyDescent="0.3">
      <c r="A242" s="26"/>
      <c r="B242" s="25"/>
      <c r="C242" s="25"/>
      <c r="D242" s="72"/>
      <c r="E242" s="179"/>
      <c r="F242" s="179">
        <f t="shared" si="9"/>
        <v>0</v>
      </c>
      <c r="G242" s="70"/>
    </row>
    <row r="243" spans="1:7" ht="15.6" x14ac:dyDescent="0.3">
      <c r="A243" s="26"/>
      <c r="B243" s="25"/>
      <c r="C243" s="25"/>
      <c r="D243" s="72"/>
      <c r="E243" s="179"/>
      <c r="F243" s="179">
        <f t="shared" si="9"/>
        <v>0</v>
      </c>
      <c r="G243" s="70"/>
    </row>
    <row r="244" spans="1:7" ht="15.6" x14ac:dyDescent="0.3">
      <c r="A244" s="26"/>
      <c r="B244" s="25"/>
      <c r="C244" s="25"/>
      <c r="D244" s="72"/>
      <c r="E244" s="179"/>
      <c r="F244" s="179">
        <f t="shared" si="9"/>
        <v>0</v>
      </c>
      <c r="G244" s="70"/>
    </row>
    <row r="245" spans="1:7" ht="15.6" x14ac:dyDescent="0.3">
      <c r="A245" s="26"/>
      <c r="B245" s="25"/>
      <c r="C245" s="25"/>
      <c r="D245" s="72"/>
      <c r="E245" s="179"/>
      <c r="F245" s="179">
        <f t="shared" si="9"/>
        <v>0</v>
      </c>
      <c r="G245" s="70"/>
    </row>
    <row r="246" spans="1:7" ht="15.6" x14ac:dyDescent="0.3">
      <c r="A246" s="21"/>
      <c r="B246" s="20"/>
      <c r="C246" s="20"/>
      <c r="D246" s="69"/>
      <c r="E246" s="180"/>
      <c r="F246" s="180">
        <f t="shared" si="9"/>
        <v>0</v>
      </c>
      <c r="G246" s="67"/>
    </row>
    <row r="247" spans="1:7" ht="17.399999999999999" x14ac:dyDescent="0.3">
      <c r="A247" s="17"/>
      <c r="B247" s="16"/>
      <c r="C247" s="9" t="s">
        <v>8</v>
      </c>
      <c r="D247" s="9"/>
      <c r="E247" s="181"/>
      <c r="F247" s="182">
        <f>SUM(F232:F245)</f>
        <v>22206.510000000002</v>
      </c>
      <c r="G247" s="64"/>
    </row>
    <row r="248" spans="1:7" ht="17.399999999999999" x14ac:dyDescent="0.3">
      <c r="A248" s="11"/>
      <c r="B248" s="10"/>
      <c r="C248" s="63" t="s">
        <v>7</v>
      </c>
      <c r="D248" s="63"/>
      <c r="E248" s="183"/>
      <c r="F248" s="184">
        <f>F247*0.16</f>
        <v>3553.0416000000005</v>
      </c>
      <c r="G248" s="60"/>
    </row>
    <row r="249" spans="1:7" ht="17.399999999999999" x14ac:dyDescent="0.3">
      <c r="A249" s="11"/>
      <c r="B249" s="10"/>
      <c r="C249" s="59" t="s">
        <v>6</v>
      </c>
      <c r="D249" s="59"/>
      <c r="E249" s="185"/>
      <c r="F249" s="186">
        <f>F247+F248</f>
        <v>25759.551600000003</v>
      </c>
      <c r="G249" s="56"/>
    </row>
    <row r="250" spans="1:7" ht="15.6" x14ac:dyDescent="0.3">
      <c r="A250" s="6" t="s">
        <v>5</v>
      </c>
      <c r="B250" s="5"/>
      <c r="C250" s="5" t="s">
        <v>4</v>
      </c>
      <c r="D250" s="5"/>
      <c r="E250" s="5" t="s">
        <v>3</v>
      </c>
      <c r="F250" s="5"/>
      <c r="G250" s="4"/>
    </row>
    <row r="251" spans="1:7" ht="15.6" x14ac:dyDescent="0.3">
      <c r="A251" s="3" t="s">
        <v>408</v>
      </c>
      <c r="B251" s="2"/>
      <c r="C251" s="2" t="s">
        <v>39</v>
      </c>
      <c r="D251" s="2"/>
      <c r="E251" s="2" t="s">
        <v>0</v>
      </c>
      <c r="F251" s="2"/>
      <c r="G251" s="1"/>
    </row>
    <row r="254" spans="1:7" ht="21" x14ac:dyDescent="0.4">
      <c r="A254" s="55"/>
      <c r="B254" s="326" t="s">
        <v>38</v>
      </c>
      <c r="C254" s="327"/>
      <c r="D254" s="277" t="s">
        <v>37</v>
      </c>
      <c r="E254" s="278"/>
      <c r="F254" s="278"/>
      <c r="G254" s="279"/>
    </row>
    <row r="255" spans="1:7" ht="21" x14ac:dyDescent="0.4">
      <c r="A255" s="53"/>
      <c r="B255" s="328"/>
      <c r="C255" s="329"/>
      <c r="D255" s="280" t="s">
        <v>36</v>
      </c>
      <c r="E255" s="281"/>
      <c r="F255" s="282" t="s">
        <v>571</v>
      </c>
      <c r="G255" s="283"/>
    </row>
    <row r="256" spans="1:7" ht="21" x14ac:dyDescent="0.4">
      <c r="A256" s="53"/>
      <c r="B256" s="328"/>
      <c r="C256" s="329"/>
      <c r="D256" s="135" t="s">
        <v>118</v>
      </c>
      <c r="E256" s="136"/>
      <c r="F256" s="90">
        <v>22</v>
      </c>
      <c r="G256" s="50"/>
    </row>
    <row r="257" spans="1:7" ht="21" x14ac:dyDescent="0.4">
      <c r="A257" s="49"/>
      <c r="B257" s="330"/>
      <c r="C257" s="331"/>
      <c r="D257" s="338" t="s">
        <v>50</v>
      </c>
      <c r="E257" s="339"/>
      <c r="F257" s="287" t="s">
        <v>585</v>
      </c>
      <c r="G257" s="287"/>
    </row>
    <row r="258" spans="1:7" ht="20.399999999999999" x14ac:dyDescent="0.35">
      <c r="A258" s="39" t="s">
        <v>48</v>
      </c>
      <c r="B258" s="43" t="s">
        <v>70</v>
      </c>
      <c r="C258" s="42"/>
      <c r="D258" s="42"/>
      <c r="E258" s="289" t="s">
        <v>116</v>
      </c>
      <c r="F258" s="289"/>
      <c r="G258" s="290"/>
    </row>
    <row r="259" spans="1:7" ht="20.399999999999999" x14ac:dyDescent="0.35">
      <c r="A259" s="39" t="s">
        <v>30</v>
      </c>
      <c r="B259" s="291"/>
      <c r="C259" s="292"/>
      <c r="D259" s="292"/>
      <c r="E259" s="292"/>
      <c r="F259" s="292"/>
      <c r="G259" s="293"/>
    </row>
    <row r="260" spans="1:7" ht="20.399999999999999" x14ac:dyDescent="0.35">
      <c r="A260" s="39" t="s">
        <v>46</v>
      </c>
      <c r="B260" s="291" t="s">
        <v>581</v>
      </c>
      <c r="C260" s="292"/>
      <c r="D260" s="292"/>
      <c r="E260" s="292"/>
      <c r="F260" s="292"/>
      <c r="G260" s="293"/>
    </row>
    <row r="261" spans="1:7" ht="20.399999999999999" x14ac:dyDescent="0.35">
      <c r="A261" s="39" t="s">
        <v>28</v>
      </c>
      <c r="B261" s="291" t="s">
        <v>299</v>
      </c>
      <c r="C261" s="292"/>
      <c r="D261" s="292"/>
      <c r="E261" s="292"/>
      <c r="F261" s="292"/>
      <c r="G261" s="293"/>
    </row>
    <row r="262" spans="1:7" ht="15" x14ac:dyDescent="0.3">
      <c r="A262" s="34" t="s">
        <v>26</v>
      </c>
      <c r="B262" s="34" t="s">
        <v>25</v>
      </c>
      <c r="C262" s="34" t="s">
        <v>24</v>
      </c>
      <c r="D262" s="34" t="s">
        <v>43</v>
      </c>
      <c r="E262" s="34" t="s">
        <v>42</v>
      </c>
      <c r="F262" s="34" t="s">
        <v>22</v>
      </c>
      <c r="G262" s="34" t="s">
        <v>21</v>
      </c>
    </row>
    <row r="263" spans="1:7" ht="42" x14ac:dyDescent="0.3">
      <c r="A263" s="74">
        <v>14</v>
      </c>
      <c r="B263" s="74" t="s">
        <v>10</v>
      </c>
      <c r="C263" s="137" t="s">
        <v>264</v>
      </c>
      <c r="D263" s="94" t="s">
        <v>265</v>
      </c>
      <c r="E263" s="138">
        <v>16.11</v>
      </c>
      <c r="F263" s="138">
        <f>A263*E263</f>
        <v>225.54</v>
      </c>
      <c r="G263" s="139" t="s">
        <v>266</v>
      </c>
    </row>
    <row r="264" spans="1:7" ht="42" x14ac:dyDescent="0.3">
      <c r="A264" s="74">
        <v>6</v>
      </c>
      <c r="B264" s="74" t="s">
        <v>10</v>
      </c>
      <c r="C264" s="137" t="s">
        <v>267</v>
      </c>
      <c r="D264" s="94" t="s">
        <v>268</v>
      </c>
      <c r="E264" s="138">
        <v>16.11</v>
      </c>
      <c r="F264" s="138">
        <f t="shared" ref="F264:F282" si="10">A264*E264</f>
        <v>96.66</v>
      </c>
      <c r="G264" s="139" t="s">
        <v>266</v>
      </c>
    </row>
    <row r="265" spans="1:7" ht="42" x14ac:dyDescent="0.3">
      <c r="A265" s="74">
        <v>1</v>
      </c>
      <c r="B265" s="74" t="s">
        <v>10</v>
      </c>
      <c r="C265" s="137" t="s">
        <v>269</v>
      </c>
      <c r="D265" s="74" t="s">
        <v>270</v>
      </c>
      <c r="E265" s="138">
        <v>16.11</v>
      </c>
      <c r="F265" s="138">
        <f t="shared" si="10"/>
        <v>16.11</v>
      </c>
      <c r="G265" s="139" t="s">
        <v>266</v>
      </c>
    </row>
    <row r="266" spans="1:7" ht="42" x14ac:dyDescent="0.3">
      <c r="A266" s="74">
        <v>16</v>
      </c>
      <c r="B266" s="74" t="s">
        <v>10</v>
      </c>
      <c r="C266" s="137" t="s">
        <v>271</v>
      </c>
      <c r="D266" s="74" t="s">
        <v>272</v>
      </c>
      <c r="E266" s="138">
        <v>15.98</v>
      </c>
      <c r="F266" s="138">
        <f t="shared" si="10"/>
        <v>255.68</v>
      </c>
      <c r="G266" s="139" t="s">
        <v>266</v>
      </c>
    </row>
    <row r="267" spans="1:7" ht="42" x14ac:dyDescent="0.3">
      <c r="A267" s="74">
        <v>6</v>
      </c>
      <c r="B267" s="74" t="s">
        <v>10</v>
      </c>
      <c r="C267" s="137" t="s">
        <v>273</v>
      </c>
      <c r="D267" s="94" t="s">
        <v>274</v>
      </c>
      <c r="E267" s="138">
        <v>20.87</v>
      </c>
      <c r="F267" s="138">
        <f t="shared" si="10"/>
        <v>125.22</v>
      </c>
      <c r="G267" s="139" t="s">
        <v>266</v>
      </c>
    </row>
    <row r="268" spans="1:7" ht="42" x14ac:dyDescent="0.3">
      <c r="A268" s="74">
        <v>1</v>
      </c>
      <c r="B268" s="74" t="s">
        <v>10</v>
      </c>
      <c r="C268" s="137" t="s">
        <v>275</v>
      </c>
      <c r="D268" s="74" t="s">
        <v>276</v>
      </c>
      <c r="E268" s="138">
        <v>18.45</v>
      </c>
      <c r="F268" s="138">
        <f t="shared" si="10"/>
        <v>18.45</v>
      </c>
      <c r="G268" s="139" t="s">
        <v>266</v>
      </c>
    </row>
    <row r="269" spans="1:7" ht="55.2" x14ac:dyDescent="0.3">
      <c r="A269" s="74">
        <v>19</v>
      </c>
      <c r="B269" s="74" t="s">
        <v>10</v>
      </c>
      <c r="C269" s="137" t="s">
        <v>277</v>
      </c>
      <c r="D269" s="74" t="s">
        <v>278</v>
      </c>
      <c r="E269" s="138">
        <v>31.28</v>
      </c>
      <c r="F269" s="138">
        <f t="shared" si="10"/>
        <v>594.32000000000005</v>
      </c>
      <c r="G269" s="139" t="s">
        <v>266</v>
      </c>
    </row>
    <row r="270" spans="1:7" ht="69" x14ac:dyDescent="0.3">
      <c r="A270" s="74">
        <v>6</v>
      </c>
      <c r="B270" s="74" t="s">
        <v>10</v>
      </c>
      <c r="C270" s="137" t="s">
        <v>279</v>
      </c>
      <c r="D270" s="74" t="s">
        <v>280</v>
      </c>
      <c r="E270" s="138">
        <v>203.44</v>
      </c>
      <c r="F270" s="138">
        <f t="shared" si="10"/>
        <v>1220.6399999999999</v>
      </c>
      <c r="G270" s="139" t="s">
        <v>266</v>
      </c>
    </row>
    <row r="271" spans="1:7" ht="42" x14ac:dyDescent="0.3">
      <c r="A271" s="74">
        <v>2</v>
      </c>
      <c r="B271" s="74" t="s">
        <v>10</v>
      </c>
      <c r="C271" s="137" t="s">
        <v>281</v>
      </c>
      <c r="D271" s="74" t="s">
        <v>282</v>
      </c>
      <c r="E271" s="138">
        <v>16.98</v>
      </c>
      <c r="F271" s="138">
        <f t="shared" si="10"/>
        <v>33.96</v>
      </c>
      <c r="G271" s="139" t="s">
        <v>266</v>
      </c>
    </row>
    <row r="272" spans="1:7" ht="42" x14ac:dyDescent="0.3">
      <c r="A272" s="74">
        <v>3</v>
      </c>
      <c r="B272" s="74" t="s">
        <v>10</v>
      </c>
      <c r="C272" s="137" t="s">
        <v>283</v>
      </c>
      <c r="D272" s="74" t="s">
        <v>284</v>
      </c>
      <c r="E272" s="138">
        <v>23.37</v>
      </c>
      <c r="F272" s="138">
        <f t="shared" si="10"/>
        <v>70.11</v>
      </c>
      <c r="G272" s="139" t="s">
        <v>266</v>
      </c>
    </row>
    <row r="273" spans="1:7" ht="42" x14ac:dyDescent="0.3">
      <c r="A273" s="74">
        <v>1</v>
      </c>
      <c r="B273" s="74" t="s">
        <v>10</v>
      </c>
      <c r="C273" s="137" t="s">
        <v>285</v>
      </c>
      <c r="D273" s="74" t="s">
        <v>286</v>
      </c>
      <c r="E273" s="138">
        <v>44.11</v>
      </c>
      <c r="F273" s="138">
        <f t="shared" si="10"/>
        <v>44.11</v>
      </c>
      <c r="G273" s="139" t="s">
        <v>266</v>
      </c>
    </row>
    <row r="274" spans="1:7" ht="42" x14ac:dyDescent="0.3">
      <c r="A274" s="74">
        <v>3</v>
      </c>
      <c r="B274" s="74" t="s">
        <v>10</v>
      </c>
      <c r="C274" s="137" t="s">
        <v>287</v>
      </c>
      <c r="D274" s="74" t="s">
        <v>288</v>
      </c>
      <c r="E274" s="138">
        <v>10.130000000000001</v>
      </c>
      <c r="F274" s="138">
        <f t="shared" si="10"/>
        <v>30.39</v>
      </c>
      <c r="G274" s="139" t="s">
        <v>266</v>
      </c>
    </row>
    <row r="275" spans="1:7" ht="42" x14ac:dyDescent="0.3">
      <c r="A275" s="74">
        <v>3</v>
      </c>
      <c r="B275" s="74" t="s">
        <v>10</v>
      </c>
      <c r="C275" s="137" t="s">
        <v>289</v>
      </c>
      <c r="D275" s="74" t="s">
        <v>296</v>
      </c>
      <c r="E275" s="138">
        <v>58.48</v>
      </c>
      <c r="F275" s="138">
        <f t="shared" si="10"/>
        <v>175.44</v>
      </c>
      <c r="G275" s="139" t="s">
        <v>266</v>
      </c>
    </row>
    <row r="276" spans="1:7" ht="42" x14ac:dyDescent="0.3">
      <c r="A276" s="74">
        <v>8</v>
      </c>
      <c r="B276" s="74" t="s">
        <v>10</v>
      </c>
      <c r="C276" s="137" t="s">
        <v>290</v>
      </c>
      <c r="D276" s="74" t="s">
        <v>291</v>
      </c>
      <c r="E276" s="138">
        <v>11.68</v>
      </c>
      <c r="F276" s="138">
        <f t="shared" si="10"/>
        <v>93.44</v>
      </c>
      <c r="G276" s="139" t="s">
        <v>266</v>
      </c>
    </row>
    <row r="277" spans="1:7" ht="41.4" x14ac:dyDescent="0.3">
      <c r="A277" s="74">
        <v>7</v>
      </c>
      <c r="B277" s="74" t="s">
        <v>10</v>
      </c>
      <c r="C277" s="137" t="s">
        <v>589</v>
      </c>
      <c r="D277" s="74"/>
      <c r="E277" s="138">
        <v>266.11</v>
      </c>
      <c r="F277" s="138">
        <f t="shared" si="10"/>
        <v>1862.77</v>
      </c>
      <c r="G277" s="139"/>
    </row>
    <row r="278" spans="1:7" ht="41.4" x14ac:dyDescent="0.3">
      <c r="A278" s="74">
        <v>2</v>
      </c>
      <c r="B278" s="74" t="s">
        <v>10</v>
      </c>
      <c r="C278" s="137" t="s">
        <v>294</v>
      </c>
      <c r="D278" s="70"/>
      <c r="E278" s="138">
        <v>60.24</v>
      </c>
      <c r="F278" s="138">
        <f t="shared" si="10"/>
        <v>120.48</v>
      </c>
      <c r="G278" s="70"/>
    </row>
    <row r="279" spans="1:7" ht="41.4" x14ac:dyDescent="0.3">
      <c r="A279" s="74">
        <v>7</v>
      </c>
      <c r="B279" s="74" t="s">
        <v>10</v>
      </c>
      <c r="C279" s="137" t="s">
        <v>295</v>
      </c>
      <c r="D279" s="70"/>
      <c r="E279" s="138">
        <v>60.24</v>
      </c>
      <c r="F279" s="138">
        <f t="shared" si="10"/>
        <v>421.68</v>
      </c>
      <c r="G279" s="70"/>
    </row>
    <row r="280" spans="1:7" x14ac:dyDescent="0.3">
      <c r="A280" s="74">
        <v>1</v>
      </c>
      <c r="B280" s="74" t="s">
        <v>10</v>
      </c>
      <c r="C280" s="140" t="s">
        <v>424</v>
      </c>
      <c r="D280" s="70"/>
      <c r="E280" s="138">
        <v>44.2</v>
      </c>
      <c r="F280" s="138">
        <f t="shared" si="10"/>
        <v>44.2</v>
      </c>
      <c r="G280" s="70"/>
    </row>
    <row r="281" spans="1:7" x14ac:dyDescent="0.3">
      <c r="A281" s="74">
        <v>1</v>
      </c>
      <c r="B281" s="74" t="s">
        <v>10</v>
      </c>
      <c r="C281" s="74" t="s">
        <v>425</v>
      </c>
      <c r="D281" s="70"/>
      <c r="E281" s="138">
        <v>9.4</v>
      </c>
      <c r="F281" s="138">
        <f t="shared" si="10"/>
        <v>9.4</v>
      </c>
      <c r="G281" s="70"/>
    </row>
    <row r="282" spans="1:7" x14ac:dyDescent="0.3">
      <c r="A282" s="141"/>
      <c r="B282" s="141"/>
      <c r="C282" s="141"/>
      <c r="D282" s="67"/>
      <c r="E282" s="142"/>
      <c r="F282" s="142">
        <f t="shared" si="10"/>
        <v>0</v>
      </c>
      <c r="G282" s="67"/>
    </row>
    <row r="283" spans="1:7" ht="15.6" x14ac:dyDescent="0.3">
      <c r="A283" s="143"/>
      <c r="B283" s="144"/>
      <c r="C283" s="145" t="s">
        <v>8</v>
      </c>
      <c r="D283" s="16"/>
      <c r="E283" s="146"/>
      <c r="F283" s="146">
        <f>SUM(F263:F281)</f>
        <v>5458.5999999999995</v>
      </c>
      <c r="G283" s="147"/>
    </row>
    <row r="284" spans="1:7" ht="15.6" x14ac:dyDescent="0.3">
      <c r="A284" s="148"/>
      <c r="B284" s="107"/>
      <c r="C284" s="149" t="s">
        <v>7</v>
      </c>
      <c r="D284" s="10"/>
      <c r="E284" s="150"/>
      <c r="F284" s="150">
        <f>F283*0.16</f>
        <v>873.37599999999998</v>
      </c>
      <c r="G284" s="112"/>
    </row>
    <row r="285" spans="1:7" ht="15.6" x14ac:dyDescent="0.3">
      <c r="A285" s="148"/>
      <c r="B285" s="107"/>
      <c r="C285" s="151" t="s">
        <v>6</v>
      </c>
      <c r="D285" s="152"/>
      <c r="E285" s="153"/>
      <c r="F285" s="153">
        <f>F283+F284</f>
        <v>6331.9759999999997</v>
      </c>
      <c r="G285" s="154"/>
    </row>
    <row r="286" spans="1:7" x14ac:dyDescent="0.3">
      <c r="A286" s="335" t="s">
        <v>5</v>
      </c>
      <c r="B286" s="336"/>
      <c r="C286" s="155" t="s">
        <v>4</v>
      </c>
      <c r="D286" s="155"/>
      <c r="E286" s="336" t="s">
        <v>3</v>
      </c>
      <c r="F286" s="336"/>
      <c r="G286" s="337"/>
    </row>
    <row r="287" spans="1:7" x14ac:dyDescent="0.3">
      <c r="A287" s="332" t="s">
        <v>2</v>
      </c>
      <c r="B287" s="333"/>
      <c r="C287" s="156" t="s">
        <v>39</v>
      </c>
      <c r="D287" s="156"/>
      <c r="E287" s="333" t="s">
        <v>70</v>
      </c>
      <c r="F287" s="333"/>
      <c r="G287" s="334"/>
    </row>
    <row r="288" spans="1:7" x14ac:dyDescent="0.3">
      <c r="A288" s="107"/>
      <c r="B288" s="107"/>
      <c r="C288" s="107"/>
      <c r="D288" s="107"/>
      <c r="E288" s="107"/>
      <c r="F288" s="107"/>
      <c r="G288" s="107"/>
    </row>
    <row r="292" spans="1:7" ht="24.6" x14ac:dyDescent="0.3">
      <c r="A292" s="271" t="s">
        <v>38</v>
      </c>
      <c r="B292" s="302"/>
      <c r="C292" s="272"/>
      <c r="D292" s="305" t="s">
        <v>37</v>
      </c>
      <c r="E292" s="306"/>
      <c r="F292" s="306"/>
      <c r="G292" s="307"/>
    </row>
    <row r="293" spans="1:7" ht="21" x14ac:dyDescent="0.4">
      <c r="A293" s="273"/>
      <c r="B293" s="303"/>
      <c r="C293" s="274"/>
      <c r="D293" s="51" t="s">
        <v>36</v>
      </c>
      <c r="E293" s="308" t="s">
        <v>593</v>
      </c>
      <c r="F293" s="282"/>
      <c r="G293" s="50"/>
    </row>
    <row r="294" spans="1:7" ht="21" x14ac:dyDescent="0.4">
      <c r="A294" s="273"/>
      <c r="B294" s="303"/>
      <c r="C294" s="274"/>
      <c r="D294" s="51" t="s">
        <v>51</v>
      </c>
      <c r="E294" s="284">
        <v>22</v>
      </c>
      <c r="F294" s="282"/>
      <c r="G294" s="50"/>
    </row>
    <row r="295" spans="1:7" ht="30" x14ac:dyDescent="0.3">
      <c r="A295" s="275"/>
      <c r="B295" s="304"/>
      <c r="C295" s="276"/>
      <c r="D295" s="47" t="s">
        <v>50</v>
      </c>
      <c r="E295" s="287" t="s">
        <v>586</v>
      </c>
      <c r="F295" s="287"/>
      <c r="G295" s="87"/>
    </row>
    <row r="296" spans="1:7" ht="20.399999999999999" x14ac:dyDescent="0.35">
      <c r="A296" s="39" t="s">
        <v>48</v>
      </c>
      <c r="B296" s="43" t="s">
        <v>0</v>
      </c>
      <c r="C296" s="42"/>
      <c r="D296" s="42"/>
      <c r="E296" s="86"/>
      <c r="F296" s="85"/>
      <c r="G296" s="84"/>
    </row>
    <row r="297" spans="1:7" ht="20.399999999999999" x14ac:dyDescent="0.35">
      <c r="A297" s="39" t="s">
        <v>30</v>
      </c>
      <c r="B297" s="38"/>
      <c r="C297" s="37"/>
      <c r="D297" s="37"/>
      <c r="E297" s="83"/>
      <c r="F297" s="82"/>
      <c r="G297" s="81"/>
    </row>
    <row r="298" spans="1:7" ht="20.399999999999999" x14ac:dyDescent="0.35">
      <c r="A298" s="39" t="s">
        <v>46</v>
      </c>
      <c r="B298" s="38" t="s">
        <v>587</v>
      </c>
      <c r="C298" s="37"/>
      <c r="D298" s="37"/>
      <c r="E298" s="80"/>
      <c r="F298" s="79"/>
      <c r="G298" s="78"/>
    </row>
    <row r="299" spans="1:7" ht="20.399999999999999" x14ac:dyDescent="0.35">
      <c r="A299" s="39" t="s">
        <v>28</v>
      </c>
      <c r="B299" s="38" t="s">
        <v>258</v>
      </c>
      <c r="C299" s="37"/>
      <c r="D299" s="37"/>
      <c r="E299" s="37"/>
      <c r="F299" s="37"/>
      <c r="G299" s="77"/>
    </row>
    <row r="300" spans="1:7" ht="15" x14ac:dyDescent="0.3">
      <c r="A300" s="34" t="s">
        <v>26</v>
      </c>
      <c r="B300" s="34" t="s">
        <v>25</v>
      </c>
      <c r="C300" s="34" t="s">
        <v>24</v>
      </c>
      <c r="D300" s="34" t="s">
        <v>43</v>
      </c>
      <c r="E300" s="34" t="s">
        <v>42</v>
      </c>
      <c r="F300" s="34" t="s">
        <v>22</v>
      </c>
      <c r="G300" s="34" t="s">
        <v>21</v>
      </c>
    </row>
    <row r="301" spans="1:7" ht="46.8" x14ac:dyDescent="0.3">
      <c r="A301" s="33">
        <v>17</v>
      </c>
      <c r="B301" s="32" t="s">
        <v>53</v>
      </c>
      <c r="C301" s="32" t="s">
        <v>259</v>
      </c>
      <c r="D301" s="76"/>
      <c r="E301" s="178">
        <v>236.68</v>
      </c>
      <c r="F301" s="178">
        <f t="shared" ref="F301:F315" si="11">A301*E301</f>
        <v>4023.56</v>
      </c>
      <c r="G301" s="74"/>
    </row>
    <row r="302" spans="1:7" ht="31.2" x14ac:dyDescent="0.3">
      <c r="A302" s="29">
        <v>6</v>
      </c>
      <c r="B302" s="25" t="s">
        <v>53</v>
      </c>
      <c r="C302" s="25" t="s">
        <v>260</v>
      </c>
      <c r="D302" s="73" t="s">
        <v>261</v>
      </c>
      <c r="E302" s="179">
        <v>327</v>
      </c>
      <c r="F302" s="179">
        <f t="shared" si="11"/>
        <v>1962</v>
      </c>
      <c r="G302" s="74"/>
    </row>
    <row r="303" spans="1:7" ht="15.6" x14ac:dyDescent="0.3">
      <c r="A303" s="29"/>
      <c r="B303" s="25"/>
      <c r="C303" s="25"/>
      <c r="D303" s="73"/>
      <c r="E303" s="179"/>
      <c r="F303" s="179">
        <f t="shared" si="11"/>
        <v>0</v>
      </c>
      <c r="G303" s="74"/>
    </row>
    <row r="304" spans="1:7" ht="15.6" x14ac:dyDescent="0.3">
      <c r="A304" s="29"/>
      <c r="B304" s="27"/>
      <c r="C304" s="27"/>
      <c r="D304" s="73"/>
      <c r="E304" s="179"/>
      <c r="F304" s="179">
        <f t="shared" si="11"/>
        <v>0</v>
      </c>
      <c r="G304" s="70"/>
    </row>
    <row r="305" spans="1:7" ht="15.6" x14ac:dyDescent="0.3">
      <c r="A305" s="29"/>
      <c r="B305" s="27"/>
      <c r="C305" s="27"/>
      <c r="D305" s="73"/>
      <c r="E305" s="179"/>
      <c r="F305" s="179">
        <f t="shared" si="11"/>
        <v>0</v>
      </c>
      <c r="G305" s="70"/>
    </row>
    <row r="306" spans="1:7" ht="15.6" x14ac:dyDescent="0.3">
      <c r="A306" s="29"/>
      <c r="B306" s="27"/>
      <c r="C306" s="27"/>
      <c r="D306" s="73"/>
      <c r="E306" s="179"/>
      <c r="F306" s="179">
        <f t="shared" si="11"/>
        <v>0</v>
      </c>
      <c r="G306" s="70"/>
    </row>
    <row r="307" spans="1:7" ht="15.6" x14ac:dyDescent="0.3">
      <c r="A307" s="29"/>
      <c r="B307" s="27"/>
      <c r="C307" s="27"/>
      <c r="D307" s="73"/>
      <c r="E307" s="179"/>
      <c r="F307" s="179">
        <f t="shared" si="11"/>
        <v>0</v>
      </c>
      <c r="G307" s="70"/>
    </row>
    <row r="308" spans="1:7" ht="15.6" x14ac:dyDescent="0.3">
      <c r="A308" s="26"/>
      <c r="B308" s="27"/>
      <c r="C308" s="27"/>
      <c r="D308" s="73"/>
      <c r="E308" s="179"/>
      <c r="F308" s="179">
        <f t="shared" si="11"/>
        <v>0</v>
      </c>
      <c r="G308" s="70"/>
    </row>
    <row r="309" spans="1:7" ht="15.6" x14ac:dyDescent="0.3">
      <c r="A309" s="26"/>
      <c r="B309" s="27"/>
      <c r="C309" s="27"/>
      <c r="D309" s="73"/>
      <c r="E309" s="179"/>
      <c r="F309" s="179">
        <f t="shared" si="11"/>
        <v>0</v>
      </c>
      <c r="G309" s="70"/>
    </row>
    <row r="310" spans="1:7" ht="15.6" x14ac:dyDescent="0.3">
      <c r="A310" s="26"/>
      <c r="B310" s="25"/>
      <c r="C310" s="27"/>
      <c r="D310" s="73"/>
      <c r="E310" s="179"/>
      <c r="F310" s="179">
        <f t="shared" si="11"/>
        <v>0</v>
      </c>
      <c r="G310" s="70"/>
    </row>
    <row r="311" spans="1:7" ht="15.6" x14ac:dyDescent="0.3">
      <c r="A311" s="26"/>
      <c r="B311" s="25"/>
      <c r="C311" s="25"/>
      <c r="D311" s="72"/>
      <c r="E311" s="179"/>
      <c r="F311" s="179">
        <f t="shared" si="11"/>
        <v>0</v>
      </c>
      <c r="G311" s="70"/>
    </row>
    <row r="312" spans="1:7" ht="15.6" x14ac:dyDescent="0.3">
      <c r="A312" s="26"/>
      <c r="B312" s="25"/>
      <c r="C312" s="25"/>
      <c r="D312" s="72"/>
      <c r="E312" s="179"/>
      <c r="F312" s="179">
        <f t="shared" si="11"/>
        <v>0</v>
      </c>
      <c r="G312" s="70"/>
    </row>
    <row r="313" spans="1:7" ht="15.6" x14ac:dyDescent="0.3">
      <c r="A313" s="26"/>
      <c r="B313" s="25"/>
      <c r="C313" s="25"/>
      <c r="D313" s="72"/>
      <c r="E313" s="179"/>
      <c r="F313" s="179">
        <f t="shared" si="11"/>
        <v>0</v>
      </c>
      <c r="G313" s="70"/>
    </row>
    <row r="314" spans="1:7" ht="15.6" x14ac:dyDescent="0.3">
      <c r="A314" s="26"/>
      <c r="B314" s="25"/>
      <c r="C314" s="25"/>
      <c r="D314" s="72"/>
      <c r="E314" s="179"/>
      <c r="F314" s="179">
        <f t="shared" si="11"/>
        <v>0</v>
      </c>
      <c r="G314" s="70"/>
    </row>
    <row r="315" spans="1:7" ht="15.6" x14ac:dyDescent="0.3">
      <c r="A315" s="21"/>
      <c r="B315" s="20"/>
      <c r="C315" s="20"/>
      <c r="D315" s="69"/>
      <c r="E315" s="180"/>
      <c r="F315" s="180">
        <f t="shared" si="11"/>
        <v>0</v>
      </c>
      <c r="G315" s="67"/>
    </row>
    <row r="316" spans="1:7" ht="17.399999999999999" x14ac:dyDescent="0.3">
      <c r="A316" s="17"/>
      <c r="B316" s="16"/>
      <c r="C316" s="9" t="s">
        <v>8</v>
      </c>
      <c r="D316" s="9"/>
      <c r="E316" s="181"/>
      <c r="F316" s="182">
        <f>SUM(F301:F314)</f>
        <v>5985.5599999999995</v>
      </c>
      <c r="G316" s="64"/>
    </row>
    <row r="317" spans="1:7" ht="17.399999999999999" x14ac:dyDescent="0.3">
      <c r="A317" s="11"/>
      <c r="B317" s="10"/>
      <c r="C317" s="63" t="s">
        <v>7</v>
      </c>
      <c r="D317" s="63"/>
      <c r="E317" s="183"/>
      <c r="F317" s="184">
        <f>F316*0.16</f>
        <v>957.68959999999993</v>
      </c>
      <c r="G317" s="60"/>
    </row>
    <row r="318" spans="1:7" ht="17.399999999999999" x14ac:dyDescent="0.3">
      <c r="A318" s="11"/>
      <c r="B318" s="10"/>
      <c r="C318" s="59" t="s">
        <v>6</v>
      </c>
      <c r="D318" s="59"/>
      <c r="E318" s="185"/>
      <c r="F318" s="186">
        <f>F316+F317</f>
        <v>6943.2495999999992</v>
      </c>
      <c r="G318" s="56"/>
    </row>
    <row r="319" spans="1:7" ht="15.6" x14ac:dyDescent="0.3">
      <c r="A319" s="6" t="s">
        <v>5</v>
      </c>
      <c r="B319" s="5"/>
      <c r="C319" s="5" t="s">
        <v>4</v>
      </c>
      <c r="D319" s="5"/>
      <c r="E319" s="5" t="s">
        <v>3</v>
      </c>
      <c r="F319" s="5"/>
      <c r="G319" s="4"/>
    </row>
    <row r="320" spans="1:7" ht="15.6" x14ac:dyDescent="0.3">
      <c r="A320" s="3" t="s">
        <v>408</v>
      </c>
      <c r="B320" s="2"/>
      <c r="C320" s="2" t="s">
        <v>39</v>
      </c>
      <c r="D320" s="2"/>
      <c r="E320" s="2" t="s">
        <v>0</v>
      </c>
      <c r="F320" s="2"/>
      <c r="G320" s="1"/>
    </row>
    <row r="323" spans="1:7" ht="21" x14ac:dyDescent="0.4">
      <c r="A323" s="55"/>
      <c r="B323" s="271" t="s">
        <v>38</v>
      </c>
      <c r="C323" s="272"/>
      <c r="D323" s="277" t="s">
        <v>37</v>
      </c>
      <c r="E323" s="278"/>
      <c r="F323" s="278"/>
      <c r="G323" s="279"/>
    </row>
    <row r="324" spans="1:7" ht="21" x14ac:dyDescent="0.4">
      <c r="A324" s="53"/>
      <c r="B324" s="273"/>
      <c r="C324" s="274"/>
      <c r="D324" s="280" t="s">
        <v>36</v>
      </c>
      <c r="E324" s="281"/>
      <c r="F324" s="282" t="s">
        <v>571</v>
      </c>
      <c r="G324" s="283"/>
    </row>
    <row r="325" spans="1:7" ht="21" x14ac:dyDescent="0.4">
      <c r="A325" s="53"/>
      <c r="B325" s="273"/>
      <c r="C325" s="274"/>
      <c r="D325" s="135" t="s">
        <v>118</v>
      </c>
      <c r="E325" s="136"/>
      <c r="F325" s="90">
        <v>22</v>
      </c>
      <c r="G325" s="50"/>
    </row>
    <row r="326" spans="1:7" ht="21" x14ac:dyDescent="0.4">
      <c r="A326" s="49"/>
      <c r="B326" s="275"/>
      <c r="C326" s="276"/>
      <c r="D326" s="285" t="s">
        <v>50</v>
      </c>
      <c r="E326" s="286"/>
      <c r="F326" s="287" t="s">
        <v>588</v>
      </c>
      <c r="G326" s="288"/>
    </row>
    <row r="327" spans="1:7" ht="20.399999999999999" x14ac:dyDescent="0.35">
      <c r="A327" s="39" t="s">
        <v>48</v>
      </c>
      <c r="B327" s="43" t="s">
        <v>0</v>
      </c>
      <c r="C327" s="42"/>
      <c r="D327" s="42"/>
      <c r="E327" s="289"/>
      <c r="F327" s="289"/>
      <c r="G327" s="290"/>
    </row>
    <row r="328" spans="1:7" ht="20.399999999999999" x14ac:dyDescent="0.35">
      <c r="A328" s="39" t="s">
        <v>30</v>
      </c>
      <c r="B328" s="291" t="s">
        <v>370</v>
      </c>
      <c r="C328" s="292"/>
      <c r="D328" s="292"/>
      <c r="E328" s="292"/>
      <c r="F328" s="292"/>
      <c r="G328" s="293"/>
    </row>
    <row r="329" spans="1:7" ht="20.399999999999999" x14ac:dyDescent="0.35">
      <c r="A329" s="39" t="s">
        <v>46</v>
      </c>
      <c r="B329" s="291">
        <v>84</v>
      </c>
      <c r="C329" s="292"/>
      <c r="D329" s="292"/>
      <c r="E329" s="292"/>
      <c r="F329" s="292"/>
      <c r="G329" s="293"/>
    </row>
    <row r="330" spans="1:7" ht="20.399999999999999" x14ac:dyDescent="0.35">
      <c r="A330" s="39" t="s">
        <v>28</v>
      </c>
      <c r="B330" s="291" t="s">
        <v>55</v>
      </c>
      <c r="C330" s="292"/>
      <c r="D330" s="292"/>
      <c r="E330" s="292"/>
      <c r="F330" s="292"/>
      <c r="G330" s="293"/>
    </row>
    <row r="331" spans="1:7" ht="15" x14ac:dyDescent="0.3">
      <c r="A331" s="34" t="s">
        <v>26</v>
      </c>
      <c r="B331" s="34" t="s">
        <v>25</v>
      </c>
      <c r="C331" s="34" t="s">
        <v>24</v>
      </c>
      <c r="D331" s="34" t="s">
        <v>43</v>
      </c>
      <c r="E331" s="34" t="s">
        <v>42</v>
      </c>
      <c r="F331" s="34" t="s">
        <v>22</v>
      </c>
      <c r="G331" s="169" t="s">
        <v>21</v>
      </c>
    </row>
    <row r="332" spans="1:7" ht="15.6" x14ac:dyDescent="0.3">
      <c r="A332" s="33">
        <v>2</v>
      </c>
      <c r="B332" s="32" t="s">
        <v>19</v>
      </c>
      <c r="C332" s="32" t="s">
        <v>67</v>
      </c>
      <c r="D332" s="171" t="s">
        <v>57</v>
      </c>
      <c r="E332" s="178">
        <v>1084.06</v>
      </c>
      <c r="F332" s="267">
        <f t="shared" ref="F332:F349" si="12">A332*E332</f>
        <v>2168.12</v>
      </c>
      <c r="G332" s="128"/>
    </row>
    <row r="333" spans="1:7" ht="15.6" x14ac:dyDescent="0.3">
      <c r="A333" s="29">
        <v>2</v>
      </c>
      <c r="B333" s="25" t="s">
        <v>19</v>
      </c>
      <c r="C333" s="95" t="s">
        <v>66</v>
      </c>
      <c r="D333" s="72" t="s">
        <v>57</v>
      </c>
      <c r="E333" s="179">
        <v>1084.06</v>
      </c>
      <c r="F333" s="268">
        <f t="shared" si="12"/>
        <v>2168.12</v>
      </c>
      <c r="G333" s="70"/>
    </row>
    <row r="334" spans="1:7" ht="15.6" x14ac:dyDescent="0.3">
      <c r="A334" s="29">
        <v>2</v>
      </c>
      <c r="B334" s="25" t="s">
        <v>19</v>
      </c>
      <c r="C334" s="25" t="s">
        <v>65</v>
      </c>
      <c r="D334" s="72" t="s">
        <v>57</v>
      </c>
      <c r="E334" s="179">
        <v>1084.06</v>
      </c>
      <c r="F334" s="268">
        <f t="shared" si="12"/>
        <v>2168.12</v>
      </c>
      <c r="G334" s="70"/>
    </row>
    <row r="335" spans="1:7" ht="15.6" x14ac:dyDescent="0.3">
      <c r="A335" s="29">
        <v>2</v>
      </c>
      <c r="B335" s="25" t="s">
        <v>19</v>
      </c>
      <c r="C335" s="25" t="s">
        <v>64</v>
      </c>
      <c r="D335" s="72" t="s">
        <v>57</v>
      </c>
      <c r="E335" s="179">
        <v>1084.06</v>
      </c>
      <c r="F335" s="268">
        <f t="shared" si="12"/>
        <v>2168.12</v>
      </c>
      <c r="G335" s="70"/>
    </row>
    <row r="336" spans="1:7" ht="15.6" x14ac:dyDescent="0.3">
      <c r="A336" s="29">
        <v>2</v>
      </c>
      <c r="B336" s="25" t="s">
        <v>19</v>
      </c>
      <c r="C336" s="25" t="s">
        <v>63</v>
      </c>
      <c r="D336" s="72" t="s">
        <v>57</v>
      </c>
      <c r="E336" s="179">
        <v>771.95</v>
      </c>
      <c r="F336" s="268">
        <f t="shared" si="12"/>
        <v>1543.9</v>
      </c>
      <c r="G336" s="70"/>
    </row>
    <row r="337" spans="1:7" ht="15.6" x14ac:dyDescent="0.3">
      <c r="A337" s="29">
        <v>1</v>
      </c>
      <c r="B337" s="25" t="s">
        <v>19</v>
      </c>
      <c r="C337" s="25" t="s">
        <v>62</v>
      </c>
      <c r="D337" s="72" t="s">
        <v>57</v>
      </c>
      <c r="E337" s="179">
        <v>771.95</v>
      </c>
      <c r="F337" s="268">
        <f t="shared" si="12"/>
        <v>771.95</v>
      </c>
      <c r="G337" s="70"/>
    </row>
    <row r="338" spans="1:7" ht="15.6" x14ac:dyDescent="0.3">
      <c r="A338" s="29">
        <v>1</v>
      </c>
      <c r="B338" s="25" t="s">
        <v>19</v>
      </c>
      <c r="C338" s="25" t="s">
        <v>61</v>
      </c>
      <c r="D338" s="72" t="s">
        <v>57</v>
      </c>
      <c r="E338" s="179">
        <v>771.95</v>
      </c>
      <c r="F338" s="268">
        <f t="shared" si="12"/>
        <v>771.95</v>
      </c>
      <c r="G338" s="70"/>
    </row>
    <row r="339" spans="1:7" ht="15.6" x14ac:dyDescent="0.3">
      <c r="A339" s="29">
        <v>20</v>
      </c>
      <c r="B339" s="25" t="s">
        <v>10</v>
      </c>
      <c r="C339" s="25" t="s">
        <v>580</v>
      </c>
      <c r="D339" s="73">
        <v>267550</v>
      </c>
      <c r="E339" s="179">
        <v>13.1</v>
      </c>
      <c r="F339" s="268">
        <f t="shared" si="12"/>
        <v>262</v>
      </c>
      <c r="G339" s="70"/>
    </row>
    <row r="340" spans="1:7" ht="15.6" x14ac:dyDescent="0.3">
      <c r="A340" s="29">
        <v>3</v>
      </c>
      <c r="B340" s="25" t="s">
        <v>135</v>
      </c>
      <c r="C340" s="25" t="s">
        <v>598</v>
      </c>
      <c r="D340" s="73">
        <v>170451</v>
      </c>
      <c r="E340" s="179">
        <v>446.9</v>
      </c>
      <c r="F340" s="268">
        <v>3575.2</v>
      </c>
      <c r="G340" s="70"/>
    </row>
    <row r="341" spans="1:7" ht="15.6" x14ac:dyDescent="0.3">
      <c r="A341" s="29"/>
      <c r="B341" s="25"/>
      <c r="C341" s="25"/>
      <c r="D341" s="72"/>
      <c r="E341" s="179"/>
      <c r="F341" s="268">
        <f t="shared" si="12"/>
        <v>0</v>
      </c>
      <c r="G341" s="70"/>
    </row>
    <row r="342" spans="1:7" ht="15.6" x14ac:dyDescent="0.3">
      <c r="A342" s="29"/>
      <c r="B342" s="25"/>
      <c r="C342" s="25"/>
      <c r="D342" s="72"/>
      <c r="E342" s="179"/>
      <c r="F342" s="268">
        <f t="shared" si="12"/>
        <v>0</v>
      </c>
      <c r="G342" s="70"/>
    </row>
    <row r="343" spans="1:7" ht="15.6" x14ac:dyDescent="0.3">
      <c r="A343" s="29"/>
      <c r="B343" s="25"/>
      <c r="C343" s="25"/>
      <c r="D343" s="72"/>
      <c r="E343" s="179"/>
      <c r="F343" s="268">
        <f t="shared" si="12"/>
        <v>0</v>
      </c>
      <c r="G343" s="70"/>
    </row>
    <row r="344" spans="1:7" ht="15.6" x14ac:dyDescent="0.3">
      <c r="A344" s="29"/>
      <c r="B344" s="25"/>
      <c r="C344" s="25"/>
      <c r="D344" s="72"/>
      <c r="E344" s="179"/>
      <c r="F344" s="268">
        <f t="shared" si="12"/>
        <v>0</v>
      </c>
      <c r="G344" s="70"/>
    </row>
    <row r="345" spans="1:7" ht="15.6" x14ac:dyDescent="0.3">
      <c r="A345" s="173"/>
      <c r="B345" s="25"/>
      <c r="C345" s="25"/>
      <c r="D345" s="72"/>
      <c r="E345" s="179"/>
      <c r="F345" s="268">
        <f t="shared" si="12"/>
        <v>0</v>
      </c>
      <c r="G345" s="70"/>
    </row>
    <row r="346" spans="1:7" ht="15.6" x14ac:dyDescent="0.3">
      <c r="A346" s="26"/>
      <c r="B346" s="25"/>
      <c r="C346" s="25"/>
      <c r="D346" s="72"/>
      <c r="E346" s="179"/>
      <c r="F346" s="268">
        <f t="shared" si="12"/>
        <v>0</v>
      </c>
      <c r="G346" s="70"/>
    </row>
    <row r="347" spans="1:7" ht="15.6" x14ac:dyDescent="0.3">
      <c r="A347" s="26"/>
      <c r="B347" s="25"/>
      <c r="C347" s="25"/>
      <c r="D347" s="72"/>
      <c r="E347" s="179"/>
      <c r="F347" s="268">
        <f t="shared" si="12"/>
        <v>0</v>
      </c>
      <c r="G347" s="70"/>
    </row>
    <row r="348" spans="1:7" ht="15.6" x14ac:dyDescent="0.3">
      <c r="A348" s="26"/>
      <c r="B348" s="25"/>
      <c r="C348" s="25"/>
      <c r="D348" s="72"/>
      <c r="E348" s="179"/>
      <c r="F348" s="268">
        <f t="shared" si="12"/>
        <v>0</v>
      </c>
      <c r="G348" s="70"/>
    </row>
    <row r="349" spans="1:7" ht="15.6" x14ac:dyDescent="0.3">
      <c r="A349" s="21"/>
      <c r="B349" s="20"/>
      <c r="C349" s="20"/>
      <c r="D349" s="69"/>
      <c r="E349" s="180"/>
      <c r="F349" s="269">
        <f t="shared" si="12"/>
        <v>0</v>
      </c>
      <c r="G349" s="67"/>
    </row>
    <row r="350" spans="1:7" ht="17.399999999999999" x14ac:dyDescent="0.3">
      <c r="A350" s="17"/>
      <c r="B350" s="16"/>
      <c r="C350" s="294" t="s">
        <v>8</v>
      </c>
      <c r="D350" s="294"/>
      <c r="E350" s="181"/>
      <c r="F350" s="256">
        <f>SUM(F332:F348)</f>
        <v>15597.48</v>
      </c>
      <c r="G350" s="64"/>
    </row>
    <row r="351" spans="1:7" ht="17.399999999999999" x14ac:dyDescent="0.3">
      <c r="A351" s="11"/>
      <c r="B351" s="10"/>
      <c r="C351" s="270" t="s">
        <v>7</v>
      </c>
      <c r="D351" s="270"/>
      <c r="E351" s="183"/>
      <c r="F351" s="257">
        <f>F350*0.16</f>
        <v>2495.5967999999998</v>
      </c>
      <c r="G351" s="60"/>
    </row>
    <row r="352" spans="1:7" ht="17.399999999999999" x14ac:dyDescent="0.3">
      <c r="A352" s="11"/>
      <c r="B352" s="10"/>
      <c r="C352" s="295" t="s">
        <v>6</v>
      </c>
      <c r="D352" s="295"/>
      <c r="E352" s="185"/>
      <c r="F352" s="258">
        <f>F350+F351</f>
        <v>18093.076799999999</v>
      </c>
      <c r="G352" s="56"/>
    </row>
    <row r="353" spans="1:7" ht="15.6" x14ac:dyDescent="0.3">
      <c r="A353" s="296" t="s">
        <v>5</v>
      </c>
      <c r="B353" s="297"/>
      <c r="C353" s="5" t="s">
        <v>4</v>
      </c>
      <c r="D353" s="5"/>
      <c r="E353" s="297" t="s">
        <v>3</v>
      </c>
      <c r="F353" s="297"/>
      <c r="G353" s="298"/>
    </row>
    <row r="354" spans="1:7" ht="15.6" x14ac:dyDescent="0.3">
      <c r="A354" s="299" t="s">
        <v>408</v>
      </c>
      <c r="B354" s="300"/>
      <c r="C354" s="2" t="s">
        <v>39</v>
      </c>
      <c r="D354" s="2"/>
      <c r="E354" s="300" t="s">
        <v>70</v>
      </c>
      <c r="F354" s="300"/>
      <c r="G354" s="301"/>
    </row>
    <row r="358" spans="1:7" ht="24.6" x14ac:dyDescent="0.3">
      <c r="A358" s="271" t="s">
        <v>38</v>
      </c>
      <c r="B358" s="302"/>
      <c r="C358" s="272"/>
      <c r="D358" s="305" t="s">
        <v>37</v>
      </c>
      <c r="E358" s="306"/>
      <c r="F358" s="306"/>
      <c r="G358" s="307"/>
    </row>
    <row r="359" spans="1:7" ht="21" x14ac:dyDescent="0.4">
      <c r="A359" s="273"/>
      <c r="B359" s="303"/>
      <c r="C359" s="274"/>
      <c r="D359" s="51" t="s">
        <v>36</v>
      </c>
      <c r="E359" s="308" t="s">
        <v>327</v>
      </c>
      <c r="F359" s="282"/>
      <c r="G359" s="50"/>
    </row>
    <row r="360" spans="1:7" ht="21" x14ac:dyDescent="0.4">
      <c r="A360" s="273"/>
      <c r="B360" s="303"/>
      <c r="C360" s="274"/>
      <c r="D360" s="51" t="s">
        <v>51</v>
      </c>
      <c r="E360" s="284">
        <v>19</v>
      </c>
      <c r="F360" s="282"/>
      <c r="G360" s="50"/>
    </row>
    <row r="361" spans="1:7" ht="30" x14ac:dyDescent="0.3">
      <c r="A361" s="275"/>
      <c r="B361" s="304"/>
      <c r="C361" s="276"/>
      <c r="D361" s="47" t="s">
        <v>50</v>
      </c>
      <c r="E361" s="287" t="s">
        <v>611</v>
      </c>
      <c r="F361" s="287"/>
      <c r="G361" s="87"/>
    </row>
    <row r="362" spans="1:7" ht="20.399999999999999" x14ac:dyDescent="0.35">
      <c r="A362" s="39" t="s">
        <v>48</v>
      </c>
      <c r="B362" s="43" t="s">
        <v>0</v>
      </c>
      <c r="C362" s="42"/>
      <c r="D362" s="42"/>
      <c r="E362" s="86"/>
      <c r="F362" s="85"/>
      <c r="G362" s="84"/>
    </row>
    <row r="363" spans="1:7" ht="20.399999999999999" x14ac:dyDescent="0.35">
      <c r="A363" s="39" t="s">
        <v>30</v>
      </c>
      <c r="B363" s="38"/>
      <c r="C363" s="37"/>
      <c r="D363" s="37"/>
      <c r="E363" s="83"/>
      <c r="F363" s="82"/>
      <c r="G363" s="81"/>
    </row>
    <row r="364" spans="1:7" ht="20.399999999999999" x14ac:dyDescent="0.35">
      <c r="A364" s="39" t="s">
        <v>46</v>
      </c>
      <c r="B364" s="38" t="s">
        <v>78</v>
      </c>
      <c r="C364" s="37"/>
      <c r="D364" s="37"/>
      <c r="E364" s="80"/>
      <c r="F364" s="79"/>
      <c r="G364" s="78"/>
    </row>
    <row r="365" spans="1:7" ht="20.399999999999999" x14ac:dyDescent="0.35">
      <c r="A365" s="39" t="s">
        <v>28</v>
      </c>
      <c r="B365" s="38" t="s">
        <v>328</v>
      </c>
      <c r="C365" s="37"/>
      <c r="D365" s="37"/>
      <c r="E365" s="37"/>
      <c r="F365" s="37"/>
      <c r="G365" s="77"/>
    </row>
    <row r="366" spans="1:7" ht="15" x14ac:dyDescent="0.3">
      <c r="A366" s="169" t="s">
        <v>26</v>
      </c>
      <c r="B366" s="34" t="s">
        <v>25</v>
      </c>
      <c r="C366" s="34" t="s">
        <v>24</v>
      </c>
      <c r="D366" s="34" t="s">
        <v>43</v>
      </c>
      <c r="E366" s="34" t="s">
        <v>42</v>
      </c>
      <c r="F366" s="34" t="s">
        <v>22</v>
      </c>
      <c r="G366" s="34" t="s">
        <v>21</v>
      </c>
    </row>
    <row r="367" spans="1:7" ht="15.6" x14ac:dyDescent="0.3">
      <c r="A367" s="33">
        <v>4</v>
      </c>
      <c r="B367" s="32" t="s">
        <v>10</v>
      </c>
      <c r="C367" s="32" t="s">
        <v>332</v>
      </c>
      <c r="D367" s="76"/>
      <c r="E367" s="75">
        <v>127.59</v>
      </c>
      <c r="F367" s="75">
        <f>A367*E367</f>
        <v>510.36</v>
      </c>
      <c r="G367" s="74"/>
    </row>
    <row r="368" spans="1:7" ht="15.6" x14ac:dyDescent="0.3">
      <c r="A368" s="29">
        <v>4</v>
      </c>
      <c r="B368" s="25" t="s">
        <v>10</v>
      </c>
      <c r="C368" s="25" t="s">
        <v>333</v>
      </c>
      <c r="D368" s="73"/>
      <c r="E368" s="71">
        <v>127.59</v>
      </c>
      <c r="F368" s="71">
        <f t="shared" ref="F368:F381" si="13">A368*E368</f>
        <v>510.36</v>
      </c>
      <c r="G368" s="74"/>
    </row>
    <row r="369" spans="1:7" ht="15.6" x14ac:dyDescent="0.3">
      <c r="A369" s="29">
        <v>6</v>
      </c>
      <c r="B369" s="25" t="s">
        <v>10</v>
      </c>
      <c r="C369" s="25" t="s">
        <v>330</v>
      </c>
      <c r="D369" s="73"/>
      <c r="E369" s="71">
        <v>127.59</v>
      </c>
      <c r="F369" s="71">
        <f t="shared" si="13"/>
        <v>765.54</v>
      </c>
      <c r="G369" s="74"/>
    </row>
    <row r="370" spans="1:7" ht="15.6" x14ac:dyDescent="0.3">
      <c r="A370" s="29">
        <v>1</v>
      </c>
      <c r="B370" s="27" t="s">
        <v>10</v>
      </c>
      <c r="C370" s="27" t="s">
        <v>329</v>
      </c>
      <c r="D370" s="73"/>
      <c r="E370" s="71">
        <v>127.59</v>
      </c>
      <c r="F370" s="71">
        <f t="shared" si="13"/>
        <v>127.59</v>
      </c>
      <c r="G370" s="70"/>
    </row>
    <row r="371" spans="1:7" ht="15.6" x14ac:dyDescent="0.3">
      <c r="A371" s="29">
        <v>1</v>
      </c>
      <c r="B371" s="27" t="s">
        <v>10</v>
      </c>
      <c r="C371" s="27" t="s">
        <v>331</v>
      </c>
      <c r="D371" s="73"/>
      <c r="E371" s="71">
        <v>127.59</v>
      </c>
      <c r="F371" s="71">
        <f t="shared" si="13"/>
        <v>127.59</v>
      </c>
      <c r="G371" s="70"/>
    </row>
    <row r="372" spans="1:7" ht="15.6" x14ac:dyDescent="0.3">
      <c r="A372" s="29">
        <v>1</v>
      </c>
      <c r="B372" s="27" t="s">
        <v>10</v>
      </c>
      <c r="C372" s="27" t="s">
        <v>334</v>
      </c>
      <c r="D372" s="73"/>
      <c r="E372" s="71">
        <v>127.59</v>
      </c>
      <c r="F372" s="71">
        <f t="shared" si="13"/>
        <v>127.59</v>
      </c>
      <c r="G372" s="70"/>
    </row>
    <row r="373" spans="1:7" ht="15.6" x14ac:dyDescent="0.3">
      <c r="A373" s="29"/>
      <c r="B373" s="27"/>
      <c r="C373" s="27"/>
      <c r="D373" s="73"/>
      <c r="E373" s="71"/>
      <c r="F373" s="71">
        <f t="shared" si="13"/>
        <v>0</v>
      </c>
      <c r="G373" s="70"/>
    </row>
    <row r="374" spans="1:7" ht="15.6" x14ac:dyDescent="0.3">
      <c r="A374" s="26"/>
      <c r="B374" s="27"/>
      <c r="C374" s="27"/>
      <c r="D374" s="73"/>
      <c r="E374" s="71"/>
      <c r="F374" s="71">
        <f t="shared" si="13"/>
        <v>0</v>
      </c>
      <c r="G374" s="70"/>
    </row>
    <row r="375" spans="1:7" ht="15.6" x14ac:dyDescent="0.3">
      <c r="A375" s="26"/>
      <c r="B375" s="27"/>
      <c r="C375" s="27"/>
      <c r="D375" s="99"/>
      <c r="E375" s="71"/>
      <c r="F375" s="71">
        <f t="shared" si="13"/>
        <v>0</v>
      </c>
      <c r="G375" s="70"/>
    </row>
    <row r="376" spans="1:7" ht="15.6" x14ac:dyDescent="0.3">
      <c r="A376" s="26"/>
      <c r="B376" s="25"/>
      <c r="C376" s="25"/>
      <c r="D376" s="72"/>
      <c r="E376" s="71"/>
      <c r="F376" s="71">
        <f t="shared" si="13"/>
        <v>0</v>
      </c>
      <c r="G376" s="70"/>
    </row>
    <row r="377" spans="1:7" ht="15.6" x14ac:dyDescent="0.3">
      <c r="A377" s="26"/>
      <c r="B377" s="25"/>
      <c r="C377" s="25"/>
      <c r="D377" s="72"/>
      <c r="E377" s="71"/>
      <c r="F377" s="71">
        <f t="shared" si="13"/>
        <v>0</v>
      </c>
      <c r="G377" s="70"/>
    </row>
    <row r="378" spans="1:7" ht="15.6" x14ac:dyDescent="0.3">
      <c r="A378" s="26"/>
      <c r="B378" s="25"/>
      <c r="C378" s="25"/>
      <c r="D378" s="72"/>
      <c r="E378" s="71"/>
      <c r="F378" s="71">
        <f t="shared" si="13"/>
        <v>0</v>
      </c>
      <c r="G378" s="70"/>
    </row>
    <row r="379" spans="1:7" ht="15.6" x14ac:dyDescent="0.3">
      <c r="A379" s="26"/>
      <c r="B379" s="25"/>
      <c r="C379" s="25"/>
      <c r="D379" s="72"/>
      <c r="E379" s="71"/>
      <c r="F379" s="71">
        <f t="shared" si="13"/>
        <v>0</v>
      </c>
      <c r="G379" s="70"/>
    </row>
    <row r="380" spans="1:7" ht="15.6" x14ac:dyDescent="0.3">
      <c r="A380" s="26"/>
      <c r="B380" s="25"/>
      <c r="C380" s="25"/>
      <c r="D380" s="72"/>
      <c r="E380" s="71"/>
      <c r="F380" s="71">
        <f t="shared" si="13"/>
        <v>0</v>
      </c>
      <c r="G380" s="70"/>
    </row>
    <row r="381" spans="1:7" ht="15.6" x14ac:dyDescent="0.3">
      <c r="A381" s="21"/>
      <c r="B381" s="20"/>
      <c r="C381" s="20"/>
      <c r="D381" s="69"/>
      <c r="E381" s="68"/>
      <c r="F381" s="68">
        <f t="shared" si="13"/>
        <v>0</v>
      </c>
      <c r="G381" s="67"/>
    </row>
    <row r="382" spans="1:7" ht="17.399999999999999" x14ac:dyDescent="0.3">
      <c r="A382" s="17"/>
      <c r="B382" s="16"/>
      <c r="C382" s="9" t="s">
        <v>8</v>
      </c>
      <c r="D382" s="9"/>
      <c r="E382" s="66"/>
      <c r="F382" s="105">
        <f>SUM(F367:F380)</f>
        <v>2169.0299999999997</v>
      </c>
      <c r="G382" s="64"/>
    </row>
    <row r="383" spans="1:7" ht="17.399999999999999" x14ac:dyDescent="0.3">
      <c r="A383" s="11"/>
      <c r="B383" s="10"/>
      <c r="C383" s="63" t="s">
        <v>7</v>
      </c>
      <c r="D383" s="63"/>
      <c r="E383" s="62"/>
      <c r="F383" s="104">
        <f>F382*0.16</f>
        <v>347.04479999999995</v>
      </c>
      <c r="G383" s="60"/>
    </row>
    <row r="384" spans="1:7" ht="17.399999999999999" x14ac:dyDescent="0.3">
      <c r="A384" s="11"/>
      <c r="B384" s="10"/>
      <c r="C384" s="59" t="s">
        <v>6</v>
      </c>
      <c r="D384" s="59"/>
      <c r="E384" s="58"/>
      <c r="F384" s="103">
        <f>F382+F383</f>
        <v>2516.0747999999999</v>
      </c>
      <c r="G384" s="56"/>
    </row>
    <row r="385" spans="1:7" ht="15.6" x14ac:dyDescent="0.3">
      <c r="A385" s="6" t="s">
        <v>5</v>
      </c>
      <c r="B385" s="5"/>
      <c r="C385" s="5" t="s">
        <v>4</v>
      </c>
      <c r="D385" s="5"/>
      <c r="E385" s="5" t="s">
        <v>3</v>
      </c>
      <c r="F385" s="5"/>
      <c r="G385" s="4"/>
    </row>
    <row r="386" spans="1:7" ht="15.6" x14ac:dyDescent="0.3">
      <c r="A386" s="3" t="s">
        <v>2</v>
      </c>
      <c r="B386" s="2"/>
      <c r="C386" s="170" t="s">
        <v>39</v>
      </c>
      <c r="D386" s="2"/>
      <c r="E386" s="2" t="s">
        <v>70</v>
      </c>
      <c r="F386" s="2"/>
      <c r="G386" s="1"/>
    </row>
    <row r="390" spans="1:7" ht="30" x14ac:dyDescent="0.4">
      <c r="A390" s="55"/>
      <c r="B390" s="271" t="s">
        <v>38</v>
      </c>
      <c r="C390" s="272"/>
      <c r="D390" s="54"/>
      <c r="E390" s="204" t="s">
        <v>37</v>
      </c>
      <c r="F390" s="205"/>
      <c r="G390" s="220"/>
    </row>
    <row r="391" spans="1:7" ht="30" customHeight="1" x14ac:dyDescent="0.4">
      <c r="A391" s="53"/>
      <c r="B391" s="273"/>
      <c r="C391" s="274"/>
      <c r="D391" s="348" t="s">
        <v>36</v>
      </c>
      <c r="E391" s="282"/>
      <c r="F391" s="283" t="s">
        <v>619</v>
      </c>
      <c r="G391" s="283"/>
    </row>
    <row r="392" spans="1:7" ht="30" customHeight="1" x14ac:dyDescent="0.4">
      <c r="A392" s="49"/>
      <c r="B392" s="275"/>
      <c r="C392" s="276"/>
      <c r="D392" s="352" t="s">
        <v>34</v>
      </c>
      <c r="E392" s="353"/>
      <c r="F392" s="354" t="s">
        <v>610</v>
      </c>
      <c r="G392" s="355"/>
    </row>
    <row r="393" spans="1:7" ht="20.399999999999999" x14ac:dyDescent="0.35">
      <c r="A393" s="39" t="s">
        <v>5</v>
      </c>
      <c r="B393" s="43" t="s">
        <v>47</v>
      </c>
      <c r="C393" s="42"/>
      <c r="D393" s="42"/>
      <c r="E393" s="224"/>
      <c r="F393" s="224"/>
      <c r="G393" s="206"/>
    </row>
    <row r="394" spans="1:7" ht="20.399999999999999" x14ac:dyDescent="0.35">
      <c r="A394" s="39" t="s">
        <v>30</v>
      </c>
      <c r="B394" s="43" t="s">
        <v>373</v>
      </c>
      <c r="C394" s="42"/>
      <c r="D394" s="42"/>
      <c r="E394" s="224"/>
      <c r="F394" s="224"/>
      <c r="G394" s="206"/>
    </row>
    <row r="395" spans="1:7" ht="20.399999999999999" x14ac:dyDescent="0.35">
      <c r="A395" s="39" t="s">
        <v>73</v>
      </c>
      <c r="B395" s="38" t="s">
        <v>324</v>
      </c>
      <c r="C395" s="37"/>
      <c r="D395" s="37"/>
      <c r="E395" s="224"/>
      <c r="F395" s="224"/>
      <c r="G395" s="206"/>
    </row>
    <row r="396" spans="1:7" ht="20.399999999999999" x14ac:dyDescent="0.35">
      <c r="A396" s="39" t="s">
        <v>28</v>
      </c>
      <c r="B396" s="38" t="s">
        <v>369</v>
      </c>
      <c r="C396" s="37"/>
      <c r="D396" s="37"/>
      <c r="E396" s="224"/>
      <c r="F396" s="224"/>
      <c r="G396" s="206"/>
    </row>
    <row r="397" spans="1:7" ht="15" x14ac:dyDescent="0.3">
      <c r="A397" s="34" t="s">
        <v>26</v>
      </c>
      <c r="B397" s="34" t="s">
        <v>25</v>
      </c>
      <c r="C397" s="34" t="s">
        <v>24</v>
      </c>
      <c r="D397" s="34"/>
      <c r="E397" s="34" t="s">
        <v>23</v>
      </c>
      <c r="F397" s="34" t="s">
        <v>22</v>
      </c>
      <c r="G397" s="34" t="s">
        <v>21</v>
      </c>
    </row>
    <row r="398" spans="1:7" ht="15.6" x14ac:dyDescent="0.3">
      <c r="A398" s="33"/>
      <c r="B398" s="32"/>
      <c r="C398" s="32"/>
      <c r="E398" s="101"/>
      <c r="F398" s="101">
        <f t="shared" ref="F398:F411" si="14">+A398*E398</f>
        <v>0</v>
      </c>
      <c r="G398" s="196"/>
    </row>
    <row r="399" spans="1:7" ht="15.6" x14ac:dyDescent="0.3">
      <c r="A399" s="29"/>
      <c r="B399" s="25"/>
      <c r="C399" s="25"/>
      <c r="E399" s="100"/>
      <c r="F399" s="100">
        <f t="shared" si="14"/>
        <v>0</v>
      </c>
      <c r="G399" s="196"/>
    </row>
    <row r="400" spans="1:7" ht="31.2" x14ac:dyDescent="0.3">
      <c r="A400" s="29">
        <v>3</v>
      </c>
      <c r="B400" s="25" t="s">
        <v>10</v>
      </c>
      <c r="C400" s="25" t="s">
        <v>363</v>
      </c>
      <c r="E400" s="100">
        <v>4704.3999999999996</v>
      </c>
      <c r="F400" s="100">
        <f t="shared" si="14"/>
        <v>14113.199999999999</v>
      </c>
      <c r="G400" s="196"/>
    </row>
    <row r="401" spans="1:7" ht="15.6" x14ac:dyDescent="0.3">
      <c r="A401" s="29"/>
      <c r="B401" s="27"/>
      <c r="C401" s="27"/>
      <c r="E401" s="100"/>
      <c r="F401" s="100">
        <f t="shared" si="14"/>
        <v>0</v>
      </c>
      <c r="G401" s="196"/>
    </row>
    <row r="402" spans="1:7" ht="15.6" x14ac:dyDescent="0.3">
      <c r="A402" s="29"/>
      <c r="B402" s="27"/>
      <c r="C402" s="28"/>
      <c r="E402" s="100"/>
      <c r="F402" s="100">
        <f t="shared" si="14"/>
        <v>0</v>
      </c>
      <c r="G402" s="196"/>
    </row>
    <row r="403" spans="1:7" ht="15.6" x14ac:dyDescent="0.3">
      <c r="A403" s="29"/>
      <c r="B403" s="27"/>
      <c r="C403" s="28"/>
      <c r="E403" s="100"/>
      <c r="F403" s="100">
        <f t="shared" si="14"/>
        <v>0</v>
      </c>
      <c r="G403" s="196"/>
    </row>
    <row r="404" spans="1:7" ht="15.6" x14ac:dyDescent="0.3">
      <c r="A404" s="29"/>
      <c r="B404" s="27"/>
      <c r="C404" s="28"/>
      <c r="E404" s="100"/>
      <c r="F404" s="100">
        <f t="shared" si="14"/>
        <v>0</v>
      </c>
      <c r="G404" s="196"/>
    </row>
    <row r="405" spans="1:7" ht="15.6" x14ac:dyDescent="0.3">
      <c r="A405" s="26"/>
      <c r="B405" s="27"/>
      <c r="C405" s="27"/>
      <c r="E405" s="100"/>
      <c r="F405" s="100">
        <f t="shared" si="14"/>
        <v>0</v>
      </c>
      <c r="G405" s="196"/>
    </row>
    <row r="406" spans="1:7" ht="15.6" x14ac:dyDescent="0.3">
      <c r="A406" s="26"/>
      <c r="B406" s="27"/>
      <c r="C406" s="27"/>
      <c r="E406" s="100"/>
      <c r="F406" s="100">
        <f t="shared" si="14"/>
        <v>0</v>
      </c>
      <c r="G406" s="196"/>
    </row>
    <row r="407" spans="1:7" ht="15.6" x14ac:dyDescent="0.3">
      <c r="A407" s="26"/>
      <c r="B407" s="25"/>
      <c r="C407" s="25"/>
      <c r="E407" s="100"/>
      <c r="F407" s="100">
        <f t="shared" si="14"/>
        <v>0</v>
      </c>
      <c r="G407" s="196"/>
    </row>
    <row r="408" spans="1:7" ht="15.6" x14ac:dyDescent="0.3">
      <c r="A408" s="26"/>
      <c r="B408" s="25"/>
      <c r="C408" s="25"/>
      <c r="E408" s="100"/>
      <c r="F408" s="100">
        <f t="shared" si="14"/>
        <v>0</v>
      </c>
      <c r="G408" s="196"/>
    </row>
    <row r="409" spans="1:7" ht="15.6" x14ac:dyDescent="0.3">
      <c r="A409" s="26"/>
      <c r="B409" s="25"/>
      <c r="C409" s="25"/>
      <c r="E409" s="100"/>
      <c r="F409" s="100">
        <f t="shared" si="14"/>
        <v>0</v>
      </c>
      <c r="G409" s="196"/>
    </row>
    <row r="410" spans="1:7" ht="15.6" x14ac:dyDescent="0.3">
      <c r="A410" s="26"/>
      <c r="B410" s="25"/>
      <c r="C410" s="25"/>
      <c r="E410" s="100"/>
      <c r="F410" s="100">
        <f t="shared" si="14"/>
        <v>0</v>
      </c>
      <c r="G410" s="196"/>
    </row>
    <row r="411" spans="1:7" ht="15.6" x14ac:dyDescent="0.3">
      <c r="A411" s="26"/>
      <c r="B411" s="25"/>
      <c r="C411" s="25"/>
      <c r="E411" s="100"/>
      <c r="F411" s="100">
        <f t="shared" si="14"/>
        <v>0</v>
      </c>
      <c r="G411" s="196"/>
    </row>
    <row r="412" spans="1:7" ht="15.6" x14ac:dyDescent="0.3">
      <c r="A412" s="26"/>
      <c r="B412" s="25"/>
      <c r="C412" s="25"/>
      <c r="E412" s="100"/>
      <c r="F412" s="93"/>
      <c r="G412" s="196"/>
    </row>
    <row r="413" spans="1:7" ht="17.399999999999999" x14ac:dyDescent="0.3">
      <c r="A413" s="17"/>
      <c r="B413" s="16"/>
      <c r="C413" s="294" t="s">
        <v>8</v>
      </c>
      <c r="D413" s="294"/>
      <c r="E413" s="226"/>
      <c r="F413" s="15">
        <f>SUM(F398:F410)</f>
        <v>14113.199999999999</v>
      </c>
      <c r="G413" s="220"/>
    </row>
    <row r="414" spans="1:7" ht="17.399999999999999" x14ac:dyDescent="0.3">
      <c r="A414" s="11"/>
      <c r="B414" s="10"/>
      <c r="C414" s="294" t="s">
        <v>7</v>
      </c>
      <c r="D414" s="294"/>
      <c r="F414" s="13">
        <f>+F413*0.16</f>
        <v>2258.1120000000001</v>
      </c>
      <c r="G414" s="196"/>
    </row>
    <row r="415" spans="1:7" ht="17.399999999999999" x14ac:dyDescent="0.3">
      <c r="A415" s="227"/>
      <c r="B415" s="152"/>
      <c r="C415" s="351" t="s">
        <v>6</v>
      </c>
      <c r="D415" s="351"/>
      <c r="E415" s="222"/>
      <c r="F415" s="8">
        <f>+F413+F414</f>
        <v>16371.311999999998</v>
      </c>
      <c r="G415" s="202"/>
    </row>
    <row r="416" spans="1:7" ht="15.6" x14ac:dyDescent="0.3">
      <c r="A416" s="26" t="s">
        <v>5</v>
      </c>
      <c r="B416" s="203"/>
      <c r="C416" s="203" t="s">
        <v>4</v>
      </c>
      <c r="D416" s="203"/>
      <c r="E416" s="203"/>
      <c r="F416" s="225" t="s">
        <v>3</v>
      </c>
      <c r="G416" s="196"/>
    </row>
    <row r="417" spans="1:7" ht="15.6" x14ac:dyDescent="0.3">
      <c r="A417" s="3" t="s">
        <v>2</v>
      </c>
      <c r="B417" s="2"/>
      <c r="C417" s="2" t="s">
        <v>1</v>
      </c>
      <c r="D417" s="2"/>
      <c r="E417" s="2"/>
      <c r="F417" s="1" t="s">
        <v>70</v>
      </c>
      <c r="G417" s="196"/>
    </row>
    <row r="418" spans="1:7" x14ac:dyDescent="0.3">
      <c r="A418" s="221"/>
      <c r="B418" s="222"/>
      <c r="C418" s="222"/>
      <c r="D418" s="222"/>
      <c r="E418" s="222"/>
      <c r="F418" s="222"/>
      <c r="G418" s="202"/>
    </row>
    <row r="421" spans="1:7" ht="24.6" x14ac:dyDescent="0.3">
      <c r="A421" s="271" t="s">
        <v>38</v>
      </c>
      <c r="B421" s="302"/>
      <c r="C421" s="272"/>
      <c r="D421" s="305" t="s">
        <v>37</v>
      </c>
      <c r="E421" s="306"/>
      <c r="F421" s="306"/>
      <c r="G421" s="307"/>
    </row>
    <row r="422" spans="1:7" ht="21" x14ac:dyDescent="0.4">
      <c r="A422" s="273"/>
      <c r="B422" s="303"/>
      <c r="C422" s="274"/>
      <c r="D422" s="51" t="s">
        <v>36</v>
      </c>
      <c r="E422" s="308" t="s">
        <v>593</v>
      </c>
      <c r="F422" s="282"/>
      <c r="G422" s="50"/>
    </row>
    <row r="423" spans="1:7" ht="21" x14ac:dyDescent="0.4">
      <c r="A423" s="273"/>
      <c r="B423" s="303"/>
      <c r="C423" s="274"/>
      <c r="D423" s="51" t="s">
        <v>51</v>
      </c>
      <c r="E423" s="284">
        <v>22</v>
      </c>
      <c r="F423" s="282"/>
      <c r="G423" s="50"/>
    </row>
    <row r="424" spans="1:7" ht="30" x14ac:dyDescent="0.3">
      <c r="A424" s="275"/>
      <c r="B424" s="304"/>
      <c r="C424" s="276"/>
      <c r="D424" s="47" t="s">
        <v>50</v>
      </c>
      <c r="E424" s="287" t="s">
        <v>609</v>
      </c>
      <c r="F424" s="287"/>
      <c r="G424" s="87"/>
    </row>
    <row r="425" spans="1:7" ht="20.399999999999999" x14ac:dyDescent="0.35">
      <c r="A425" s="39" t="s">
        <v>48</v>
      </c>
      <c r="B425" s="43" t="s">
        <v>47</v>
      </c>
      <c r="C425" s="42"/>
      <c r="D425" s="42"/>
      <c r="E425" s="86"/>
      <c r="F425" s="85"/>
      <c r="G425" s="84"/>
    </row>
    <row r="426" spans="1:7" ht="20.399999999999999" x14ac:dyDescent="0.35">
      <c r="A426" s="39" t="s">
        <v>30</v>
      </c>
      <c r="B426" s="38" t="s">
        <v>466</v>
      </c>
      <c r="C426" s="37"/>
      <c r="D426" s="37"/>
      <c r="E426" s="83"/>
      <c r="F426" s="82"/>
      <c r="G426" s="81"/>
    </row>
    <row r="427" spans="1:7" ht="20.399999999999999" x14ac:dyDescent="0.35">
      <c r="A427" s="39" t="s">
        <v>46</v>
      </c>
      <c r="B427" s="38" t="s">
        <v>158</v>
      </c>
      <c r="C427" s="37"/>
      <c r="D427" s="37"/>
      <c r="E427" s="80"/>
      <c r="F427" s="79"/>
      <c r="G427" s="78"/>
    </row>
    <row r="428" spans="1:7" ht="20.399999999999999" x14ac:dyDescent="0.35">
      <c r="A428" s="39" t="s">
        <v>28</v>
      </c>
      <c r="B428" s="38" t="s">
        <v>198</v>
      </c>
      <c r="C428" s="37"/>
      <c r="D428" s="37"/>
      <c r="E428" s="37"/>
      <c r="F428" s="37"/>
      <c r="G428" s="77"/>
    </row>
    <row r="429" spans="1:7" ht="15" x14ac:dyDescent="0.3">
      <c r="A429" s="34" t="s">
        <v>26</v>
      </c>
      <c r="B429" s="34" t="s">
        <v>25</v>
      </c>
      <c r="C429" s="34" t="s">
        <v>24</v>
      </c>
      <c r="D429" s="34" t="s">
        <v>43</v>
      </c>
      <c r="E429" s="34" t="s">
        <v>42</v>
      </c>
      <c r="F429" s="34" t="s">
        <v>22</v>
      </c>
      <c r="G429" s="34" t="s">
        <v>21</v>
      </c>
    </row>
    <row r="430" spans="1:7" ht="15.6" x14ac:dyDescent="0.3">
      <c r="A430" s="33">
        <v>6</v>
      </c>
      <c r="B430" s="32" t="s">
        <v>177</v>
      </c>
      <c r="C430" s="32" t="s">
        <v>450</v>
      </c>
      <c r="D430" s="76" t="s">
        <v>461</v>
      </c>
      <c r="E430" s="178">
        <v>378</v>
      </c>
      <c r="F430" s="178">
        <f t="shared" ref="F430:F444" si="15">A430*E430</f>
        <v>2268</v>
      </c>
      <c r="G430" s="74"/>
    </row>
    <row r="431" spans="1:7" ht="15.6" x14ac:dyDescent="0.3">
      <c r="A431" s="29">
        <v>3</v>
      </c>
      <c r="B431" s="25" t="s">
        <v>177</v>
      </c>
      <c r="C431" s="25" t="s">
        <v>451</v>
      </c>
      <c r="D431" s="73" t="s">
        <v>461</v>
      </c>
      <c r="E431" s="179">
        <v>509</v>
      </c>
      <c r="F431" s="179">
        <f t="shared" si="15"/>
        <v>1527</v>
      </c>
      <c r="G431" s="74"/>
    </row>
    <row r="432" spans="1:7" ht="15.6" x14ac:dyDescent="0.3">
      <c r="A432" s="29">
        <v>15</v>
      </c>
      <c r="B432" s="25" t="s">
        <v>10</v>
      </c>
      <c r="C432" s="25" t="s">
        <v>452</v>
      </c>
      <c r="D432" s="73" t="s">
        <v>461</v>
      </c>
      <c r="E432" s="179">
        <v>8.64</v>
      </c>
      <c r="F432" s="179">
        <f t="shared" si="15"/>
        <v>129.60000000000002</v>
      </c>
      <c r="G432" s="74"/>
    </row>
    <row r="433" spans="1:7" ht="15.6" x14ac:dyDescent="0.3">
      <c r="A433" s="29">
        <v>15</v>
      </c>
      <c r="B433" s="27" t="s">
        <v>10</v>
      </c>
      <c r="C433" s="27" t="s">
        <v>453</v>
      </c>
      <c r="D433" s="73" t="s">
        <v>461</v>
      </c>
      <c r="E433" s="179">
        <v>5.59</v>
      </c>
      <c r="F433" s="179">
        <f t="shared" si="15"/>
        <v>83.85</v>
      </c>
      <c r="G433" s="70"/>
    </row>
    <row r="434" spans="1:7" ht="15.6" x14ac:dyDescent="0.3">
      <c r="A434" s="29">
        <v>10</v>
      </c>
      <c r="B434" s="27" t="s">
        <v>10</v>
      </c>
      <c r="C434" s="27" t="s">
        <v>454</v>
      </c>
      <c r="D434" s="73" t="s">
        <v>461</v>
      </c>
      <c r="E434" s="179">
        <v>10.130000000000001</v>
      </c>
      <c r="F434" s="179">
        <f t="shared" si="15"/>
        <v>101.30000000000001</v>
      </c>
      <c r="G434" s="70"/>
    </row>
    <row r="435" spans="1:7" ht="15.6" x14ac:dyDescent="0.3">
      <c r="A435" s="29">
        <v>10</v>
      </c>
      <c r="B435" s="27" t="s">
        <v>10</v>
      </c>
      <c r="C435" s="27" t="s">
        <v>455</v>
      </c>
      <c r="D435" s="73" t="s">
        <v>461</v>
      </c>
      <c r="E435" s="179">
        <v>9.19</v>
      </c>
      <c r="F435" s="179">
        <f t="shared" si="15"/>
        <v>91.899999999999991</v>
      </c>
      <c r="G435" s="70"/>
    </row>
    <row r="436" spans="1:7" ht="31.2" x14ac:dyDescent="0.3">
      <c r="A436" s="29">
        <v>15</v>
      </c>
      <c r="B436" s="27" t="s">
        <v>10</v>
      </c>
      <c r="C436" s="27" t="s">
        <v>456</v>
      </c>
      <c r="D436" s="73" t="s">
        <v>461</v>
      </c>
      <c r="E436" s="179">
        <v>0.82</v>
      </c>
      <c r="F436" s="179">
        <f t="shared" si="15"/>
        <v>12.299999999999999</v>
      </c>
      <c r="G436" s="70"/>
    </row>
    <row r="437" spans="1:7" ht="15.6" x14ac:dyDescent="0.3">
      <c r="A437" s="26">
        <v>10</v>
      </c>
      <c r="B437" s="27" t="s">
        <v>10</v>
      </c>
      <c r="C437" s="27" t="s">
        <v>457</v>
      </c>
      <c r="D437" s="73" t="s">
        <v>461</v>
      </c>
      <c r="E437" s="179">
        <v>7.73</v>
      </c>
      <c r="F437" s="179">
        <f t="shared" si="15"/>
        <v>77.300000000000011</v>
      </c>
      <c r="G437" s="70"/>
    </row>
    <row r="438" spans="1:7" ht="15.6" x14ac:dyDescent="0.3">
      <c r="A438" s="26">
        <v>15</v>
      </c>
      <c r="B438" s="27" t="s">
        <v>10</v>
      </c>
      <c r="C438" s="27" t="s">
        <v>458</v>
      </c>
      <c r="D438" s="73" t="s">
        <v>461</v>
      </c>
      <c r="E438" s="179">
        <v>5.38</v>
      </c>
      <c r="F438" s="179">
        <f t="shared" si="15"/>
        <v>80.7</v>
      </c>
      <c r="G438" s="70"/>
    </row>
    <row r="439" spans="1:7" ht="15.6" x14ac:dyDescent="0.3">
      <c r="A439" s="26">
        <v>12</v>
      </c>
      <c r="B439" s="25"/>
      <c r="C439" s="27" t="s">
        <v>467</v>
      </c>
      <c r="D439" s="73"/>
      <c r="E439" s="179">
        <v>43.04</v>
      </c>
      <c r="F439" s="179">
        <f t="shared" si="15"/>
        <v>516.48</v>
      </c>
      <c r="G439" s="70"/>
    </row>
    <row r="440" spans="1:7" ht="15.6" x14ac:dyDescent="0.3">
      <c r="A440" s="26">
        <v>1</v>
      </c>
      <c r="B440" s="25"/>
      <c r="C440" s="25" t="s">
        <v>459</v>
      </c>
      <c r="D440" s="72"/>
      <c r="E440" s="179">
        <v>66.459999999999994</v>
      </c>
      <c r="F440" s="179">
        <f t="shared" si="15"/>
        <v>66.459999999999994</v>
      </c>
      <c r="G440" s="70"/>
    </row>
    <row r="441" spans="1:7" ht="15.6" x14ac:dyDescent="0.3">
      <c r="A441" s="26"/>
      <c r="B441" s="25"/>
      <c r="C441" s="25"/>
      <c r="D441" s="72"/>
      <c r="E441" s="179"/>
      <c r="F441" s="179">
        <f t="shared" si="15"/>
        <v>0</v>
      </c>
      <c r="G441" s="70"/>
    </row>
    <row r="442" spans="1:7" ht="15.6" x14ac:dyDescent="0.3">
      <c r="A442" s="26"/>
      <c r="B442" s="25"/>
      <c r="C442" s="25"/>
      <c r="D442" s="72"/>
      <c r="E442" s="179"/>
      <c r="F442" s="179">
        <f t="shared" si="15"/>
        <v>0</v>
      </c>
      <c r="G442" s="70"/>
    </row>
    <row r="443" spans="1:7" ht="15.6" x14ac:dyDescent="0.3">
      <c r="A443" s="26"/>
      <c r="B443" s="25"/>
      <c r="C443" s="25"/>
      <c r="D443" s="72"/>
      <c r="E443" s="179"/>
      <c r="F443" s="179">
        <f t="shared" si="15"/>
        <v>0</v>
      </c>
      <c r="G443" s="70"/>
    </row>
    <row r="444" spans="1:7" ht="15.6" x14ac:dyDescent="0.3">
      <c r="A444" s="21"/>
      <c r="B444" s="20"/>
      <c r="C444" s="20"/>
      <c r="D444" s="69"/>
      <c r="E444" s="180"/>
      <c r="F444" s="180">
        <f t="shared" si="15"/>
        <v>0</v>
      </c>
      <c r="G444" s="67"/>
    </row>
    <row r="445" spans="1:7" ht="17.399999999999999" x14ac:dyDescent="0.3">
      <c r="A445" s="17"/>
      <c r="B445" s="16"/>
      <c r="C445" s="9" t="s">
        <v>8</v>
      </c>
      <c r="D445" s="9"/>
      <c r="E445" s="181"/>
      <c r="F445" s="182">
        <f>SUM(F430:F443)</f>
        <v>4954.8900000000003</v>
      </c>
      <c r="G445" s="64"/>
    </row>
    <row r="446" spans="1:7" ht="17.399999999999999" x14ac:dyDescent="0.3">
      <c r="A446" s="11"/>
      <c r="B446" s="10"/>
      <c r="C446" s="63" t="s">
        <v>7</v>
      </c>
      <c r="D446" s="63"/>
      <c r="E446" s="183"/>
      <c r="F446" s="184">
        <f>F445*0.16</f>
        <v>792.78240000000005</v>
      </c>
      <c r="G446" s="60"/>
    </row>
    <row r="447" spans="1:7" ht="17.399999999999999" x14ac:dyDescent="0.3">
      <c r="A447" s="11"/>
      <c r="B447" s="10"/>
      <c r="C447" s="59" t="s">
        <v>6</v>
      </c>
      <c r="D447" s="59"/>
      <c r="E447" s="185"/>
      <c r="F447" s="186">
        <f>F445+F446</f>
        <v>5747.6724000000004</v>
      </c>
      <c r="G447" s="56"/>
    </row>
    <row r="448" spans="1:7" ht="15.6" x14ac:dyDescent="0.3">
      <c r="A448" s="6" t="s">
        <v>5</v>
      </c>
      <c r="B448" s="5"/>
      <c r="C448" s="5" t="s">
        <v>4</v>
      </c>
      <c r="D448" s="5"/>
      <c r="E448" s="5" t="s">
        <v>3</v>
      </c>
      <c r="F448" s="5"/>
      <c r="G448" s="4"/>
    </row>
    <row r="449" spans="1:7" ht="15.6" x14ac:dyDescent="0.3">
      <c r="A449" s="3" t="s">
        <v>374</v>
      </c>
      <c r="B449" s="2"/>
      <c r="C449" s="2" t="s">
        <v>39</v>
      </c>
      <c r="D449" s="2"/>
      <c r="E449" s="2" t="s">
        <v>0</v>
      </c>
      <c r="F449" s="2"/>
      <c r="G449" s="1"/>
    </row>
    <row r="453" spans="1:7" ht="24.6" x14ac:dyDescent="0.3">
      <c r="A453" s="271" t="s">
        <v>38</v>
      </c>
      <c r="B453" s="302"/>
      <c r="C453" s="272"/>
      <c r="D453" s="305" t="s">
        <v>37</v>
      </c>
      <c r="E453" s="306"/>
      <c r="F453" s="306"/>
      <c r="G453" s="307"/>
    </row>
    <row r="454" spans="1:7" ht="21" x14ac:dyDescent="0.4">
      <c r="A454" s="273"/>
      <c r="B454" s="303"/>
      <c r="C454" s="274"/>
      <c r="D454" s="51" t="s">
        <v>36</v>
      </c>
      <c r="E454" s="308" t="s">
        <v>593</v>
      </c>
      <c r="F454" s="282"/>
      <c r="G454" s="50"/>
    </row>
    <row r="455" spans="1:7" ht="21" x14ac:dyDescent="0.4">
      <c r="A455" s="273"/>
      <c r="B455" s="303"/>
      <c r="C455" s="274"/>
      <c r="D455" s="51" t="s">
        <v>51</v>
      </c>
      <c r="E455" s="284">
        <v>22</v>
      </c>
      <c r="F455" s="282"/>
      <c r="G455" s="50"/>
    </row>
    <row r="456" spans="1:7" ht="30" x14ac:dyDescent="0.3">
      <c r="A456" s="275"/>
      <c r="B456" s="304"/>
      <c r="C456" s="276"/>
      <c r="D456" s="47" t="s">
        <v>50</v>
      </c>
      <c r="E456" s="287" t="s">
        <v>608</v>
      </c>
      <c r="F456" s="287"/>
      <c r="G456" s="87"/>
    </row>
    <row r="457" spans="1:7" ht="20.399999999999999" x14ac:dyDescent="0.35">
      <c r="A457" s="39" t="s">
        <v>48</v>
      </c>
      <c r="B457" s="43" t="s">
        <v>47</v>
      </c>
      <c r="C457" s="42"/>
      <c r="D457" s="42"/>
      <c r="E457" s="86"/>
      <c r="F457" s="85"/>
      <c r="G457" s="84"/>
    </row>
    <row r="458" spans="1:7" ht="20.399999999999999" x14ac:dyDescent="0.35">
      <c r="A458" s="39" t="s">
        <v>30</v>
      </c>
      <c r="B458" s="38" t="s">
        <v>599</v>
      </c>
      <c r="C458" s="37"/>
      <c r="D458" s="37"/>
      <c r="E458" s="83"/>
      <c r="F458" s="82"/>
      <c r="G458" s="81"/>
    </row>
    <row r="459" spans="1:7" ht="20.399999999999999" x14ac:dyDescent="0.35">
      <c r="A459" s="39" t="s">
        <v>46</v>
      </c>
      <c r="B459" s="38" t="s">
        <v>362</v>
      </c>
      <c r="C459" s="37"/>
      <c r="D459" s="37"/>
      <c r="E459" s="80"/>
      <c r="F459" s="79"/>
      <c r="G459" s="78"/>
    </row>
    <row r="460" spans="1:7" ht="20.399999999999999" x14ac:dyDescent="0.35">
      <c r="A460" s="39" t="s">
        <v>28</v>
      </c>
      <c r="B460" s="38" t="s">
        <v>198</v>
      </c>
      <c r="C460" s="37"/>
      <c r="D460" s="37"/>
      <c r="E460" s="37"/>
      <c r="F460" s="37"/>
      <c r="G460" s="77"/>
    </row>
    <row r="461" spans="1:7" ht="15" x14ac:dyDescent="0.3">
      <c r="A461" s="34" t="s">
        <v>26</v>
      </c>
      <c r="B461" s="34" t="s">
        <v>25</v>
      </c>
      <c r="C461" s="34" t="s">
        <v>24</v>
      </c>
      <c r="D461" s="34" t="s">
        <v>43</v>
      </c>
      <c r="E461" s="34" t="s">
        <v>42</v>
      </c>
      <c r="F461" s="34" t="s">
        <v>22</v>
      </c>
      <c r="G461" s="34" t="s">
        <v>21</v>
      </c>
    </row>
    <row r="462" spans="1:7" ht="31.2" x14ac:dyDescent="0.3">
      <c r="A462" s="33">
        <v>3</v>
      </c>
      <c r="B462" s="32" t="s">
        <v>10</v>
      </c>
      <c r="C462" s="32" t="s">
        <v>364</v>
      </c>
      <c r="D462" s="76"/>
      <c r="E462" s="178">
        <v>8.74</v>
      </c>
      <c r="F462" s="178">
        <f t="shared" ref="F462:F476" si="16">A462*E462</f>
        <v>26.22</v>
      </c>
      <c r="G462" s="74"/>
    </row>
    <row r="463" spans="1:7" ht="31.2" x14ac:dyDescent="0.3">
      <c r="A463" s="29">
        <v>3</v>
      </c>
      <c r="B463" s="25" t="s">
        <v>10</v>
      </c>
      <c r="C463" s="25" t="s">
        <v>365</v>
      </c>
      <c r="D463" s="73"/>
      <c r="E463" s="179">
        <v>14.74</v>
      </c>
      <c r="F463" s="179">
        <f t="shared" si="16"/>
        <v>44.22</v>
      </c>
      <c r="G463" s="74"/>
    </row>
    <row r="464" spans="1:7" ht="15.6" x14ac:dyDescent="0.3">
      <c r="A464" s="29"/>
      <c r="B464" s="25"/>
      <c r="C464" s="25"/>
      <c r="D464" s="73"/>
      <c r="E464" s="179"/>
      <c r="F464" s="179">
        <f t="shared" si="16"/>
        <v>0</v>
      </c>
      <c r="G464" s="74"/>
    </row>
    <row r="465" spans="1:7" ht="15.6" x14ac:dyDescent="0.3">
      <c r="A465" s="29">
        <v>1</v>
      </c>
      <c r="B465" s="27" t="s">
        <v>10</v>
      </c>
      <c r="C465" s="27" t="s">
        <v>367</v>
      </c>
      <c r="D465" s="73"/>
      <c r="E465" s="179">
        <v>1001.52</v>
      </c>
      <c r="F465" s="179">
        <f t="shared" si="16"/>
        <v>1001.52</v>
      </c>
      <c r="G465" s="70"/>
    </row>
    <row r="466" spans="1:7" ht="15.6" x14ac:dyDescent="0.3">
      <c r="A466" s="29"/>
      <c r="B466" s="27"/>
      <c r="C466" s="27"/>
      <c r="D466" s="73"/>
      <c r="E466" s="179"/>
      <c r="F466" s="179">
        <f t="shared" si="16"/>
        <v>0</v>
      </c>
      <c r="G466" s="70"/>
    </row>
    <row r="467" spans="1:7" ht="15.6" x14ac:dyDescent="0.3">
      <c r="A467" s="29"/>
      <c r="B467" s="27"/>
      <c r="C467" s="27"/>
      <c r="D467" s="73"/>
      <c r="E467" s="179"/>
      <c r="F467" s="179">
        <f t="shared" si="16"/>
        <v>0</v>
      </c>
      <c r="G467" s="70"/>
    </row>
    <row r="468" spans="1:7" ht="15.6" x14ac:dyDescent="0.3">
      <c r="A468" s="29"/>
      <c r="B468" s="27"/>
      <c r="C468" s="27"/>
      <c r="D468" s="73"/>
      <c r="E468" s="179"/>
      <c r="F468" s="179">
        <f t="shared" si="16"/>
        <v>0</v>
      </c>
      <c r="G468" s="70"/>
    </row>
    <row r="469" spans="1:7" ht="15.6" x14ac:dyDescent="0.3">
      <c r="A469" s="26"/>
      <c r="B469" s="27"/>
      <c r="C469" s="27"/>
      <c r="D469" s="73"/>
      <c r="E469" s="179"/>
      <c r="F469" s="179">
        <f t="shared" si="16"/>
        <v>0</v>
      </c>
      <c r="G469" s="70"/>
    </row>
    <row r="470" spans="1:7" ht="15.6" x14ac:dyDescent="0.3">
      <c r="A470" s="26"/>
      <c r="B470" s="27"/>
      <c r="C470" s="27"/>
      <c r="D470" s="73"/>
      <c r="E470" s="179"/>
      <c r="F470" s="179">
        <f t="shared" si="16"/>
        <v>0</v>
      </c>
      <c r="G470" s="70"/>
    </row>
    <row r="471" spans="1:7" ht="15.6" x14ac:dyDescent="0.3">
      <c r="A471" s="26"/>
      <c r="B471" s="25"/>
      <c r="C471" s="27"/>
      <c r="D471" s="73"/>
      <c r="E471" s="179"/>
      <c r="F471" s="179">
        <f t="shared" si="16"/>
        <v>0</v>
      </c>
      <c r="G471" s="70"/>
    </row>
    <row r="472" spans="1:7" ht="15.6" x14ac:dyDescent="0.3">
      <c r="A472" s="26"/>
      <c r="B472" s="25"/>
      <c r="C472" s="25"/>
      <c r="D472" s="72"/>
      <c r="E472" s="179"/>
      <c r="F472" s="179">
        <f t="shared" si="16"/>
        <v>0</v>
      </c>
      <c r="G472" s="70"/>
    </row>
    <row r="473" spans="1:7" ht="15.6" x14ac:dyDescent="0.3">
      <c r="A473" s="26"/>
      <c r="B473" s="25"/>
      <c r="C473" s="25"/>
      <c r="D473" s="72"/>
      <c r="E473" s="179"/>
      <c r="F473" s="179">
        <f t="shared" si="16"/>
        <v>0</v>
      </c>
      <c r="G473" s="70"/>
    </row>
    <row r="474" spans="1:7" ht="15.6" x14ac:dyDescent="0.3">
      <c r="A474" s="26"/>
      <c r="B474" s="25"/>
      <c r="C474" s="25"/>
      <c r="D474" s="72"/>
      <c r="E474" s="179"/>
      <c r="F474" s="179">
        <f t="shared" si="16"/>
        <v>0</v>
      </c>
      <c r="G474" s="70"/>
    </row>
    <row r="475" spans="1:7" ht="15.6" x14ac:dyDescent="0.3">
      <c r="A475" s="26"/>
      <c r="B475" s="25"/>
      <c r="C475" s="25"/>
      <c r="D475" s="72"/>
      <c r="E475" s="179"/>
      <c r="F475" s="179">
        <f t="shared" si="16"/>
        <v>0</v>
      </c>
      <c r="G475" s="70"/>
    </row>
    <row r="476" spans="1:7" ht="15.6" x14ac:dyDescent="0.3">
      <c r="A476" s="21"/>
      <c r="B476" s="20"/>
      <c r="C476" s="20"/>
      <c r="D476" s="69"/>
      <c r="E476" s="180"/>
      <c r="F476" s="180">
        <f t="shared" si="16"/>
        <v>0</v>
      </c>
      <c r="G476" s="67"/>
    </row>
    <row r="477" spans="1:7" ht="17.399999999999999" x14ac:dyDescent="0.3">
      <c r="A477" s="17"/>
      <c r="B477" s="16"/>
      <c r="C477" s="9" t="s">
        <v>8</v>
      </c>
      <c r="D477" s="9"/>
      <c r="E477" s="181"/>
      <c r="F477" s="182">
        <f>SUM(F462:F475)</f>
        <v>1071.96</v>
      </c>
      <c r="G477" s="64"/>
    </row>
    <row r="478" spans="1:7" ht="17.399999999999999" x14ac:dyDescent="0.3">
      <c r="A478" s="11"/>
      <c r="B478" s="10"/>
      <c r="C478" s="63" t="s">
        <v>7</v>
      </c>
      <c r="D478" s="63"/>
      <c r="E478" s="183"/>
      <c r="F478" s="184">
        <f>F477*0.16</f>
        <v>171.5136</v>
      </c>
      <c r="G478" s="60"/>
    </row>
    <row r="479" spans="1:7" ht="17.399999999999999" x14ac:dyDescent="0.3">
      <c r="A479" s="11"/>
      <c r="B479" s="10"/>
      <c r="C479" s="59" t="s">
        <v>6</v>
      </c>
      <c r="D479" s="59"/>
      <c r="E479" s="185"/>
      <c r="F479" s="186">
        <f>F477+F478</f>
        <v>1243.4736</v>
      </c>
      <c r="G479" s="56"/>
    </row>
    <row r="480" spans="1:7" ht="15.6" x14ac:dyDescent="0.3">
      <c r="A480" s="6" t="s">
        <v>5</v>
      </c>
      <c r="B480" s="5"/>
      <c r="C480" s="5" t="s">
        <v>4</v>
      </c>
      <c r="D480" s="5"/>
      <c r="E480" s="5" t="s">
        <v>3</v>
      </c>
      <c r="F480" s="5"/>
      <c r="G480" s="4"/>
    </row>
    <row r="481" spans="1:7" ht="15.6" x14ac:dyDescent="0.3">
      <c r="A481" s="3" t="s">
        <v>374</v>
      </c>
      <c r="B481" s="2"/>
      <c r="C481" s="2" t="s">
        <v>39</v>
      </c>
      <c r="D481" s="2"/>
      <c r="E481" s="2" t="s">
        <v>0</v>
      </c>
      <c r="F481" s="2"/>
      <c r="G481" s="1"/>
    </row>
    <row r="485" spans="1:7" ht="30" customHeight="1" x14ac:dyDescent="0.4">
      <c r="A485" s="55"/>
      <c r="B485" s="271" t="s">
        <v>38</v>
      </c>
      <c r="C485" s="272"/>
      <c r="D485" s="305" t="s">
        <v>37</v>
      </c>
      <c r="E485" s="306"/>
      <c r="F485" s="306"/>
      <c r="G485" s="307"/>
    </row>
    <row r="486" spans="1:7" ht="21" x14ac:dyDescent="0.4">
      <c r="A486" s="53"/>
      <c r="B486" s="273"/>
      <c r="C486" s="274"/>
      <c r="D486" s="51" t="s">
        <v>36</v>
      </c>
      <c r="E486" s="348" t="s">
        <v>593</v>
      </c>
      <c r="F486" s="282"/>
      <c r="G486" s="283"/>
    </row>
    <row r="487" spans="1:7" ht="21" x14ac:dyDescent="0.4">
      <c r="A487" s="49"/>
      <c r="B487" s="275"/>
      <c r="C487" s="276"/>
      <c r="D487" s="47" t="s">
        <v>34</v>
      </c>
      <c r="E487" s="349" t="s">
        <v>607</v>
      </c>
      <c r="F487" s="287"/>
      <c r="G487" s="350"/>
    </row>
    <row r="488" spans="1:7" ht="20.399999999999999" x14ac:dyDescent="0.35">
      <c r="A488" s="39" t="s">
        <v>32</v>
      </c>
      <c r="B488" s="43" t="s">
        <v>0</v>
      </c>
      <c r="C488" s="42"/>
      <c r="D488" s="42"/>
      <c r="E488" s="98"/>
      <c r="F488" s="97"/>
      <c r="G488" s="220"/>
    </row>
    <row r="489" spans="1:7" ht="20.399999999999999" x14ac:dyDescent="0.35">
      <c r="A489" s="39" t="s">
        <v>30</v>
      </c>
      <c r="B489" s="43" t="s">
        <v>29</v>
      </c>
      <c r="C489" s="42"/>
      <c r="D489" s="42"/>
      <c r="E489" s="41"/>
      <c r="F489" s="40"/>
      <c r="G489" s="196"/>
    </row>
    <row r="490" spans="1:7" ht="20.399999999999999" x14ac:dyDescent="0.35">
      <c r="A490" s="39"/>
      <c r="B490" s="38"/>
      <c r="C490" s="37"/>
      <c r="D490" s="37"/>
      <c r="E490" s="41"/>
      <c r="F490" s="40"/>
      <c r="G490" s="196"/>
    </row>
    <row r="491" spans="1:7" ht="20.399999999999999" x14ac:dyDescent="0.35">
      <c r="A491" s="39" t="s">
        <v>28</v>
      </c>
      <c r="B491" s="38" t="s">
        <v>27</v>
      </c>
      <c r="C491" s="37"/>
      <c r="D491" s="37"/>
      <c r="E491" s="36"/>
      <c r="F491" s="35"/>
      <c r="G491" s="196"/>
    </row>
    <row r="492" spans="1:7" ht="15" x14ac:dyDescent="0.3">
      <c r="A492" s="34" t="s">
        <v>26</v>
      </c>
      <c r="B492" s="34" t="s">
        <v>25</v>
      </c>
      <c r="C492" s="34" t="s">
        <v>24</v>
      </c>
      <c r="D492" s="210"/>
      <c r="E492" s="34" t="s">
        <v>23</v>
      </c>
      <c r="F492" s="34" t="s">
        <v>22</v>
      </c>
      <c r="G492" s="34" t="s">
        <v>21</v>
      </c>
    </row>
    <row r="493" spans="1:7" ht="15.6" x14ac:dyDescent="0.3">
      <c r="A493" s="33">
        <v>10</v>
      </c>
      <c r="B493" s="32" t="s">
        <v>10</v>
      </c>
      <c r="C493" s="32" t="s">
        <v>140</v>
      </c>
      <c r="E493" s="30">
        <v>13.57</v>
      </c>
      <c r="F493" s="30">
        <f t="shared" ref="F493:F508" si="17">+A493*E493</f>
        <v>135.69999999999999</v>
      </c>
      <c r="G493" s="223"/>
    </row>
    <row r="494" spans="1:7" ht="15.6" x14ac:dyDescent="0.3">
      <c r="A494" s="29">
        <v>10</v>
      </c>
      <c r="B494" s="25" t="s">
        <v>10</v>
      </c>
      <c r="C494" s="25" t="s">
        <v>139</v>
      </c>
      <c r="E494" s="23">
        <v>6.99</v>
      </c>
      <c r="F494" s="23">
        <f t="shared" si="17"/>
        <v>69.900000000000006</v>
      </c>
      <c r="G494" s="219"/>
    </row>
    <row r="495" spans="1:7" ht="15.6" x14ac:dyDescent="0.3">
      <c r="A495" s="29"/>
      <c r="B495" s="25"/>
      <c r="C495" s="25"/>
      <c r="E495" s="23"/>
      <c r="F495" s="23">
        <f t="shared" si="17"/>
        <v>0</v>
      </c>
      <c r="G495" s="219"/>
    </row>
    <row r="496" spans="1:7" ht="15.6" x14ac:dyDescent="0.3">
      <c r="A496" s="29">
        <v>25</v>
      </c>
      <c r="B496" s="27" t="s">
        <v>10</v>
      </c>
      <c r="C496" s="27" t="s">
        <v>591</v>
      </c>
      <c r="E496" s="23"/>
      <c r="F496" s="23">
        <f t="shared" si="17"/>
        <v>0</v>
      </c>
      <c r="G496" s="219"/>
    </row>
    <row r="497" spans="1:7" ht="31.2" x14ac:dyDescent="0.3">
      <c r="A497" s="29">
        <v>8</v>
      </c>
      <c r="B497" s="27" t="s">
        <v>135</v>
      </c>
      <c r="C497" s="28" t="s">
        <v>136</v>
      </c>
      <c r="E497" s="23">
        <v>1735.62</v>
      </c>
      <c r="F497" s="23">
        <f t="shared" si="17"/>
        <v>13884.96</v>
      </c>
      <c r="G497" s="219"/>
    </row>
    <row r="498" spans="1:7" ht="15.6" x14ac:dyDescent="0.3">
      <c r="A498" s="29">
        <v>4</v>
      </c>
      <c r="B498" s="27" t="s">
        <v>10</v>
      </c>
      <c r="C498" s="28" t="s">
        <v>590</v>
      </c>
      <c r="E498" s="23">
        <v>12.41</v>
      </c>
      <c r="F498" s="23">
        <f t="shared" si="17"/>
        <v>49.64</v>
      </c>
      <c r="G498" s="219"/>
    </row>
    <row r="499" spans="1:7" ht="15.6" x14ac:dyDescent="0.3">
      <c r="A499" s="29">
        <v>4</v>
      </c>
      <c r="B499" s="27" t="s">
        <v>10</v>
      </c>
      <c r="C499" s="28" t="s">
        <v>133</v>
      </c>
      <c r="E499" s="23">
        <v>57.41</v>
      </c>
      <c r="F499" s="23">
        <f t="shared" si="17"/>
        <v>229.64</v>
      </c>
      <c r="G499" s="219"/>
    </row>
    <row r="500" spans="1:7" ht="15.6" x14ac:dyDescent="0.3">
      <c r="A500" s="26">
        <v>4</v>
      </c>
      <c r="B500" s="27" t="s">
        <v>10</v>
      </c>
      <c r="C500" s="27" t="s">
        <v>132</v>
      </c>
      <c r="E500" s="23">
        <v>20.95</v>
      </c>
      <c r="F500" s="23">
        <f t="shared" si="17"/>
        <v>83.8</v>
      </c>
      <c r="G500" s="219"/>
    </row>
    <row r="501" spans="1:7" ht="15.6" x14ac:dyDescent="0.3">
      <c r="A501" s="26">
        <v>5</v>
      </c>
      <c r="B501" s="27" t="s">
        <v>10</v>
      </c>
      <c r="C501" s="27" t="s">
        <v>131</v>
      </c>
      <c r="E501" s="23">
        <v>74.87</v>
      </c>
      <c r="F501" s="23">
        <f t="shared" si="17"/>
        <v>374.35</v>
      </c>
      <c r="G501" s="219"/>
    </row>
    <row r="502" spans="1:7" ht="31.2" x14ac:dyDescent="0.3">
      <c r="A502" s="26">
        <v>10</v>
      </c>
      <c r="B502" s="25" t="s">
        <v>10</v>
      </c>
      <c r="C502" s="25" t="s">
        <v>130</v>
      </c>
      <c r="E502" s="23">
        <v>39.18</v>
      </c>
      <c r="F502" s="23">
        <f t="shared" si="17"/>
        <v>391.8</v>
      </c>
      <c r="G502" s="219"/>
    </row>
    <row r="503" spans="1:7" ht="15.6" x14ac:dyDescent="0.3">
      <c r="A503" s="26">
        <v>5</v>
      </c>
      <c r="B503" s="25" t="s">
        <v>10</v>
      </c>
      <c r="C503" s="25" t="s">
        <v>129</v>
      </c>
      <c r="E503" s="23">
        <v>137.85</v>
      </c>
      <c r="F503" s="23">
        <f t="shared" si="17"/>
        <v>689.25</v>
      </c>
      <c r="G503" s="219"/>
    </row>
    <row r="504" spans="1:7" ht="15.6" x14ac:dyDescent="0.3">
      <c r="A504" s="26"/>
      <c r="B504" s="25"/>
      <c r="C504" s="25"/>
      <c r="E504" s="23"/>
      <c r="F504" s="23">
        <f t="shared" si="17"/>
        <v>0</v>
      </c>
      <c r="G504" s="219"/>
    </row>
    <row r="505" spans="1:7" ht="15.6" x14ac:dyDescent="0.3">
      <c r="A505" s="26"/>
      <c r="B505" s="25"/>
      <c r="C505" s="25"/>
      <c r="E505" s="23"/>
      <c r="F505" s="23">
        <f t="shared" si="17"/>
        <v>0</v>
      </c>
      <c r="G505" s="219"/>
    </row>
    <row r="506" spans="1:7" ht="15.6" x14ac:dyDescent="0.3">
      <c r="A506" s="26"/>
      <c r="B506" s="25"/>
      <c r="C506" s="25"/>
      <c r="E506" s="23"/>
      <c r="F506" s="23">
        <f t="shared" si="17"/>
        <v>0</v>
      </c>
      <c r="G506" s="219"/>
    </row>
    <row r="507" spans="1:7" ht="15.6" x14ac:dyDescent="0.3">
      <c r="A507" s="26"/>
      <c r="B507" s="25"/>
      <c r="C507" s="25"/>
      <c r="E507" s="23"/>
      <c r="F507" s="23">
        <f t="shared" si="17"/>
        <v>0</v>
      </c>
      <c r="G507" s="219"/>
    </row>
    <row r="508" spans="1:7" ht="15.6" x14ac:dyDescent="0.3">
      <c r="A508" s="21"/>
      <c r="B508" s="20"/>
      <c r="C508" s="20"/>
      <c r="E508" s="228"/>
      <c r="F508" s="19">
        <f t="shared" si="17"/>
        <v>0</v>
      </c>
      <c r="G508" s="232"/>
    </row>
    <row r="509" spans="1:7" ht="17.399999999999999" x14ac:dyDescent="0.3">
      <c r="A509" s="17"/>
      <c r="B509" s="16"/>
      <c r="C509" s="294" t="s">
        <v>8</v>
      </c>
      <c r="D509" s="294"/>
      <c r="F509" s="229">
        <f>SUM(F493:F508)</f>
        <v>15909.039999999997</v>
      </c>
      <c r="G509" s="196"/>
    </row>
    <row r="510" spans="1:7" ht="17.399999999999999" x14ac:dyDescent="0.3">
      <c r="A510" s="11"/>
      <c r="B510" s="10"/>
      <c r="C510" s="294" t="s">
        <v>7</v>
      </c>
      <c r="D510" s="294"/>
      <c r="F510" s="230">
        <f>+F509*0.16</f>
        <v>2545.4463999999998</v>
      </c>
      <c r="G510" s="196"/>
    </row>
    <row r="511" spans="1:7" ht="17.399999999999999" x14ac:dyDescent="0.3">
      <c r="A511" s="11"/>
      <c r="B511" s="10"/>
      <c r="C511" s="294" t="s">
        <v>6</v>
      </c>
      <c r="D511" s="294"/>
      <c r="F511" s="231">
        <f>+F509+F510</f>
        <v>18454.486399999998</v>
      </c>
      <c r="G511" s="196"/>
    </row>
    <row r="512" spans="1:7" ht="15.6" x14ac:dyDescent="0.3">
      <c r="A512" s="6" t="s">
        <v>5</v>
      </c>
      <c r="B512" s="5"/>
      <c r="C512" s="5" t="s">
        <v>4</v>
      </c>
      <c r="D512" s="5"/>
      <c r="E512" s="6"/>
      <c r="F512" s="4" t="s">
        <v>3</v>
      </c>
      <c r="G512" s="196"/>
    </row>
    <row r="513" spans="1:7" ht="15.6" x14ac:dyDescent="0.3">
      <c r="A513" s="3" t="s">
        <v>2</v>
      </c>
      <c r="B513" s="2"/>
      <c r="C513" s="2" t="s">
        <v>1</v>
      </c>
      <c r="D513" s="2"/>
      <c r="E513" s="21"/>
      <c r="F513" s="1" t="s">
        <v>0</v>
      </c>
      <c r="G513" s="202"/>
    </row>
    <row r="517" spans="1:7" ht="30" customHeight="1" x14ac:dyDescent="0.4">
      <c r="A517" s="55"/>
      <c r="B517" s="271" t="s">
        <v>38</v>
      </c>
      <c r="C517" s="272"/>
      <c r="D517" s="305" t="s">
        <v>37</v>
      </c>
      <c r="E517" s="306"/>
      <c r="F517" s="306"/>
      <c r="G517" s="307"/>
    </row>
    <row r="518" spans="1:7" ht="21" x14ac:dyDescent="0.4">
      <c r="A518" s="53"/>
      <c r="B518" s="273"/>
      <c r="C518" s="274"/>
      <c r="D518" s="51" t="s">
        <v>36</v>
      </c>
      <c r="E518" s="240"/>
      <c r="F518" s="241" t="s">
        <v>593</v>
      </c>
      <c r="G518" s="206"/>
    </row>
    <row r="519" spans="1:7" ht="21" x14ac:dyDescent="0.4">
      <c r="A519" s="49"/>
      <c r="B519" s="275"/>
      <c r="C519" s="276"/>
      <c r="D519" s="47" t="s">
        <v>34</v>
      </c>
      <c r="E519" s="240"/>
      <c r="F519" s="242" t="s">
        <v>601</v>
      </c>
      <c r="G519" s="206"/>
    </row>
    <row r="520" spans="1:7" ht="20.399999999999999" x14ac:dyDescent="0.35">
      <c r="A520" s="39" t="s">
        <v>32</v>
      </c>
      <c r="B520" s="43" t="s">
        <v>0</v>
      </c>
      <c r="C520" s="42"/>
      <c r="D520" s="42"/>
      <c r="E520" s="41"/>
      <c r="F520" s="238"/>
      <c r="G520" s="196"/>
    </row>
    <row r="521" spans="1:7" ht="20.399999999999999" x14ac:dyDescent="0.35">
      <c r="A521" s="39" t="s">
        <v>30</v>
      </c>
      <c r="B521" s="43" t="s">
        <v>512</v>
      </c>
      <c r="C521" s="42"/>
      <c r="D521" s="42"/>
      <c r="E521" s="41"/>
      <c r="F521" s="238"/>
      <c r="G521" s="196"/>
    </row>
    <row r="522" spans="1:7" ht="20.399999999999999" x14ac:dyDescent="0.35">
      <c r="A522" s="39" t="s">
        <v>73</v>
      </c>
      <c r="B522" s="38" t="s">
        <v>362</v>
      </c>
      <c r="C522" s="37"/>
      <c r="D522" s="37"/>
      <c r="E522" s="41"/>
      <c r="F522" s="238"/>
      <c r="G522" s="196"/>
    </row>
    <row r="523" spans="1:7" ht="20.399999999999999" x14ac:dyDescent="0.35">
      <c r="A523" s="39" t="s">
        <v>28</v>
      </c>
      <c r="B523" s="38" t="s">
        <v>55</v>
      </c>
      <c r="C523" s="37"/>
      <c r="D523" s="37"/>
      <c r="E523" s="36"/>
      <c r="F523" s="239"/>
      <c r="G523" s="202"/>
    </row>
    <row r="524" spans="1:7" ht="15" x14ac:dyDescent="0.3">
      <c r="A524" s="34" t="s">
        <v>26</v>
      </c>
      <c r="B524" s="34" t="s">
        <v>25</v>
      </c>
      <c r="C524" s="34" t="s">
        <v>24</v>
      </c>
      <c r="D524" s="34"/>
      <c r="E524" s="34" t="s">
        <v>23</v>
      </c>
      <c r="F524" s="34" t="s">
        <v>22</v>
      </c>
      <c r="G524" s="34" t="s">
        <v>21</v>
      </c>
    </row>
    <row r="525" spans="1:7" ht="15.6" x14ac:dyDescent="0.3">
      <c r="A525" s="33"/>
      <c r="B525" s="32"/>
      <c r="C525" s="32"/>
      <c r="D525" s="234"/>
      <c r="E525" s="233"/>
      <c r="F525" s="101">
        <f>+A525*E525</f>
        <v>0</v>
      </c>
      <c r="G525" s="196"/>
    </row>
    <row r="526" spans="1:7" ht="31.2" x14ac:dyDescent="0.3">
      <c r="A526" s="29">
        <v>6</v>
      </c>
      <c r="B526" s="25" t="s">
        <v>135</v>
      </c>
      <c r="C526" s="25" t="s">
        <v>534</v>
      </c>
      <c r="D526" s="237">
        <v>235681</v>
      </c>
      <c r="E526" s="100">
        <v>670.73</v>
      </c>
      <c r="F526" s="100">
        <f t="shared" ref="F526:F538" si="18">+A526*E526</f>
        <v>4024.38</v>
      </c>
      <c r="G526" s="196"/>
    </row>
    <row r="527" spans="1:7" ht="15.6" x14ac:dyDescent="0.3">
      <c r="A527" s="29">
        <v>10</v>
      </c>
      <c r="B527" s="25" t="s">
        <v>10</v>
      </c>
      <c r="C527" s="25" t="s">
        <v>542</v>
      </c>
      <c r="D527" s="237">
        <v>133902</v>
      </c>
      <c r="E527" s="100">
        <v>46.19</v>
      </c>
      <c r="F527" s="100">
        <f t="shared" si="18"/>
        <v>461.9</v>
      </c>
      <c r="G527" s="196"/>
    </row>
    <row r="528" spans="1:7" ht="15.6" x14ac:dyDescent="0.3">
      <c r="A528" s="29">
        <v>1</v>
      </c>
      <c r="B528" s="27" t="s">
        <v>600</v>
      </c>
      <c r="C528" s="27" t="s">
        <v>604</v>
      </c>
      <c r="D528" s="237">
        <v>621594</v>
      </c>
      <c r="E528" s="100">
        <v>227.45</v>
      </c>
      <c r="F528" s="100">
        <f t="shared" si="18"/>
        <v>227.45</v>
      </c>
      <c r="G528" s="196"/>
    </row>
    <row r="529" spans="1:7" ht="31.2" x14ac:dyDescent="0.3">
      <c r="A529" s="29">
        <v>30</v>
      </c>
      <c r="B529" s="27" t="s">
        <v>10</v>
      </c>
      <c r="C529" s="28" t="s">
        <v>602</v>
      </c>
      <c r="D529" s="237">
        <v>165175</v>
      </c>
      <c r="E529" s="100">
        <v>36.85</v>
      </c>
      <c r="F529" s="100">
        <f t="shared" si="18"/>
        <v>1105.5</v>
      </c>
      <c r="G529" s="196"/>
    </row>
    <row r="530" spans="1:7" ht="15.6" x14ac:dyDescent="0.3">
      <c r="A530" s="29">
        <v>15</v>
      </c>
      <c r="B530" s="27" t="s">
        <v>10</v>
      </c>
      <c r="C530" s="28" t="s">
        <v>603</v>
      </c>
      <c r="D530" s="237">
        <v>165128</v>
      </c>
      <c r="E530" s="100">
        <v>57.7</v>
      </c>
      <c r="F530" s="100">
        <f t="shared" si="18"/>
        <v>865.5</v>
      </c>
      <c r="G530" s="196"/>
    </row>
    <row r="531" spans="1:7" ht="15.6" x14ac:dyDescent="0.3">
      <c r="A531" s="29"/>
      <c r="B531" s="27"/>
      <c r="C531" s="28"/>
      <c r="D531" s="213"/>
      <c r="E531" s="102"/>
      <c r="F531" s="100">
        <f t="shared" si="18"/>
        <v>0</v>
      </c>
      <c r="G531" s="196"/>
    </row>
    <row r="532" spans="1:7" ht="15.6" x14ac:dyDescent="0.3">
      <c r="A532" s="26"/>
      <c r="B532" s="27"/>
      <c r="C532" s="27"/>
      <c r="D532" s="235"/>
      <c r="E532" s="100"/>
      <c r="F532" s="100">
        <f t="shared" si="18"/>
        <v>0</v>
      </c>
      <c r="G532" s="196"/>
    </row>
    <row r="533" spans="1:7" ht="15.6" x14ac:dyDescent="0.3">
      <c r="A533" s="26"/>
      <c r="B533" s="27"/>
      <c r="C533" s="27"/>
      <c r="D533" s="235"/>
      <c r="E533" s="100"/>
      <c r="F533" s="100">
        <f t="shared" si="18"/>
        <v>0</v>
      </c>
      <c r="G533" s="196"/>
    </row>
    <row r="534" spans="1:7" ht="15.6" x14ac:dyDescent="0.3">
      <c r="A534" s="26"/>
      <c r="B534" s="25"/>
      <c r="C534" s="25"/>
      <c r="D534" s="234"/>
      <c r="E534" s="100"/>
      <c r="F534" s="100">
        <f t="shared" si="18"/>
        <v>0</v>
      </c>
      <c r="G534" s="196"/>
    </row>
    <row r="535" spans="1:7" ht="15.6" x14ac:dyDescent="0.3">
      <c r="A535" s="26"/>
      <c r="B535" s="25"/>
      <c r="C535" s="25"/>
      <c r="D535" s="234"/>
      <c r="E535" s="100"/>
      <c r="F535" s="100">
        <f t="shared" si="18"/>
        <v>0</v>
      </c>
      <c r="G535" s="196"/>
    </row>
    <row r="536" spans="1:7" ht="15.6" x14ac:dyDescent="0.3">
      <c r="A536" s="26"/>
      <c r="B536" s="25"/>
      <c r="C536" s="25"/>
      <c r="D536" s="234"/>
      <c r="E536" s="100"/>
      <c r="F536" s="100">
        <f t="shared" si="18"/>
        <v>0</v>
      </c>
      <c r="G536" s="196"/>
    </row>
    <row r="537" spans="1:7" ht="15.6" x14ac:dyDescent="0.3">
      <c r="A537" s="26"/>
      <c r="B537" s="25"/>
      <c r="C537" s="25"/>
      <c r="D537" s="234"/>
      <c r="E537" s="100"/>
      <c r="F537" s="100">
        <f t="shared" si="18"/>
        <v>0</v>
      </c>
      <c r="G537" s="196"/>
    </row>
    <row r="538" spans="1:7" ht="15.6" x14ac:dyDescent="0.3">
      <c r="A538" s="26"/>
      <c r="B538" s="25"/>
      <c r="C538" s="25"/>
      <c r="D538" s="234"/>
      <c r="E538" s="100"/>
      <c r="F538" s="100">
        <f t="shared" si="18"/>
        <v>0</v>
      </c>
      <c r="G538" s="196"/>
    </row>
    <row r="539" spans="1:7" ht="15.6" x14ac:dyDescent="0.3">
      <c r="A539" s="21"/>
      <c r="B539" s="20"/>
      <c r="C539" s="20"/>
      <c r="D539" s="236"/>
      <c r="E539" s="175"/>
      <c r="F539" s="18"/>
      <c r="G539" s="196"/>
    </row>
    <row r="540" spans="1:7" ht="17.399999999999999" x14ac:dyDescent="0.3">
      <c r="A540" s="17"/>
      <c r="B540" s="16"/>
      <c r="C540" s="294" t="s">
        <v>8</v>
      </c>
      <c r="D540" s="294"/>
      <c r="F540" s="243">
        <f>+SUM(F525:F535)</f>
        <v>6684.73</v>
      </c>
      <c r="G540" s="196"/>
    </row>
    <row r="541" spans="1:7" ht="17.399999999999999" x14ac:dyDescent="0.3">
      <c r="A541" s="11"/>
      <c r="B541" s="10"/>
      <c r="C541" s="294" t="s">
        <v>7</v>
      </c>
      <c r="D541" s="294"/>
      <c r="F541" s="244">
        <f>+F540*0.16</f>
        <v>1069.5567999999998</v>
      </c>
      <c r="G541" s="196"/>
    </row>
    <row r="542" spans="1:7" ht="17.399999999999999" x14ac:dyDescent="0.3">
      <c r="A542" s="11"/>
      <c r="B542" s="10"/>
      <c r="C542" s="294" t="s">
        <v>6</v>
      </c>
      <c r="D542" s="294"/>
      <c r="F542" s="245">
        <f>+F540+F541</f>
        <v>7754.2867999999999</v>
      </c>
      <c r="G542" s="196"/>
    </row>
    <row r="543" spans="1:7" ht="15.6" x14ac:dyDescent="0.3">
      <c r="A543" s="6" t="s">
        <v>5</v>
      </c>
      <c r="B543" s="5"/>
      <c r="C543" s="5" t="s">
        <v>4</v>
      </c>
      <c r="D543" s="5"/>
      <c r="E543" s="6"/>
      <c r="F543" s="4" t="s">
        <v>3</v>
      </c>
      <c r="G543" s="196"/>
    </row>
    <row r="544" spans="1:7" ht="15.6" x14ac:dyDescent="0.3">
      <c r="A544" s="3" t="s">
        <v>2</v>
      </c>
      <c r="B544" s="2"/>
      <c r="C544" s="2" t="s">
        <v>1</v>
      </c>
      <c r="D544" s="2"/>
      <c r="E544" s="21"/>
      <c r="F544" s="1" t="s">
        <v>70</v>
      </c>
      <c r="G544" s="202"/>
    </row>
    <row r="548" spans="1:7" ht="21" x14ac:dyDescent="0.4">
      <c r="A548" s="55"/>
      <c r="B548" s="271" t="s">
        <v>38</v>
      </c>
      <c r="C548" s="272"/>
      <c r="D548" s="277" t="s">
        <v>37</v>
      </c>
      <c r="E548" s="278"/>
      <c r="F548" s="278"/>
      <c r="G548" s="279"/>
    </row>
    <row r="549" spans="1:7" ht="21" x14ac:dyDescent="0.4">
      <c r="A549" s="53"/>
      <c r="B549" s="273"/>
      <c r="C549" s="274"/>
      <c r="D549" s="280" t="s">
        <v>36</v>
      </c>
      <c r="E549" s="281"/>
      <c r="F549" s="282" t="s">
        <v>619</v>
      </c>
      <c r="G549" s="283"/>
    </row>
    <row r="550" spans="1:7" ht="21" x14ac:dyDescent="0.4">
      <c r="A550" s="53"/>
      <c r="B550" s="273"/>
      <c r="C550" s="274"/>
      <c r="D550" s="135" t="s">
        <v>118</v>
      </c>
      <c r="E550" s="136"/>
      <c r="F550" s="90">
        <v>22</v>
      </c>
      <c r="G550" s="50"/>
    </row>
    <row r="551" spans="1:7" ht="21" x14ac:dyDescent="0.4">
      <c r="A551" s="49"/>
      <c r="B551" s="275"/>
      <c r="C551" s="276"/>
      <c r="D551" s="285" t="s">
        <v>50</v>
      </c>
      <c r="E551" s="286"/>
      <c r="F551" s="287" t="s">
        <v>606</v>
      </c>
      <c r="G551" s="288"/>
    </row>
    <row r="552" spans="1:7" ht="20.399999999999999" x14ac:dyDescent="0.35">
      <c r="A552" s="39" t="s">
        <v>48</v>
      </c>
      <c r="B552" s="43" t="s">
        <v>0</v>
      </c>
      <c r="C552" s="42"/>
      <c r="D552" s="42"/>
      <c r="E552" s="42"/>
      <c r="F552" s="42"/>
      <c r="G552" s="106"/>
    </row>
    <row r="553" spans="1:7" ht="20.399999999999999" x14ac:dyDescent="0.35">
      <c r="A553" s="39" t="s">
        <v>313</v>
      </c>
      <c r="B553" s="38" t="s">
        <v>568</v>
      </c>
      <c r="C553" s="37"/>
      <c r="D553" s="37"/>
      <c r="E553" s="37"/>
      <c r="F553" s="37"/>
      <c r="G553" s="77"/>
    </row>
    <row r="554" spans="1:7" ht="20.399999999999999" x14ac:dyDescent="0.35">
      <c r="A554" s="39" t="s">
        <v>46</v>
      </c>
      <c r="B554" s="291"/>
      <c r="C554" s="292"/>
      <c r="D554" s="292"/>
      <c r="E554" s="292"/>
      <c r="F554" s="292"/>
      <c r="G554" s="293"/>
    </row>
    <row r="555" spans="1:7" ht="20.399999999999999" x14ac:dyDescent="0.35">
      <c r="A555" s="39" t="s">
        <v>28</v>
      </c>
      <c r="B555" s="38" t="s">
        <v>621</v>
      </c>
      <c r="C555" s="37"/>
      <c r="D555" s="37"/>
      <c r="E555" s="37"/>
      <c r="F555" s="37"/>
      <c r="G555" s="77"/>
    </row>
    <row r="556" spans="1:7" ht="15" x14ac:dyDescent="0.3">
      <c r="A556" s="34" t="s">
        <v>26</v>
      </c>
      <c r="B556" s="34" t="s">
        <v>25</v>
      </c>
      <c r="C556" s="34" t="s">
        <v>24</v>
      </c>
      <c r="D556" s="34" t="s">
        <v>43</v>
      </c>
      <c r="E556" s="34" t="s">
        <v>42</v>
      </c>
      <c r="F556" s="34" t="s">
        <v>22</v>
      </c>
      <c r="G556" s="34" t="s">
        <v>21</v>
      </c>
    </row>
    <row r="557" spans="1:7" ht="15.6" x14ac:dyDescent="0.3">
      <c r="A557" s="33">
        <v>20</v>
      </c>
      <c r="B557" s="32"/>
      <c r="C557" s="32" t="s">
        <v>566</v>
      </c>
      <c r="D557" s="76"/>
      <c r="E557" s="75">
        <v>150</v>
      </c>
      <c r="F557" s="75">
        <f t="shared" ref="F557:F560" si="19">A557*E557</f>
        <v>3000</v>
      </c>
      <c r="G557" s="74"/>
    </row>
    <row r="558" spans="1:7" ht="15.6" x14ac:dyDescent="0.3">
      <c r="A558" s="29"/>
      <c r="B558" s="25"/>
      <c r="C558" s="25"/>
      <c r="D558" s="73"/>
      <c r="E558" s="71"/>
      <c r="F558" s="71">
        <f t="shared" si="19"/>
        <v>0</v>
      </c>
      <c r="G558" s="74"/>
    </row>
    <row r="559" spans="1:7" ht="15.6" x14ac:dyDescent="0.3">
      <c r="A559" s="29"/>
      <c r="B559" s="25"/>
      <c r="C559" s="25"/>
      <c r="D559" s="73"/>
      <c r="E559" s="71"/>
      <c r="F559" s="71">
        <f t="shared" si="19"/>
        <v>0</v>
      </c>
      <c r="G559" s="74"/>
    </row>
    <row r="560" spans="1:7" ht="15.6" x14ac:dyDescent="0.3">
      <c r="A560" s="29"/>
      <c r="B560" s="27"/>
      <c r="C560" s="27"/>
      <c r="D560" s="73"/>
      <c r="E560" s="71"/>
      <c r="F560" s="71">
        <f t="shared" si="19"/>
        <v>0</v>
      </c>
      <c r="G560" s="70"/>
    </row>
    <row r="561" spans="1:7" ht="15.6" x14ac:dyDescent="0.3">
      <c r="A561" s="29"/>
      <c r="B561" s="27"/>
      <c r="C561" s="27"/>
      <c r="D561" s="73"/>
      <c r="E561" s="71"/>
      <c r="F561" s="71">
        <f>A561*E561</f>
        <v>0</v>
      </c>
      <c r="G561" s="70"/>
    </row>
    <row r="562" spans="1:7" ht="15.6" x14ac:dyDescent="0.3">
      <c r="A562" s="29"/>
      <c r="B562" s="27"/>
      <c r="C562" s="27"/>
      <c r="D562" s="73"/>
      <c r="E562" s="71"/>
      <c r="F562" s="71">
        <f>A562*E562</f>
        <v>0</v>
      </c>
      <c r="G562" s="70"/>
    </row>
    <row r="563" spans="1:7" ht="15.6" x14ac:dyDescent="0.3">
      <c r="A563" s="29"/>
      <c r="B563" s="27"/>
      <c r="C563" s="27"/>
      <c r="D563" s="73"/>
      <c r="E563" s="71"/>
      <c r="F563" s="71">
        <f t="shared" ref="F563:F571" si="20">A563*E563</f>
        <v>0</v>
      </c>
      <c r="G563" s="70"/>
    </row>
    <row r="564" spans="1:7" ht="15.6" x14ac:dyDescent="0.3">
      <c r="A564" s="26"/>
      <c r="B564" s="27"/>
      <c r="C564" s="27"/>
      <c r="D564" s="73"/>
      <c r="E564" s="71"/>
      <c r="F564" s="71">
        <f t="shared" si="20"/>
        <v>0</v>
      </c>
      <c r="G564" s="70"/>
    </row>
    <row r="565" spans="1:7" ht="15.6" x14ac:dyDescent="0.3">
      <c r="A565" s="26"/>
      <c r="B565" s="27"/>
      <c r="C565" s="27"/>
      <c r="D565" s="99"/>
      <c r="E565" s="71"/>
      <c r="F565" s="71">
        <f t="shared" si="20"/>
        <v>0</v>
      </c>
      <c r="G565" s="70"/>
    </row>
    <row r="566" spans="1:7" ht="15.6" x14ac:dyDescent="0.3">
      <c r="A566" s="26"/>
      <c r="B566" s="25"/>
      <c r="C566" s="25"/>
      <c r="D566" s="72"/>
      <c r="E566" s="71"/>
      <c r="F566" s="71">
        <f t="shared" si="20"/>
        <v>0</v>
      </c>
      <c r="G566" s="70"/>
    </row>
    <row r="567" spans="1:7" ht="15.6" x14ac:dyDescent="0.3">
      <c r="A567" s="26"/>
      <c r="B567" s="25"/>
      <c r="C567" s="25"/>
      <c r="D567" s="72"/>
      <c r="E567" s="71"/>
      <c r="F567" s="71">
        <f t="shared" si="20"/>
        <v>0</v>
      </c>
      <c r="G567" s="70"/>
    </row>
    <row r="568" spans="1:7" ht="15.6" x14ac:dyDescent="0.3">
      <c r="A568" s="26"/>
      <c r="B568" s="25"/>
      <c r="C568" s="25"/>
      <c r="D568" s="72"/>
      <c r="E568" s="71"/>
      <c r="F568" s="71">
        <f t="shared" si="20"/>
        <v>0</v>
      </c>
      <c r="G568" s="70"/>
    </row>
    <row r="569" spans="1:7" ht="15.6" x14ac:dyDescent="0.3">
      <c r="A569" s="26"/>
      <c r="B569" s="25"/>
      <c r="C569" s="25"/>
      <c r="D569" s="72"/>
      <c r="E569" s="71"/>
      <c r="F569" s="71">
        <f t="shared" si="20"/>
        <v>0</v>
      </c>
      <c r="G569" s="70"/>
    </row>
    <row r="570" spans="1:7" ht="15.6" x14ac:dyDescent="0.3">
      <c r="A570" s="26"/>
      <c r="B570" s="25"/>
      <c r="C570" s="25"/>
      <c r="D570" s="72"/>
      <c r="E570" s="71"/>
      <c r="F570" s="71">
        <f t="shared" si="20"/>
        <v>0</v>
      </c>
      <c r="G570" s="70"/>
    </row>
    <row r="571" spans="1:7" ht="15.6" x14ac:dyDescent="0.3">
      <c r="A571" s="21"/>
      <c r="B571" s="20"/>
      <c r="C571" s="20"/>
      <c r="D571" s="69"/>
      <c r="E571" s="68"/>
      <c r="F571" s="68">
        <f t="shared" si="20"/>
        <v>0</v>
      </c>
      <c r="G571" s="67"/>
    </row>
    <row r="572" spans="1:7" ht="17.399999999999999" x14ac:dyDescent="0.3">
      <c r="A572" s="17"/>
      <c r="B572" s="16"/>
      <c r="C572" s="9" t="s">
        <v>8</v>
      </c>
      <c r="D572" s="9"/>
      <c r="E572" s="66"/>
      <c r="F572" s="105">
        <f>SUM(F557:F570)</f>
        <v>3000</v>
      </c>
      <c r="G572" s="64"/>
    </row>
    <row r="573" spans="1:7" ht="17.399999999999999" x14ac:dyDescent="0.3">
      <c r="A573" s="11"/>
      <c r="B573" s="10"/>
      <c r="C573" s="63" t="s">
        <v>7</v>
      </c>
      <c r="D573" s="63"/>
      <c r="E573" s="62"/>
      <c r="F573" s="104">
        <f>F572*0.16</f>
        <v>480</v>
      </c>
      <c r="G573" s="60"/>
    </row>
    <row r="574" spans="1:7" ht="17.399999999999999" x14ac:dyDescent="0.3">
      <c r="A574" s="11"/>
      <c r="B574" s="10"/>
      <c r="C574" s="59" t="s">
        <v>6</v>
      </c>
      <c r="D574" s="59"/>
      <c r="E574" s="58"/>
      <c r="F574" s="103">
        <f>F572+F573</f>
        <v>3480</v>
      </c>
      <c r="G574" s="56"/>
    </row>
    <row r="575" spans="1:7" ht="15.6" x14ac:dyDescent="0.3">
      <c r="A575" s="6" t="s">
        <v>5</v>
      </c>
      <c r="B575" s="5"/>
      <c r="C575" s="5" t="s">
        <v>4</v>
      </c>
      <c r="D575" s="5"/>
      <c r="E575" s="5" t="s">
        <v>3</v>
      </c>
      <c r="F575" s="5"/>
      <c r="G575" s="4"/>
    </row>
    <row r="576" spans="1:7" ht="15.6" x14ac:dyDescent="0.3">
      <c r="A576" s="3" t="s">
        <v>2</v>
      </c>
      <c r="B576" s="2"/>
      <c r="C576" s="2" t="s">
        <v>39</v>
      </c>
      <c r="D576" s="2"/>
      <c r="E576" s="2" t="s">
        <v>70</v>
      </c>
      <c r="F576" s="2"/>
      <c r="G576" s="1"/>
    </row>
    <row r="579" spans="1:7" ht="24.6" x14ac:dyDescent="0.3">
      <c r="A579" s="271" t="s">
        <v>38</v>
      </c>
      <c r="B579" s="302"/>
      <c r="C579" s="272"/>
      <c r="D579" s="305" t="s">
        <v>37</v>
      </c>
      <c r="E579" s="306"/>
      <c r="F579" s="306"/>
      <c r="G579" s="307"/>
    </row>
    <row r="580" spans="1:7" ht="21" x14ac:dyDescent="0.4">
      <c r="A580" s="273"/>
      <c r="B580" s="303"/>
      <c r="C580" s="274"/>
      <c r="D580" s="51" t="s">
        <v>36</v>
      </c>
      <c r="E580" s="308" t="s">
        <v>593</v>
      </c>
      <c r="F580" s="282"/>
      <c r="G580" s="50"/>
    </row>
    <row r="581" spans="1:7" ht="21" x14ac:dyDescent="0.4">
      <c r="A581" s="273"/>
      <c r="B581" s="303"/>
      <c r="C581" s="274"/>
      <c r="D581" s="51" t="s">
        <v>51</v>
      </c>
      <c r="E581" s="284">
        <v>22</v>
      </c>
      <c r="F581" s="282"/>
      <c r="G581" s="50"/>
    </row>
    <row r="582" spans="1:7" ht="30" x14ac:dyDescent="0.3">
      <c r="A582" s="275"/>
      <c r="B582" s="304"/>
      <c r="C582" s="276"/>
      <c r="D582" s="47" t="s">
        <v>50</v>
      </c>
      <c r="E582" s="287" t="s">
        <v>612</v>
      </c>
      <c r="F582" s="287"/>
      <c r="G582" s="87"/>
    </row>
    <row r="583" spans="1:7" ht="20.399999999999999" x14ac:dyDescent="0.35">
      <c r="A583" s="39" t="s">
        <v>48</v>
      </c>
      <c r="B583" s="43" t="s">
        <v>47</v>
      </c>
      <c r="C583" s="42"/>
      <c r="D583" s="42"/>
      <c r="E583" s="86" t="s">
        <v>613</v>
      </c>
      <c r="F583" s="85"/>
      <c r="G583" s="84"/>
    </row>
    <row r="584" spans="1:7" ht="20.399999999999999" x14ac:dyDescent="0.35">
      <c r="A584" s="39" t="s">
        <v>487</v>
      </c>
      <c r="B584" s="38" t="s">
        <v>403</v>
      </c>
      <c r="C584" s="37"/>
      <c r="D584" s="37"/>
      <c r="E584" s="83"/>
      <c r="F584" s="82"/>
      <c r="G584" s="81"/>
    </row>
    <row r="585" spans="1:7" ht="20.399999999999999" x14ac:dyDescent="0.35">
      <c r="A585" s="39" t="s">
        <v>46</v>
      </c>
      <c r="B585" s="38" t="s">
        <v>605</v>
      </c>
      <c r="C585" s="37"/>
      <c r="D585" s="37"/>
      <c r="E585" s="80"/>
      <c r="F585" s="79"/>
      <c r="G585" s="78"/>
    </row>
    <row r="586" spans="1:7" ht="20.399999999999999" x14ac:dyDescent="0.35">
      <c r="A586" s="39" t="s">
        <v>28</v>
      </c>
      <c r="B586" s="38" t="s">
        <v>77</v>
      </c>
      <c r="C586" s="37"/>
      <c r="D586" s="37"/>
      <c r="E586" s="37"/>
      <c r="F586" s="37"/>
      <c r="G586" s="77"/>
    </row>
    <row r="587" spans="1:7" ht="15" x14ac:dyDescent="0.3">
      <c r="A587" s="34" t="s">
        <v>26</v>
      </c>
      <c r="B587" s="34" t="s">
        <v>25</v>
      </c>
      <c r="C587" s="34" t="s">
        <v>24</v>
      </c>
      <c r="D587" s="34" t="s">
        <v>43</v>
      </c>
      <c r="E587" s="34" t="s">
        <v>42</v>
      </c>
      <c r="F587" s="34" t="s">
        <v>22</v>
      </c>
      <c r="G587" s="34" t="s">
        <v>21</v>
      </c>
    </row>
    <row r="588" spans="1:7" ht="15.6" x14ac:dyDescent="0.3">
      <c r="A588" s="33">
        <v>6</v>
      </c>
      <c r="B588" s="32" t="s">
        <v>10</v>
      </c>
      <c r="C588" s="32" t="s">
        <v>496</v>
      </c>
      <c r="D588" s="76" t="s">
        <v>497</v>
      </c>
      <c r="E588" s="178">
        <v>1265.27</v>
      </c>
      <c r="F588" s="178">
        <f t="shared" ref="F588:F602" si="21">A588*E588</f>
        <v>7591.62</v>
      </c>
      <c r="G588" s="74"/>
    </row>
    <row r="589" spans="1:7" ht="31.2" x14ac:dyDescent="0.3">
      <c r="A589" s="29">
        <v>5</v>
      </c>
      <c r="B589" s="25" t="s">
        <v>10</v>
      </c>
      <c r="C589" s="25" t="s">
        <v>498</v>
      </c>
      <c r="D589" s="73" t="s">
        <v>499</v>
      </c>
      <c r="E589" s="179">
        <v>289.23</v>
      </c>
      <c r="F589" s="179">
        <f t="shared" si="21"/>
        <v>1446.15</v>
      </c>
      <c r="G589" s="74"/>
    </row>
    <row r="590" spans="1:7" ht="15.6" x14ac:dyDescent="0.3">
      <c r="A590" s="29"/>
      <c r="B590" s="25"/>
      <c r="C590" s="25"/>
      <c r="D590" s="73"/>
      <c r="E590" s="179"/>
      <c r="F590" s="179">
        <f t="shared" si="21"/>
        <v>0</v>
      </c>
      <c r="G590" s="74"/>
    </row>
    <row r="591" spans="1:7" ht="15.6" x14ac:dyDescent="0.3">
      <c r="A591" s="29"/>
      <c r="B591" s="27"/>
      <c r="C591" s="27"/>
      <c r="D591" s="73"/>
      <c r="E591" s="179"/>
      <c r="F591" s="179">
        <f t="shared" si="21"/>
        <v>0</v>
      </c>
      <c r="G591" s="70"/>
    </row>
    <row r="592" spans="1:7" ht="15.6" x14ac:dyDescent="0.3">
      <c r="A592" s="29"/>
      <c r="B592" s="27"/>
      <c r="C592" s="27"/>
      <c r="D592" s="73"/>
      <c r="E592" s="179"/>
      <c r="F592" s="179">
        <f t="shared" si="21"/>
        <v>0</v>
      </c>
      <c r="G592" s="70"/>
    </row>
    <row r="593" spans="1:7" ht="15.6" x14ac:dyDescent="0.3">
      <c r="A593" s="29"/>
      <c r="B593" s="27"/>
      <c r="C593" s="27"/>
      <c r="D593" s="73"/>
      <c r="E593" s="179"/>
      <c r="F593" s="179">
        <f t="shared" si="21"/>
        <v>0</v>
      </c>
      <c r="G593" s="70"/>
    </row>
    <row r="594" spans="1:7" ht="15.6" x14ac:dyDescent="0.3">
      <c r="A594" s="29"/>
      <c r="B594" s="27"/>
      <c r="C594" s="27"/>
      <c r="D594" s="73"/>
      <c r="E594" s="179"/>
      <c r="F594" s="179">
        <f t="shared" si="21"/>
        <v>0</v>
      </c>
      <c r="G594" s="70"/>
    </row>
    <row r="595" spans="1:7" ht="15.6" x14ac:dyDescent="0.3">
      <c r="A595" s="26"/>
      <c r="B595" s="27"/>
      <c r="C595" s="27"/>
      <c r="D595" s="73"/>
      <c r="E595" s="179"/>
      <c r="F595" s="179">
        <f t="shared" si="21"/>
        <v>0</v>
      </c>
      <c r="G595" s="70"/>
    </row>
    <row r="596" spans="1:7" ht="15.6" x14ac:dyDescent="0.3">
      <c r="A596" s="26"/>
      <c r="B596" s="27"/>
      <c r="C596" s="27"/>
      <c r="D596" s="73"/>
      <c r="E596" s="179"/>
      <c r="F596" s="179">
        <f t="shared" si="21"/>
        <v>0</v>
      </c>
      <c r="G596" s="70"/>
    </row>
    <row r="597" spans="1:7" ht="15.6" x14ac:dyDescent="0.3">
      <c r="A597" s="26"/>
      <c r="B597" s="25"/>
      <c r="C597" s="27"/>
      <c r="D597" s="73"/>
      <c r="E597" s="179"/>
      <c r="F597" s="179">
        <f t="shared" si="21"/>
        <v>0</v>
      </c>
      <c r="G597" s="70"/>
    </row>
    <row r="598" spans="1:7" ht="15.6" x14ac:dyDescent="0.3">
      <c r="A598" s="26"/>
      <c r="B598" s="25"/>
      <c r="C598" s="25"/>
      <c r="D598" s="72"/>
      <c r="E598" s="179"/>
      <c r="F598" s="179">
        <f t="shared" si="21"/>
        <v>0</v>
      </c>
      <c r="G598" s="70"/>
    </row>
    <row r="599" spans="1:7" ht="15.6" x14ac:dyDescent="0.3">
      <c r="A599" s="26"/>
      <c r="B599" s="25"/>
      <c r="C599" s="25"/>
      <c r="D599" s="72"/>
      <c r="E599" s="179"/>
      <c r="F599" s="179">
        <f t="shared" si="21"/>
        <v>0</v>
      </c>
      <c r="G599" s="70"/>
    </row>
    <row r="600" spans="1:7" ht="15.6" x14ac:dyDescent="0.3">
      <c r="A600" s="26"/>
      <c r="B600" s="25"/>
      <c r="C600" s="25"/>
      <c r="D600" s="72"/>
      <c r="E600" s="179"/>
      <c r="F600" s="179">
        <f t="shared" si="21"/>
        <v>0</v>
      </c>
      <c r="G600" s="70"/>
    </row>
    <row r="601" spans="1:7" ht="15.6" x14ac:dyDescent="0.3">
      <c r="A601" s="26"/>
      <c r="B601" s="25"/>
      <c r="C601" s="25"/>
      <c r="D601" s="72"/>
      <c r="E601" s="179"/>
      <c r="F601" s="179">
        <f t="shared" si="21"/>
        <v>0</v>
      </c>
      <c r="G601" s="70"/>
    </row>
    <row r="602" spans="1:7" ht="15.6" x14ac:dyDescent="0.3">
      <c r="A602" s="21"/>
      <c r="B602" s="20"/>
      <c r="C602" s="20"/>
      <c r="D602" s="69"/>
      <c r="E602" s="180"/>
      <c r="F602" s="180">
        <f t="shared" si="21"/>
        <v>0</v>
      </c>
      <c r="G602" s="67"/>
    </row>
    <row r="603" spans="1:7" ht="17.399999999999999" x14ac:dyDescent="0.3">
      <c r="A603" s="17"/>
      <c r="B603" s="16"/>
      <c r="C603" s="9" t="s">
        <v>8</v>
      </c>
      <c r="D603" s="9"/>
      <c r="E603" s="181"/>
      <c r="F603" s="182">
        <f>SUM(F588:F601)</f>
        <v>9037.77</v>
      </c>
      <c r="G603" s="64"/>
    </row>
    <row r="604" spans="1:7" ht="17.399999999999999" x14ac:dyDescent="0.3">
      <c r="A604" s="11"/>
      <c r="B604" s="10"/>
      <c r="C604" s="63" t="s">
        <v>7</v>
      </c>
      <c r="D604" s="63"/>
      <c r="E604" s="183"/>
      <c r="F604" s="184">
        <f>F603*0.16</f>
        <v>1446.0432000000001</v>
      </c>
      <c r="G604" s="60"/>
    </row>
    <row r="605" spans="1:7" ht="17.399999999999999" x14ac:dyDescent="0.3">
      <c r="A605" s="11"/>
      <c r="B605" s="10"/>
      <c r="C605" s="59" t="s">
        <v>6</v>
      </c>
      <c r="D605" s="59"/>
      <c r="E605" s="185"/>
      <c r="F605" s="186">
        <f>F603+F604</f>
        <v>10483.813200000001</v>
      </c>
      <c r="G605" s="56"/>
    </row>
    <row r="606" spans="1:7" ht="15.6" x14ac:dyDescent="0.3">
      <c r="A606" s="6" t="s">
        <v>5</v>
      </c>
      <c r="B606" s="5"/>
      <c r="C606" s="5" t="s">
        <v>4</v>
      </c>
      <c r="D606" s="5"/>
      <c r="E606" s="5" t="s">
        <v>3</v>
      </c>
      <c r="F606" s="5"/>
      <c r="G606" s="4"/>
    </row>
    <row r="607" spans="1:7" ht="15.6" x14ac:dyDescent="0.3">
      <c r="A607" s="3" t="s">
        <v>408</v>
      </c>
      <c r="B607" s="2"/>
      <c r="C607" s="2" t="s">
        <v>39</v>
      </c>
      <c r="D607" s="2"/>
      <c r="E607" s="2" t="s">
        <v>0</v>
      </c>
      <c r="F607" s="2"/>
      <c r="G607" s="1"/>
    </row>
    <row r="611" spans="1:7" ht="30" x14ac:dyDescent="0.4">
      <c r="A611" s="55"/>
      <c r="B611" s="271" t="s">
        <v>38</v>
      </c>
      <c r="C611" s="272"/>
      <c r="D611" s="54"/>
      <c r="E611" s="357" t="s">
        <v>180</v>
      </c>
      <c r="F611" s="357"/>
      <c r="G611" s="357"/>
    </row>
    <row r="612" spans="1:7" ht="30" x14ac:dyDescent="0.4">
      <c r="A612" s="53"/>
      <c r="B612" s="273"/>
      <c r="C612" s="274"/>
      <c r="D612" s="52"/>
      <c r="E612" s="187" t="s">
        <v>36</v>
      </c>
      <c r="F612" s="358" t="s">
        <v>619</v>
      </c>
      <c r="G612" s="358"/>
    </row>
    <row r="613" spans="1:7" ht="30" x14ac:dyDescent="0.4">
      <c r="A613" s="49"/>
      <c r="B613" s="275"/>
      <c r="C613" s="276"/>
      <c r="D613" s="48"/>
      <c r="E613" s="188" t="s">
        <v>34</v>
      </c>
      <c r="F613" s="359">
        <v>22</v>
      </c>
      <c r="G613" s="359"/>
    </row>
    <row r="614" spans="1:7" ht="20.399999999999999" x14ac:dyDescent="0.35">
      <c r="A614" s="39" t="s">
        <v>5</v>
      </c>
      <c r="B614" s="43" t="s">
        <v>47</v>
      </c>
      <c r="C614" s="42"/>
      <c r="D614" s="42"/>
      <c r="E614" s="190" t="s">
        <v>51</v>
      </c>
      <c r="F614" s="360" t="s">
        <v>620</v>
      </c>
      <c r="G614" s="361"/>
    </row>
    <row r="615" spans="1:7" ht="20.399999999999999" x14ac:dyDescent="0.35">
      <c r="A615" s="39" t="s">
        <v>30</v>
      </c>
      <c r="B615" s="43" t="s">
        <v>239</v>
      </c>
      <c r="C615" s="42"/>
      <c r="D615" s="42"/>
      <c r="E615" s="45"/>
      <c r="F615" s="45"/>
      <c r="G615" s="189"/>
    </row>
    <row r="616" spans="1:7" ht="20.399999999999999" x14ac:dyDescent="0.35">
      <c r="A616" s="39"/>
      <c r="B616" s="38" t="s">
        <v>362</v>
      </c>
      <c r="C616" s="37"/>
      <c r="D616" s="37"/>
      <c r="E616" s="45"/>
      <c r="F616" s="45"/>
      <c r="G616" s="189"/>
    </row>
    <row r="617" spans="1:7" ht="20.399999999999999" x14ac:dyDescent="0.35">
      <c r="A617" s="39" t="s">
        <v>28</v>
      </c>
      <c r="B617" s="38" t="s">
        <v>238</v>
      </c>
      <c r="C617" s="37"/>
      <c r="D617" s="37"/>
      <c r="E617" s="45"/>
      <c r="F617" s="45"/>
      <c r="G617" s="189"/>
    </row>
    <row r="618" spans="1:7" ht="15" x14ac:dyDescent="0.3">
      <c r="A618" s="34" t="s">
        <v>26</v>
      </c>
      <c r="B618" s="34" t="s">
        <v>25</v>
      </c>
      <c r="C618" s="34" t="s">
        <v>24</v>
      </c>
      <c r="D618" s="34" t="s">
        <v>23</v>
      </c>
      <c r="E618" s="191" t="s">
        <v>22</v>
      </c>
      <c r="F618" s="362" t="s">
        <v>21</v>
      </c>
      <c r="G618" s="363"/>
    </row>
    <row r="619" spans="1:7" ht="31.2" x14ac:dyDescent="0.3">
      <c r="A619" s="33">
        <v>150</v>
      </c>
      <c r="B619" s="32" t="s">
        <v>235</v>
      </c>
      <c r="C619" s="32" t="s">
        <v>346</v>
      </c>
      <c r="D619" s="101">
        <v>80</v>
      </c>
      <c r="E619" s="192">
        <f>+A619*D619</f>
        <v>12000</v>
      </c>
      <c r="F619" s="28"/>
      <c r="G619" s="196"/>
    </row>
    <row r="620" spans="1:7" ht="15.6" x14ac:dyDescent="0.3">
      <c r="A620" s="29"/>
      <c r="B620" s="25"/>
      <c r="C620" s="25"/>
      <c r="D620" s="100"/>
      <c r="E620" s="193">
        <f t="shared" ref="E620:E629" si="22">+A620*D620</f>
        <v>0</v>
      </c>
      <c r="F620" s="28"/>
      <c r="G620" s="196"/>
    </row>
    <row r="621" spans="1:7" ht="15.6" x14ac:dyDescent="0.3">
      <c r="A621" s="29"/>
      <c r="B621" s="25"/>
      <c r="C621" s="25"/>
      <c r="D621" s="100"/>
      <c r="E621" s="193">
        <f t="shared" si="22"/>
        <v>0</v>
      </c>
      <c r="F621" s="28"/>
      <c r="G621" s="196"/>
    </row>
    <row r="622" spans="1:7" ht="15.6" x14ac:dyDescent="0.3">
      <c r="A622" s="29"/>
      <c r="B622" s="27"/>
      <c r="C622" s="27"/>
      <c r="D622" s="100"/>
      <c r="E622" s="193">
        <f t="shared" si="22"/>
        <v>0</v>
      </c>
      <c r="F622" s="28"/>
      <c r="G622" s="196"/>
    </row>
    <row r="623" spans="1:7" ht="15.6" x14ac:dyDescent="0.3">
      <c r="A623" s="29"/>
      <c r="B623" s="27"/>
      <c r="C623" s="28"/>
      <c r="D623" s="100"/>
      <c r="E623" s="193">
        <f t="shared" si="22"/>
        <v>0</v>
      </c>
      <c r="F623" s="28"/>
      <c r="G623" s="196"/>
    </row>
    <row r="624" spans="1:7" ht="15.6" x14ac:dyDescent="0.3">
      <c r="A624" s="29"/>
      <c r="B624" s="27"/>
      <c r="C624" s="28"/>
      <c r="D624" s="100"/>
      <c r="E624" s="193">
        <f t="shared" si="22"/>
        <v>0</v>
      </c>
      <c r="F624" s="28"/>
      <c r="G624" s="196"/>
    </row>
    <row r="625" spans="1:7" ht="15.6" x14ac:dyDescent="0.3">
      <c r="A625" s="29"/>
      <c r="B625" s="27"/>
      <c r="C625" s="28"/>
      <c r="D625" s="100"/>
      <c r="E625" s="193">
        <f t="shared" si="22"/>
        <v>0</v>
      </c>
      <c r="F625" s="28"/>
      <c r="G625" s="196"/>
    </row>
    <row r="626" spans="1:7" ht="15.6" x14ac:dyDescent="0.3">
      <c r="A626" s="26"/>
      <c r="B626" s="27"/>
      <c r="C626" s="27"/>
      <c r="D626" s="100"/>
      <c r="E626" s="193">
        <f t="shared" si="22"/>
        <v>0</v>
      </c>
      <c r="F626" s="28"/>
      <c r="G626" s="196"/>
    </row>
    <row r="627" spans="1:7" ht="15.6" x14ac:dyDescent="0.3">
      <c r="A627" s="26"/>
      <c r="B627" s="27"/>
      <c r="C627" s="27"/>
      <c r="D627" s="100"/>
      <c r="E627" s="193">
        <f t="shared" si="22"/>
        <v>0</v>
      </c>
      <c r="F627" s="28"/>
      <c r="G627" s="196"/>
    </row>
    <row r="628" spans="1:7" ht="15.6" x14ac:dyDescent="0.3">
      <c r="A628" s="26"/>
      <c r="B628" s="25"/>
      <c r="C628" s="25"/>
      <c r="D628" s="100"/>
      <c r="E628" s="193">
        <f t="shared" si="22"/>
        <v>0</v>
      </c>
      <c r="F628" s="28"/>
      <c r="G628" s="196"/>
    </row>
    <row r="629" spans="1:7" ht="15.6" x14ac:dyDescent="0.3">
      <c r="A629" s="26"/>
      <c r="B629" s="25"/>
      <c r="C629" s="25"/>
      <c r="D629" s="100"/>
      <c r="E629" s="193">
        <f t="shared" si="22"/>
        <v>0</v>
      </c>
      <c r="F629" s="28"/>
      <c r="G629" s="196"/>
    </row>
    <row r="630" spans="1:7" ht="15.6" x14ac:dyDescent="0.3">
      <c r="A630" s="26"/>
      <c r="B630" s="25"/>
      <c r="C630" s="25"/>
      <c r="D630" s="100"/>
      <c r="E630" s="194"/>
      <c r="F630" s="28"/>
      <c r="G630" s="196"/>
    </row>
    <row r="631" spans="1:7" ht="15.6" x14ac:dyDescent="0.3">
      <c r="A631" s="26"/>
      <c r="B631" s="25"/>
      <c r="C631" s="25"/>
      <c r="D631" s="100"/>
      <c r="E631" s="194"/>
      <c r="F631" s="28"/>
      <c r="G631" s="196"/>
    </row>
    <row r="632" spans="1:7" ht="15.6" x14ac:dyDescent="0.3">
      <c r="A632" s="26"/>
      <c r="B632" s="25"/>
      <c r="C632" s="25"/>
      <c r="D632" s="72"/>
      <c r="E632" s="194"/>
      <c r="F632" s="28"/>
      <c r="G632" s="196"/>
    </row>
    <row r="633" spans="1:7" ht="15.6" x14ac:dyDescent="0.3">
      <c r="A633" s="21"/>
      <c r="B633" s="20"/>
      <c r="C633" s="20"/>
      <c r="D633" s="69"/>
      <c r="E633" s="195"/>
      <c r="F633" s="18"/>
      <c r="G633" s="196"/>
    </row>
    <row r="634" spans="1:7" ht="17.399999999999999" x14ac:dyDescent="0.3">
      <c r="A634" s="17"/>
      <c r="B634" s="16"/>
      <c r="C634" s="294" t="s">
        <v>8</v>
      </c>
      <c r="D634" s="294"/>
      <c r="E634" s="15">
        <f>+SUM(E619:E630)</f>
        <v>12000</v>
      </c>
      <c r="F634" s="197"/>
      <c r="G634" s="196"/>
    </row>
    <row r="635" spans="1:7" ht="17.399999999999999" x14ac:dyDescent="0.3">
      <c r="A635" s="11"/>
      <c r="B635" s="10"/>
      <c r="C635" s="294" t="s">
        <v>7</v>
      </c>
      <c r="D635" s="294"/>
      <c r="E635" s="13">
        <f>+E634*0.16</f>
        <v>1920</v>
      </c>
      <c r="F635" s="198"/>
      <c r="G635" s="196"/>
    </row>
    <row r="636" spans="1:7" ht="17.399999999999999" x14ac:dyDescent="0.3">
      <c r="A636" s="11"/>
      <c r="B636" s="10"/>
      <c r="C636" s="294" t="s">
        <v>6</v>
      </c>
      <c r="D636" s="294"/>
      <c r="E636" s="8">
        <f>+E634+E635</f>
        <v>13920</v>
      </c>
      <c r="F636" s="199"/>
      <c r="G636" s="196"/>
    </row>
    <row r="637" spans="1:7" ht="15.6" x14ac:dyDescent="0.3">
      <c r="A637" s="6" t="s">
        <v>5</v>
      </c>
      <c r="B637" s="5"/>
      <c r="C637" s="5" t="s">
        <v>4</v>
      </c>
      <c r="D637" s="5"/>
      <c r="E637" s="5"/>
      <c r="F637" s="200" t="s">
        <v>3</v>
      </c>
      <c r="G637" s="196"/>
    </row>
    <row r="638" spans="1:7" ht="15.6" x14ac:dyDescent="0.3">
      <c r="A638" s="3" t="s">
        <v>2</v>
      </c>
      <c r="B638" s="2"/>
      <c r="C638" s="2" t="s">
        <v>1</v>
      </c>
      <c r="D638" s="2"/>
      <c r="E638" s="2"/>
      <c r="F638" s="201" t="s">
        <v>70</v>
      </c>
      <c r="G638" s="202"/>
    </row>
    <row r="641" spans="1:7" ht="24.6" x14ac:dyDescent="0.3">
      <c r="A641" s="271" t="s">
        <v>38</v>
      </c>
      <c r="B641" s="302"/>
      <c r="C641" s="272"/>
      <c r="D641" s="305" t="s">
        <v>37</v>
      </c>
      <c r="E641" s="306"/>
      <c r="F641" s="306"/>
      <c r="G641" s="307"/>
    </row>
    <row r="642" spans="1:7" ht="21" x14ac:dyDescent="0.4">
      <c r="A642" s="273"/>
      <c r="B642" s="303"/>
      <c r="C642" s="274"/>
      <c r="D642" s="51" t="s">
        <v>36</v>
      </c>
      <c r="E642" s="308" t="s">
        <v>619</v>
      </c>
      <c r="F642" s="282"/>
      <c r="G642" s="50"/>
    </row>
    <row r="643" spans="1:7" ht="21" x14ac:dyDescent="0.4">
      <c r="A643" s="273"/>
      <c r="B643" s="303"/>
      <c r="C643" s="274"/>
      <c r="D643" s="51" t="s">
        <v>51</v>
      </c>
      <c r="E643" s="284">
        <v>22</v>
      </c>
      <c r="F643" s="282"/>
      <c r="G643" s="50"/>
    </row>
    <row r="644" spans="1:7" ht="30" x14ac:dyDescent="0.3">
      <c r="A644" s="275"/>
      <c r="B644" s="304"/>
      <c r="C644" s="276"/>
      <c r="D644" s="47" t="s">
        <v>50</v>
      </c>
      <c r="E644" s="287" t="s">
        <v>622</v>
      </c>
      <c r="F644" s="287"/>
      <c r="G644" s="87"/>
    </row>
    <row r="645" spans="1:7" ht="20.399999999999999" x14ac:dyDescent="0.35">
      <c r="A645" s="39" t="s">
        <v>48</v>
      </c>
      <c r="B645" s="43" t="s">
        <v>0</v>
      </c>
      <c r="C645" s="42"/>
      <c r="D645" s="42"/>
      <c r="E645" s="309"/>
      <c r="F645" s="310"/>
      <c r="G645" s="311"/>
    </row>
    <row r="646" spans="1:7" ht="20.399999999999999" x14ac:dyDescent="0.35">
      <c r="A646" s="39" t="s">
        <v>30</v>
      </c>
      <c r="B646" s="38"/>
      <c r="C646" s="37"/>
      <c r="D646" s="37"/>
      <c r="E646" s="312"/>
      <c r="F646" s="313"/>
      <c r="G646" s="314"/>
    </row>
    <row r="647" spans="1:7" ht="20.399999999999999" x14ac:dyDescent="0.35">
      <c r="A647" s="39" t="s">
        <v>46</v>
      </c>
      <c r="B647" s="38" t="s">
        <v>362</v>
      </c>
      <c r="C647" s="37"/>
      <c r="D647" s="37"/>
      <c r="E647" s="315"/>
      <c r="F647" s="316"/>
      <c r="G647" s="317"/>
    </row>
    <row r="648" spans="1:7" ht="20.399999999999999" x14ac:dyDescent="0.35">
      <c r="A648" s="39" t="s">
        <v>28</v>
      </c>
      <c r="B648" s="38" t="s">
        <v>242</v>
      </c>
      <c r="C648" s="37"/>
      <c r="D648" s="37"/>
      <c r="E648" s="37"/>
      <c r="F648" s="37"/>
      <c r="G648" s="77"/>
    </row>
    <row r="649" spans="1:7" ht="15" x14ac:dyDescent="0.3">
      <c r="A649" s="34" t="s">
        <v>26</v>
      </c>
      <c r="B649" s="34" t="s">
        <v>25</v>
      </c>
      <c r="C649" s="34" t="s">
        <v>24</v>
      </c>
      <c r="D649" s="34" t="s">
        <v>43</v>
      </c>
      <c r="E649" s="34" t="s">
        <v>42</v>
      </c>
      <c r="F649" s="34" t="s">
        <v>22</v>
      </c>
      <c r="G649" s="34" t="s">
        <v>21</v>
      </c>
    </row>
    <row r="650" spans="1:7" ht="31.2" x14ac:dyDescent="0.3">
      <c r="A650" s="33">
        <v>55</v>
      </c>
      <c r="B650" s="32" t="s">
        <v>19</v>
      </c>
      <c r="C650" s="32" t="s">
        <v>518</v>
      </c>
      <c r="D650" s="76"/>
      <c r="E650" s="75">
        <f>142*1.62</f>
        <v>230.04000000000002</v>
      </c>
      <c r="F650" s="75">
        <f>A650*E650</f>
        <v>12652.2</v>
      </c>
      <c r="G650" s="74"/>
    </row>
    <row r="651" spans="1:7" ht="15.6" x14ac:dyDescent="0.3">
      <c r="A651" s="29"/>
      <c r="B651" s="25"/>
      <c r="C651" s="25" t="s">
        <v>556</v>
      </c>
      <c r="D651" s="73"/>
      <c r="E651" s="71"/>
      <c r="F651" s="71">
        <f t="shared" ref="F651:F664" si="23">A651*E651</f>
        <v>0</v>
      </c>
      <c r="G651" s="74"/>
    </row>
    <row r="652" spans="1:7" ht="15.6" x14ac:dyDescent="0.3">
      <c r="A652" s="29"/>
      <c r="B652" s="25"/>
      <c r="C652" s="25"/>
      <c r="D652" s="73"/>
      <c r="E652" s="71"/>
      <c r="F652" s="71">
        <f t="shared" si="23"/>
        <v>0</v>
      </c>
      <c r="G652" s="74"/>
    </row>
    <row r="653" spans="1:7" ht="15.6" x14ac:dyDescent="0.3">
      <c r="A653" s="29"/>
      <c r="B653" s="27"/>
      <c r="C653" s="27"/>
      <c r="D653" s="73"/>
      <c r="E653" s="71"/>
      <c r="F653" s="71">
        <f t="shared" si="23"/>
        <v>0</v>
      </c>
      <c r="G653" s="70"/>
    </row>
    <row r="654" spans="1:7" ht="15.6" x14ac:dyDescent="0.3">
      <c r="A654" s="29"/>
      <c r="B654" s="27"/>
      <c r="C654" s="27"/>
      <c r="D654" s="73"/>
      <c r="E654" s="71"/>
      <c r="F654" s="71">
        <f t="shared" si="23"/>
        <v>0</v>
      </c>
      <c r="G654" s="70"/>
    </row>
    <row r="655" spans="1:7" ht="15.6" x14ac:dyDescent="0.3">
      <c r="A655" s="29"/>
      <c r="B655" s="27"/>
      <c r="C655" s="27"/>
      <c r="D655" s="73"/>
      <c r="E655" s="71"/>
      <c r="F655" s="71">
        <f t="shared" si="23"/>
        <v>0</v>
      </c>
      <c r="G655" s="70"/>
    </row>
    <row r="656" spans="1:7" ht="15.6" x14ac:dyDescent="0.3">
      <c r="A656" s="29"/>
      <c r="B656" s="27"/>
      <c r="C656" s="27"/>
      <c r="D656" s="73"/>
      <c r="E656" s="71"/>
      <c r="F656" s="71">
        <f t="shared" si="23"/>
        <v>0</v>
      </c>
      <c r="G656" s="70"/>
    </row>
    <row r="657" spans="1:7" ht="15.6" x14ac:dyDescent="0.3">
      <c r="A657" s="26"/>
      <c r="B657" s="27"/>
      <c r="C657" s="27"/>
      <c r="D657" s="73"/>
      <c r="E657" s="71"/>
      <c r="F657" s="71">
        <f t="shared" si="23"/>
        <v>0</v>
      </c>
      <c r="G657" s="70"/>
    </row>
    <row r="658" spans="1:7" ht="15.6" x14ac:dyDescent="0.3">
      <c r="A658" s="26"/>
      <c r="B658" s="27"/>
      <c r="C658" s="27"/>
      <c r="D658" s="99"/>
      <c r="E658" s="71"/>
      <c r="F658" s="71">
        <f t="shared" si="23"/>
        <v>0</v>
      </c>
      <c r="G658" s="70"/>
    </row>
    <row r="659" spans="1:7" ht="15.6" x14ac:dyDescent="0.3">
      <c r="A659" s="26"/>
      <c r="B659" s="25"/>
      <c r="C659" s="25"/>
      <c r="D659" s="72"/>
      <c r="E659" s="71"/>
      <c r="F659" s="71">
        <f t="shared" si="23"/>
        <v>0</v>
      </c>
      <c r="G659" s="70"/>
    </row>
    <row r="660" spans="1:7" ht="15.6" x14ac:dyDescent="0.3">
      <c r="A660" s="26"/>
      <c r="B660" s="25"/>
      <c r="C660" s="25"/>
      <c r="D660" s="72"/>
      <c r="E660" s="71"/>
      <c r="F660" s="71">
        <f t="shared" si="23"/>
        <v>0</v>
      </c>
      <c r="G660" s="70"/>
    </row>
    <row r="661" spans="1:7" ht="15.6" x14ac:dyDescent="0.3">
      <c r="A661" s="26"/>
      <c r="B661" s="25"/>
      <c r="C661" s="25"/>
      <c r="D661" s="72"/>
      <c r="E661" s="71"/>
      <c r="F661" s="71">
        <f t="shared" si="23"/>
        <v>0</v>
      </c>
      <c r="G661" s="70"/>
    </row>
    <row r="662" spans="1:7" ht="15.6" x14ac:dyDescent="0.3">
      <c r="A662" s="26"/>
      <c r="B662" s="25"/>
      <c r="C662" s="25"/>
      <c r="D662" s="72"/>
      <c r="E662" s="71"/>
      <c r="F662" s="71">
        <f t="shared" si="23"/>
        <v>0</v>
      </c>
      <c r="G662" s="70"/>
    </row>
    <row r="663" spans="1:7" ht="15.6" x14ac:dyDescent="0.3">
      <c r="A663" s="26"/>
      <c r="B663" s="25"/>
      <c r="C663" s="25"/>
      <c r="D663" s="72"/>
      <c r="E663" s="71"/>
      <c r="F663" s="71">
        <f t="shared" si="23"/>
        <v>0</v>
      </c>
      <c r="G663" s="70"/>
    </row>
    <row r="664" spans="1:7" ht="15.6" x14ac:dyDescent="0.3">
      <c r="A664" s="21"/>
      <c r="B664" s="20"/>
      <c r="C664" s="20"/>
      <c r="D664" s="69"/>
      <c r="E664" s="68"/>
      <c r="F664" s="68">
        <f t="shared" si="23"/>
        <v>0</v>
      </c>
      <c r="G664" s="67"/>
    </row>
    <row r="665" spans="1:7" ht="17.399999999999999" x14ac:dyDescent="0.3">
      <c r="A665" s="17"/>
      <c r="B665" s="16"/>
      <c r="C665" s="9" t="s">
        <v>8</v>
      </c>
      <c r="D665" s="9"/>
      <c r="E665" s="66"/>
      <c r="F665" s="105">
        <f>SUM(F650:F663)</f>
        <v>12652.2</v>
      </c>
      <c r="G665" s="64"/>
    </row>
    <row r="666" spans="1:7" ht="17.399999999999999" x14ac:dyDescent="0.3">
      <c r="A666" s="11"/>
      <c r="B666" s="10"/>
      <c r="C666" s="63" t="s">
        <v>7</v>
      </c>
      <c r="D666" s="63"/>
      <c r="E666" s="62"/>
      <c r="F666" s="104">
        <f>F665*0.16</f>
        <v>2024.3520000000001</v>
      </c>
      <c r="G666" s="60"/>
    </row>
    <row r="667" spans="1:7" ht="17.399999999999999" x14ac:dyDescent="0.3">
      <c r="A667" s="11"/>
      <c r="B667" s="10"/>
      <c r="C667" s="59" t="s">
        <v>6</v>
      </c>
      <c r="D667" s="59"/>
      <c r="E667" s="58"/>
      <c r="F667" s="103">
        <f>F665+F666</f>
        <v>14676.552000000001</v>
      </c>
      <c r="G667" s="56"/>
    </row>
    <row r="668" spans="1:7" ht="15.6" x14ac:dyDescent="0.3">
      <c r="A668" s="6" t="s">
        <v>5</v>
      </c>
      <c r="B668" s="5"/>
      <c r="C668" s="5" t="s">
        <v>4</v>
      </c>
      <c r="D668" s="5"/>
      <c r="E668" s="5" t="s">
        <v>3</v>
      </c>
      <c r="F668" s="5"/>
      <c r="G668" s="4"/>
    </row>
    <row r="669" spans="1:7" ht="15.6" x14ac:dyDescent="0.3">
      <c r="A669" s="3" t="s">
        <v>2</v>
      </c>
      <c r="B669" s="2"/>
      <c r="C669" s="2" t="s">
        <v>39</v>
      </c>
      <c r="D669" s="2"/>
      <c r="E669" s="2" t="s">
        <v>0</v>
      </c>
      <c r="F669" s="2"/>
      <c r="G669" s="1"/>
    </row>
    <row r="672" spans="1:7" ht="24.6" x14ac:dyDescent="0.3">
      <c r="A672" s="271" t="s">
        <v>38</v>
      </c>
      <c r="B672" s="302"/>
      <c r="C672" s="272"/>
      <c r="D672" s="305" t="s">
        <v>116</v>
      </c>
      <c r="E672" s="306"/>
      <c r="F672" s="306"/>
      <c r="G672" s="307"/>
    </row>
    <row r="673" spans="1:7" ht="21" x14ac:dyDescent="0.4">
      <c r="A673" s="273"/>
      <c r="B673" s="303"/>
      <c r="C673" s="274"/>
      <c r="D673" s="51" t="s">
        <v>36</v>
      </c>
      <c r="E673" s="308" t="s">
        <v>619</v>
      </c>
      <c r="F673" s="282"/>
      <c r="G673" s="50"/>
    </row>
    <row r="674" spans="1:7" ht="21" x14ac:dyDescent="0.4">
      <c r="A674" s="273"/>
      <c r="B674" s="303"/>
      <c r="C674" s="274"/>
      <c r="D674" s="51" t="s">
        <v>51</v>
      </c>
      <c r="E674" s="284">
        <v>22</v>
      </c>
      <c r="F674" s="282"/>
      <c r="G674" s="50"/>
    </row>
    <row r="675" spans="1:7" ht="30" x14ac:dyDescent="0.3">
      <c r="A675" s="275"/>
      <c r="B675" s="304"/>
      <c r="C675" s="276"/>
      <c r="D675" s="47" t="s">
        <v>50</v>
      </c>
      <c r="E675" s="287" t="s">
        <v>623</v>
      </c>
      <c r="F675" s="287"/>
      <c r="G675" s="87"/>
    </row>
    <row r="676" spans="1:7" ht="20.399999999999999" x14ac:dyDescent="0.35">
      <c r="A676" s="39" t="s">
        <v>48</v>
      </c>
      <c r="B676" s="43" t="s">
        <v>47</v>
      </c>
      <c r="C676" s="42"/>
      <c r="D676" s="42"/>
      <c r="E676" s="42"/>
      <c r="F676" s="42"/>
      <c r="G676" s="106"/>
    </row>
    <row r="677" spans="1:7" ht="20.399999999999999" x14ac:dyDescent="0.35">
      <c r="A677" s="39" t="s">
        <v>30</v>
      </c>
      <c r="B677" s="38"/>
      <c r="C677" s="37"/>
      <c r="D677" s="37"/>
      <c r="E677" s="37"/>
      <c r="F677" s="37"/>
      <c r="G677" s="77"/>
    </row>
    <row r="678" spans="1:7" ht="20.399999999999999" x14ac:dyDescent="0.35">
      <c r="A678" s="39" t="s">
        <v>46</v>
      </c>
      <c r="B678" s="291" t="s">
        <v>362</v>
      </c>
      <c r="C678" s="292"/>
      <c r="D678" s="292"/>
      <c r="E678" s="292"/>
      <c r="F678" s="292"/>
      <c r="G678" s="293"/>
    </row>
    <row r="679" spans="1:7" ht="20.399999999999999" x14ac:dyDescent="0.35">
      <c r="A679" s="39" t="s">
        <v>28</v>
      </c>
      <c r="B679" s="38" t="s">
        <v>97</v>
      </c>
      <c r="C679" s="37"/>
      <c r="D679" s="37"/>
      <c r="E679" s="37"/>
      <c r="F679" s="37"/>
      <c r="G679" s="77"/>
    </row>
    <row r="680" spans="1:7" ht="15" x14ac:dyDescent="0.3">
      <c r="A680" s="34" t="s">
        <v>26</v>
      </c>
      <c r="B680" s="34" t="s">
        <v>25</v>
      </c>
      <c r="C680" s="34" t="s">
        <v>24</v>
      </c>
      <c r="D680" s="34" t="s">
        <v>43</v>
      </c>
      <c r="E680" s="34" t="s">
        <v>42</v>
      </c>
      <c r="F680" s="34" t="s">
        <v>22</v>
      </c>
      <c r="G680" s="34" t="s">
        <v>21</v>
      </c>
    </row>
    <row r="681" spans="1:7" ht="15.6" x14ac:dyDescent="0.3">
      <c r="A681" s="33"/>
      <c r="B681" s="32"/>
      <c r="C681" s="32"/>
      <c r="D681" s="76"/>
      <c r="E681" s="75"/>
      <c r="F681" s="75">
        <f t="shared" ref="F681:F695" si="24">A681*E681</f>
        <v>0</v>
      </c>
      <c r="G681" s="74"/>
    </row>
    <row r="682" spans="1:7" ht="15.6" x14ac:dyDescent="0.3">
      <c r="A682" s="29"/>
      <c r="B682" s="25"/>
      <c r="C682" s="25"/>
      <c r="D682" s="73"/>
      <c r="E682" s="247"/>
      <c r="F682" s="247">
        <f t="shared" si="24"/>
        <v>0</v>
      </c>
      <c r="G682" s="74"/>
    </row>
    <row r="683" spans="1:7" ht="31.2" x14ac:dyDescent="0.3">
      <c r="A683" s="29">
        <v>40</v>
      </c>
      <c r="B683" s="25" t="s">
        <v>10</v>
      </c>
      <c r="C683" s="25" t="s">
        <v>531</v>
      </c>
      <c r="D683" s="73" t="s">
        <v>532</v>
      </c>
      <c r="E683" s="179">
        <v>20</v>
      </c>
      <c r="F683" s="179">
        <f t="shared" si="24"/>
        <v>800</v>
      </c>
      <c r="G683" s="74"/>
    </row>
    <row r="684" spans="1:7" ht="15.6" x14ac:dyDescent="0.3">
      <c r="A684" s="29"/>
      <c r="B684" s="27"/>
      <c r="C684" s="27"/>
      <c r="D684" s="73"/>
      <c r="E684" s="179"/>
      <c r="F684" s="179">
        <f t="shared" si="24"/>
        <v>0</v>
      </c>
      <c r="G684" s="70"/>
    </row>
    <row r="685" spans="1:7" ht="15.6" x14ac:dyDescent="0.3">
      <c r="A685" s="29"/>
      <c r="B685" s="27"/>
      <c r="C685" s="27"/>
      <c r="D685" s="73"/>
      <c r="E685" s="179"/>
      <c r="F685" s="179">
        <f t="shared" si="24"/>
        <v>0</v>
      </c>
      <c r="G685" s="70"/>
    </row>
    <row r="686" spans="1:7" ht="15.6" x14ac:dyDescent="0.3">
      <c r="A686" s="29"/>
      <c r="B686" s="27"/>
      <c r="C686" s="27"/>
      <c r="D686" s="73"/>
      <c r="E686" s="179"/>
      <c r="F686" s="179">
        <f t="shared" si="24"/>
        <v>0</v>
      </c>
      <c r="G686" s="70"/>
    </row>
    <row r="687" spans="1:7" ht="15.6" x14ac:dyDescent="0.3">
      <c r="A687" s="29"/>
      <c r="B687" s="27"/>
      <c r="C687" s="27"/>
      <c r="D687" s="73"/>
      <c r="E687" s="179"/>
      <c r="F687" s="179">
        <f t="shared" si="24"/>
        <v>0</v>
      </c>
      <c r="G687" s="70"/>
    </row>
    <row r="688" spans="1:7" ht="15.6" x14ac:dyDescent="0.3">
      <c r="A688" s="26"/>
      <c r="B688" s="27"/>
      <c r="C688" s="27"/>
      <c r="D688" s="73"/>
      <c r="E688" s="179"/>
      <c r="F688" s="179">
        <f t="shared" si="24"/>
        <v>0</v>
      </c>
      <c r="G688" s="70"/>
    </row>
    <row r="689" spans="1:7" ht="15.6" x14ac:dyDescent="0.3">
      <c r="A689" s="26"/>
      <c r="B689" s="27"/>
      <c r="C689" s="27"/>
      <c r="D689" s="99"/>
      <c r="E689" s="179"/>
      <c r="F689" s="179">
        <f t="shared" si="24"/>
        <v>0</v>
      </c>
      <c r="G689" s="70"/>
    </row>
    <row r="690" spans="1:7" ht="15.6" x14ac:dyDescent="0.3">
      <c r="A690" s="26"/>
      <c r="B690" s="25"/>
      <c r="C690" s="25"/>
      <c r="D690" s="72"/>
      <c r="E690" s="179"/>
      <c r="F690" s="179">
        <f t="shared" si="24"/>
        <v>0</v>
      </c>
      <c r="G690" s="70"/>
    </row>
    <row r="691" spans="1:7" ht="15.6" x14ac:dyDescent="0.3">
      <c r="A691" s="26"/>
      <c r="B691" s="25"/>
      <c r="C691" s="25"/>
      <c r="D691" s="72"/>
      <c r="E691" s="179"/>
      <c r="F691" s="179">
        <f t="shared" si="24"/>
        <v>0</v>
      </c>
      <c r="G691" s="70"/>
    </row>
    <row r="692" spans="1:7" ht="15.6" x14ac:dyDescent="0.3">
      <c r="A692" s="26"/>
      <c r="B692" s="25"/>
      <c r="C692" s="25"/>
      <c r="D692" s="72"/>
      <c r="E692" s="179"/>
      <c r="F692" s="179">
        <f t="shared" si="24"/>
        <v>0</v>
      </c>
      <c r="G692" s="70"/>
    </row>
    <row r="693" spans="1:7" ht="15.6" x14ac:dyDescent="0.3">
      <c r="A693" s="26"/>
      <c r="B693" s="25"/>
      <c r="C693" s="25"/>
      <c r="D693" s="72"/>
      <c r="E693" s="179"/>
      <c r="F693" s="179">
        <f t="shared" si="24"/>
        <v>0</v>
      </c>
      <c r="G693" s="70"/>
    </row>
    <row r="694" spans="1:7" ht="15.6" x14ac:dyDescent="0.3">
      <c r="A694" s="26"/>
      <c r="B694" s="25"/>
      <c r="C694" s="25"/>
      <c r="D694" s="72"/>
      <c r="E694" s="179"/>
      <c r="F694" s="179">
        <f t="shared" si="24"/>
        <v>0</v>
      </c>
      <c r="G694" s="70"/>
    </row>
    <row r="695" spans="1:7" ht="15.6" x14ac:dyDescent="0.3">
      <c r="A695" s="21"/>
      <c r="B695" s="20"/>
      <c r="C695" s="20"/>
      <c r="D695" s="69"/>
      <c r="E695" s="180"/>
      <c r="F695" s="180">
        <f t="shared" si="24"/>
        <v>0</v>
      </c>
      <c r="G695" s="67"/>
    </row>
    <row r="696" spans="1:7" ht="17.399999999999999" x14ac:dyDescent="0.3">
      <c r="A696" s="17"/>
      <c r="B696" s="16"/>
      <c r="C696" s="9" t="s">
        <v>8</v>
      </c>
      <c r="D696" s="9"/>
      <c r="E696" s="181"/>
      <c r="F696" s="256">
        <f>SUM(F681:F694)</f>
        <v>800</v>
      </c>
      <c r="G696" s="64"/>
    </row>
    <row r="697" spans="1:7" ht="17.399999999999999" x14ac:dyDescent="0.3">
      <c r="A697" s="11"/>
      <c r="B697" s="10"/>
      <c r="C697" s="63" t="s">
        <v>7</v>
      </c>
      <c r="D697" s="63"/>
      <c r="E697" s="183"/>
      <c r="F697" s="257">
        <f>F696*0.16</f>
        <v>128</v>
      </c>
      <c r="G697" s="60"/>
    </row>
    <row r="698" spans="1:7" ht="17.399999999999999" x14ac:dyDescent="0.3">
      <c r="A698" s="11"/>
      <c r="B698" s="10"/>
      <c r="C698" s="59" t="s">
        <v>6</v>
      </c>
      <c r="D698" s="59"/>
      <c r="E698" s="185"/>
      <c r="F698" s="258">
        <f>F696+F697</f>
        <v>928</v>
      </c>
      <c r="G698" s="56"/>
    </row>
    <row r="699" spans="1:7" ht="15.6" x14ac:dyDescent="0.3">
      <c r="A699" s="6" t="s">
        <v>5</v>
      </c>
      <c r="B699" s="5"/>
      <c r="C699" s="5" t="s">
        <v>4</v>
      </c>
      <c r="D699" s="5"/>
      <c r="E699" s="5" t="s">
        <v>3</v>
      </c>
      <c r="F699" s="5"/>
      <c r="G699" s="4"/>
    </row>
    <row r="700" spans="1:7" ht="15.6" x14ac:dyDescent="0.3">
      <c r="A700" s="3" t="s">
        <v>2</v>
      </c>
      <c r="B700" s="2"/>
      <c r="C700" s="2" t="s">
        <v>91</v>
      </c>
      <c r="D700" s="2"/>
      <c r="E700" s="2" t="s">
        <v>70</v>
      </c>
      <c r="F700" s="2"/>
      <c r="G700" s="1"/>
    </row>
    <row r="704" spans="1:7" ht="24.6" x14ac:dyDescent="0.3">
      <c r="A704" s="271" t="s">
        <v>38</v>
      </c>
      <c r="B704" s="302"/>
      <c r="C704" s="272"/>
      <c r="D704" s="305" t="s">
        <v>37</v>
      </c>
      <c r="E704" s="306"/>
      <c r="F704" s="306"/>
      <c r="G704" s="307"/>
    </row>
    <row r="705" spans="1:7" ht="21" x14ac:dyDescent="0.4">
      <c r="A705" s="273"/>
      <c r="B705" s="303"/>
      <c r="C705" s="274"/>
      <c r="D705" s="51" t="s">
        <v>36</v>
      </c>
      <c r="E705" s="308" t="s">
        <v>619</v>
      </c>
      <c r="F705" s="282"/>
      <c r="G705" s="50"/>
    </row>
    <row r="706" spans="1:7" ht="21" x14ac:dyDescent="0.4">
      <c r="A706" s="273"/>
      <c r="B706" s="303"/>
      <c r="C706" s="274"/>
      <c r="D706" s="51" t="s">
        <v>51</v>
      </c>
      <c r="E706" s="284">
        <v>22</v>
      </c>
      <c r="F706" s="282"/>
      <c r="G706" s="50"/>
    </row>
    <row r="707" spans="1:7" ht="30" x14ac:dyDescent="0.3">
      <c r="A707" s="275"/>
      <c r="B707" s="304"/>
      <c r="C707" s="276"/>
      <c r="D707" s="47" t="s">
        <v>50</v>
      </c>
      <c r="E707" s="287" t="s">
        <v>632</v>
      </c>
      <c r="F707" s="287"/>
      <c r="G707" s="87"/>
    </row>
    <row r="708" spans="1:7" ht="20.399999999999999" x14ac:dyDescent="0.35">
      <c r="A708" s="39" t="s">
        <v>48</v>
      </c>
      <c r="B708" s="43" t="s">
        <v>628</v>
      </c>
      <c r="C708" s="42"/>
      <c r="D708" s="42"/>
      <c r="E708" s="86"/>
      <c r="F708" s="85"/>
      <c r="G708" s="84"/>
    </row>
    <row r="709" spans="1:7" ht="20.399999999999999" x14ac:dyDescent="0.35">
      <c r="A709" s="39" t="s">
        <v>30</v>
      </c>
      <c r="B709" s="38" t="s">
        <v>629</v>
      </c>
      <c r="C709" s="37"/>
      <c r="D709" s="37"/>
      <c r="E709" s="83"/>
      <c r="F709" s="82"/>
      <c r="G709" s="81"/>
    </row>
    <row r="710" spans="1:7" ht="20.399999999999999" x14ac:dyDescent="0.35">
      <c r="A710" s="39" t="s">
        <v>46</v>
      </c>
      <c r="B710" s="38" t="s">
        <v>627</v>
      </c>
      <c r="C710" s="37"/>
      <c r="D710" s="37"/>
      <c r="E710" s="80"/>
      <c r="F710" s="79"/>
      <c r="G710" s="78"/>
    </row>
    <row r="711" spans="1:7" ht="20.399999999999999" x14ac:dyDescent="0.35">
      <c r="A711" s="39" t="s">
        <v>28</v>
      </c>
      <c r="B711" s="38" t="s">
        <v>97</v>
      </c>
      <c r="C711" s="37"/>
      <c r="D711" s="37"/>
      <c r="E711" s="37"/>
      <c r="F711" s="37"/>
      <c r="G711" s="77"/>
    </row>
    <row r="712" spans="1:7" ht="15" x14ac:dyDescent="0.3">
      <c r="A712" s="34" t="s">
        <v>26</v>
      </c>
      <c r="B712" s="34" t="s">
        <v>25</v>
      </c>
      <c r="C712" s="34" t="s">
        <v>24</v>
      </c>
      <c r="D712" s="34" t="s">
        <v>43</v>
      </c>
      <c r="E712" s="34" t="s">
        <v>42</v>
      </c>
      <c r="F712" s="34" t="s">
        <v>22</v>
      </c>
      <c r="G712" s="34" t="s">
        <v>21</v>
      </c>
    </row>
    <row r="713" spans="1:7" ht="15.6" x14ac:dyDescent="0.3">
      <c r="A713" s="33"/>
      <c r="B713" s="32"/>
      <c r="C713" s="32"/>
      <c r="D713" s="76"/>
      <c r="E713" s="246"/>
      <c r="F713" s="246">
        <f t="shared" ref="F713:F723" si="25">A713*E713</f>
        <v>0</v>
      </c>
      <c r="G713" s="74"/>
    </row>
    <row r="714" spans="1:7" ht="31.2" x14ac:dyDescent="0.3">
      <c r="A714" s="29">
        <v>6</v>
      </c>
      <c r="B714" s="25" t="s">
        <v>10</v>
      </c>
      <c r="C714" s="25" t="s">
        <v>630</v>
      </c>
      <c r="D714" s="73" t="s">
        <v>631</v>
      </c>
      <c r="E714" s="179">
        <v>196.98</v>
      </c>
      <c r="F714" s="179">
        <f t="shared" si="25"/>
        <v>1181.8799999999999</v>
      </c>
      <c r="G714" s="74"/>
    </row>
    <row r="715" spans="1:7" ht="15.6" x14ac:dyDescent="0.3">
      <c r="A715" s="29"/>
      <c r="B715" s="25"/>
      <c r="C715" s="25"/>
      <c r="D715" s="73"/>
      <c r="E715" s="179"/>
      <c r="F715" s="179">
        <f t="shared" si="25"/>
        <v>0</v>
      </c>
      <c r="G715" s="74"/>
    </row>
    <row r="716" spans="1:7" ht="15.6" x14ac:dyDescent="0.3">
      <c r="A716" s="29"/>
      <c r="B716" s="27"/>
      <c r="C716" s="27"/>
      <c r="D716" s="73"/>
      <c r="E716" s="179"/>
      <c r="F716" s="179">
        <f t="shared" si="25"/>
        <v>0</v>
      </c>
      <c r="G716" s="70"/>
    </row>
    <row r="717" spans="1:7" ht="15.6" x14ac:dyDescent="0.3">
      <c r="A717" s="29"/>
      <c r="B717" s="27"/>
      <c r="C717" s="27"/>
      <c r="D717" s="73"/>
      <c r="E717" s="179"/>
      <c r="F717" s="179">
        <f t="shared" si="25"/>
        <v>0</v>
      </c>
      <c r="G717" s="70"/>
    </row>
    <row r="718" spans="1:7" ht="15.6" x14ac:dyDescent="0.3">
      <c r="A718" s="26"/>
      <c r="B718" s="27"/>
      <c r="C718" s="27"/>
      <c r="D718" s="73"/>
      <c r="E718" s="179"/>
      <c r="F718" s="179">
        <f t="shared" si="25"/>
        <v>0</v>
      </c>
      <c r="G718" s="70"/>
    </row>
    <row r="719" spans="1:7" ht="15.6" x14ac:dyDescent="0.3">
      <c r="A719" s="26"/>
      <c r="B719" s="25"/>
      <c r="C719" s="25"/>
      <c r="D719" s="72"/>
      <c r="E719" s="179"/>
      <c r="F719" s="179">
        <f t="shared" si="25"/>
        <v>0</v>
      </c>
      <c r="G719" s="70"/>
    </row>
    <row r="720" spans="1:7" ht="15.6" x14ac:dyDescent="0.3">
      <c r="A720" s="26"/>
      <c r="B720" s="25"/>
      <c r="C720" s="25"/>
      <c r="D720" s="73"/>
      <c r="E720" s="179"/>
      <c r="F720" s="179">
        <f t="shared" si="25"/>
        <v>0</v>
      </c>
      <c r="G720" s="70"/>
    </row>
    <row r="721" spans="1:7" ht="15.6" x14ac:dyDescent="0.3">
      <c r="A721" s="26"/>
      <c r="B721" s="25"/>
      <c r="C721" s="25"/>
      <c r="D721" s="72"/>
      <c r="E721" s="179"/>
      <c r="F721" s="179">
        <f t="shared" si="25"/>
        <v>0</v>
      </c>
      <c r="G721" s="70"/>
    </row>
    <row r="722" spans="1:7" ht="15.6" x14ac:dyDescent="0.3">
      <c r="A722" s="26"/>
      <c r="B722" s="25"/>
      <c r="C722" s="25"/>
      <c r="D722" s="73"/>
      <c r="E722" s="179"/>
      <c r="F722" s="179">
        <f t="shared" si="25"/>
        <v>0</v>
      </c>
      <c r="G722" s="70"/>
    </row>
    <row r="723" spans="1:7" ht="15.6" x14ac:dyDescent="0.3">
      <c r="A723" s="21"/>
      <c r="B723" s="20"/>
      <c r="C723" s="20"/>
      <c r="D723" s="69"/>
      <c r="E723" s="180"/>
      <c r="F723" s="180">
        <f t="shared" si="25"/>
        <v>0</v>
      </c>
      <c r="G723" s="67"/>
    </row>
    <row r="724" spans="1:7" ht="17.399999999999999" x14ac:dyDescent="0.3">
      <c r="A724" s="17"/>
      <c r="B724" s="16"/>
      <c r="C724" s="9" t="s">
        <v>8</v>
      </c>
      <c r="D724" s="259"/>
      <c r="E724" s="181"/>
      <c r="F724" s="182">
        <f>SUM(F713:F722)</f>
        <v>1181.8799999999999</v>
      </c>
      <c r="G724" s="64"/>
    </row>
    <row r="725" spans="1:7" ht="17.399999999999999" x14ac:dyDescent="0.3">
      <c r="A725" s="11"/>
      <c r="B725" s="10"/>
      <c r="C725" s="63" t="s">
        <v>7</v>
      </c>
      <c r="D725" s="237"/>
      <c r="E725" s="183"/>
      <c r="F725" s="184">
        <f>F724*0.16</f>
        <v>189.10079999999999</v>
      </c>
      <c r="G725" s="60"/>
    </row>
    <row r="726" spans="1:7" ht="17.399999999999999" x14ac:dyDescent="0.3">
      <c r="A726" s="11"/>
      <c r="B726" s="10"/>
      <c r="C726" s="59" t="s">
        <v>6</v>
      </c>
      <c r="D726" s="260"/>
      <c r="E726" s="185"/>
      <c r="F726" s="186">
        <f>F724+F725</f>
        <v>1370.9807999999998</v>
      </c>
      <c r="G726" s="56"/>
    </row>
    <row r="727" spans="1:7" ht="15.6" x14ac:dyDescent="0.3">
      <c r="A727" s="6" t="s">
        <v>5</v>
      </c>
      <c r="B727" s="5"/>
      <c r="C727" s="5" t="s">
        <v>4</v>
      </c>
      <c r="D727" s="259"/>
      <c r="E727" s="5" t="s">
        <v>3</v>
      </c>
      <c r="F727" s="5"/>
      <c r="G727" s="4"/>
    </row>
    <row r="728" spans="1:7" ht="15.6" x14ac:dyDescent="0.3">
      <c r="A728" s="3" t="s">
        <v>625</v>
      </c>
      <c r="B728" s="2"/>
      <c r="C728" s="2" t="s">
        <v>39</v>
      </c>
      <c r="D728" s="260"/>
      <c r="E728" s="2" t="s">
        <v>0</v>
      </c>
      <c r="F728" s="2"/>
      <c r="G728" s="1"/>
    </row>
  </sheetData>
  <mergeCells count="164">
    <mergeCell ref="E164:G164"/>
    <mergeCell ref="A704:C707"/>
    <mergeCell ref="D704:G704"/>
    <mergeCell ref="E705:F705"/>
    <mergeCell ref="E706:F706"/>
    <mergeCell ref="E707:F707"/>
    <mergeCell ref="E645:G647"/>
    <mergeCell ref="A672:C675"/>
    <mergeCell ref="D672:G672"/>
    <mergeCell ref="E673:F673"/>
    <mergeCell ref="E674:F674"/>
    <mergeCell ref="E675:F675"/>
    <mergeCell ref="B678:G678"/>
    <mergeCell ref="F614:G614"/>
    <mergeCell ref="F618:G618"/>
    <mergeCell ref="C634:D634"/>
    <mergeCell ref="C635:D635"/>
    <mergeCell ref="C636:D636"/>
    <mergeCell ref="A641:C644"/>
    <mergeCell ref="D641:G641"/>
    <mergeCell ref="E642:F642"/>
    <mergeCell ref="E643:F643"/>
    <mergeCell ref="E644:F644"/>
    <mergeCell ref="A579:C582"/>
    <mergeCell ref="D579:G579"/>
    <mergeCell ref="E580:F580"/>
    <mergeCell ref="E581:F581"/>
    <mergeCell ref="E582:F582"/>
    <mergeCell ref="B611:C613"/>
    <mergeCell ref="E611:G611"/>
    <mergeCell ref="F612:G612"/>
    <mergeCell ref="F613:G613"/>
    <mergeCell ref="B548:C551"/>
    <mergeCell ref="D548:G548"/>
    <mergeCell ref="D549:E549"/>
    <mergeCell ref="F549:G549"/>
    <mergeCell ref="D551:E551"/>
    <mergeCell ref="F551:G551"/>
    <mergeCell ref="B554:G554"/>
    <mergeCell ref="E227:G229"/>
    <mergeCell ref="D517:G517"/>
    <mergeCell ref="E258:G258"/>
    <mergeCell ref="B259:G259"/>
    <mergeCell ref="B260:G260"/>
    <mergeCell ref="B261:G261"/>
    <mergeCell ref="A286:B286"/>
    <mergeCell ref="E286:G286"/>
    <mergeCell ref="B254:C257"/>
    <mergeCell ref="D254:G254"/>
    <mergeCell ref="D255:E255"/>
    <mergeCell ref="F255:G255"/>
    <mergeCell ref="D257:E257"/>
    <mergeCell ref="F257:G257"/>
    <mergeCell ref="B323:C326"/>
    <mergeCell ref="D323:G323"/>
    <mergeCell ref="D324:E324"/>
    <mergeCell ref="F324:G324"/>
    <mergeCell ref="D326:E326"/>
    <mergeCell ref="F326:G326"/>
    <mergeCell ref="A287:B287"/>
    <mergeCell ref="E287:G287"/>
    <mergeCell ref="A292:C295"/>
    <mergeCell ref="D292:G292"/>
    <mergeCell ref="B67:C70"/>
    <mergeCell ref="D67:G67"/>
    <mergeCell ref="D68:E68"/>
    <mergeCell ref="F68:G68"/>
    <mergeCell ref="D70:E70"/>
    <mergeCell ref="F70:G70"/>
    <mergeCell ref="B10:G10"/>
    <mergeCell ref="B4:C7"/>
    <mergeCell ref="D4:G4"/>
    <mergeCell ref="D5:E5"/>
    <mergeCell ref="F5:G5"/>
    <mergeCell ref="D7:E7"/>
    <mergeCell ref="F7:G7"/>
    <mergeCell ref="B42:G42"/>
    <mergeCell ref="B36:C39"/>
    <mergeCell ref="D36:G36"/>
    <mergeCell ref="D37:E37"/>
    <mergeCell ref="F37:G37"/>
    <mergeCell ref="D39:E39"/>
    <mergeCell ref="F39:G39"/>
    <mergeCell ref="B104:G104"/>
    <mergeCell ref="B129:C131"/>
    <mergeCell ref="B73:G73"/>
    <mergeCell ref="B98:C101"/>
    <mergeCell ref="D98:G98"/>
    <mergeCell ref="D99:E99"/>
    <mergeCell ref="F99:G99"/>
    <mergeCell ref="D101:E101"/>
    <mergeCell ref="F101:G101"/>
    <mergeCell ref="A159:C162"/>
    <mergeCell ref="D159:G159"/>
    <mergeCell ref="E160:F160"/>
    <mergeCell ref="E161:F161"/>
    <mergeCell ref="E162:F162"/>
    <mergeCell ref="D129:G129"/>
    <mergeCell ref="B132:G132"/>
    <mergeCell ref="B133:G133"/>
    <mergeCell ref="B134:G134"/>
    <mergeCell ref="F130:G130"/>
    <mergeCell ref="F131:G131"/>
    <mergeCell ref="C152:E152"/>
    <mergeCell ref="C153:E153"/>
    <mergeCell ref="C154:E154"/>
    <mergeCell ref="A223:C226"/>
    <mergeCell ref="D223:G223"/>
    <mergeCell ref="E224:F224"/>
    <mergeCell ref="E225:F225"/>
    <mergeCell ref="E226:F226"/>
    <mergeCell ref="A191:C194"/>
    <mergeCell ref="D191:G191"/>
    <mergeCell ref="E192:F192"/>
    <mergeCell ref="E193:F193"/>
    <mergeCell ref="E194:F194"/>
    <mergeCell ref="E293:F293"/>
    <mergeCell ref="E294:F294"/>
    <mergeCell ref="E295:F295"/>
    <mergeCell ref="C351:D351"/>
    <mergeCell ref="C352:D352"/>
    <mergeCell ref="A353:B353"/>
    <mergeCell ref="E353:G353"/>
    <mergeCell ref="A354:B354"/>
    <mergeCell ref="E354:G354"/>
    <mergeCell ref="E327:G327"/>
    <mergeCell ref="B328:G328"/>
    <mergeCell ref="B329:G329"/>
    <mergeCell ref="B330:G330"/>
    <mergeCell ref="C350:D350"/>
    <mergeCell ref="B390:C392"/>
    <mergeCell ref="C413:D413"/>
    <mergeCell ref="C414:D414"/>
    <mergeCell ref="C415:D415"/>
    <mergeCell ref="D391:E391"/>
    <mergeCell ref="F391:G391"/>
    <mergeCell ref="D392:E392"/>
    <mergeCell ref="F392:G392"/>
    <mergeCell ref="A358:C361"/>
    <mergeCell ref="D358:G358"/>
    <mergeCell ref="E359:F359"/>
    <mergeCell ref="E360:F360"/>
    <mergeCell ref="E361:F361"/>
    <mergeCell ref="A453:C456"/>
    <mergeCell ref="D453:G453"/>
    <mergeCell ref="E454:F454"/>
    <mergeCell ref="E455:F455"/>
    <mergeCell ref="E456:F456"/>
    <mergeCell ref="A421:C424"/>
    <mergeCell ref="D421:G421"/>
    <mergeCell ref="E422:F422"/>
    <mergeCell ref="E423:F423"/>
    <mergeCell ref="E424:F424"/>
    <mergeCell ref="E486:G486"/>
    <mergeCell ref="E487:G487"/>
    <mergeCell ref="D485:G485"/>
    <mergeCell ref="B517:C519"/>
    <mergeCell ref="C540:D540"/>
    <mergeCell ref="C541:D541"/>
    <mergeCell ref="C542:D542"/>
    <mergeCell ref="B485:C487"/>
    <mergeCell ref="C509:D509"/>
    <mergeCell ref="C510:D510"/>
    <mergeCell ref="C511:D511"/>
  </mergeCells>
  <dataValidations disablePrompts="1" count="1">
    <dataValidation type="textLength" errorStyle="warning" allowBlank="1" showErrorMessage="1" errorTitle="Tipo de unidad" error="Escriba el tipo de unidad (bruto, cajas, docenas, paquetes, fajos, etc.) al que se refiere el precio unitario._x000a_" promptTitle="Tipo de unidad" sqref="A31 A63 A94 A125 A155 A186 A218 A250 A267:A268 A286 A319 A353 A385 A416 A448 A480 A512 A543 A575 A606 A637 A668 A699 A727" xr:uid="{E0B3FA50-8C5D-40A9-BE88-E7FE425E963A}">
      <formula1>0</formula1>
      <formula2>256</formula2>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ED87A-A8E2-4606-870D-8215DB5E8FED}">
  <sheetPr>
    <pageSetUpPr fitToPage="1"/>
  </sheetPr>
  <dimension ref="A3:O372"/>
  <sheetViews>
    <sheetView topLeftCell="A346" workbookViewId="0">
      <selection activeCell="D154" sqref="A154:G182"/>
    </sheetView>
  </sheetViews>
  <sheetFormatPr baseColWidth="10" defaultRowHeight="14.4" x14ac:dyDescent="0.3"/>
  <cols>
    <col min="1" max="1" width="21.5546875" customWidth="1"/>
    <col min="2" max="2" width="17" customWidth="1"/>
    <col min="3" max="3" width="36.33203125" customWidth="1"/>
    <col min="4" max="4" width="32.33203125" customWidth="1"/>
    <col min="5" max="5" width="26.21875" customWidth="1"/>
    <col min="6" max="6" width="15.5546875" customWidth="1"/>
    <col min="7" max="7" width="22.6640625" customWidth="1"/>
  </cols>
  <sheetData>
    <row r="3" spans="1:7" ht="24.6" x14ac:dyDescent="0.3">
      <c r="A3" s="271" t="s">
        <v>38</v>
      </c>
      <c r="B3" s="302"/>
      <c r="C3" s="272"/>
      <c r="D3" s="305" t="s">
        <v>37</v>
      </c>
      <c r="E3" s="306"/>
      <c r="F3" s="306"/>
      <c r="G3" s="307"/>
    </row>
    <row r="4" spans="1:7" ht="21" x14ac:dyDescent="0.4">
      <c r="A4" s="273"/>
      <c r="B4" s="303"/>
      <c r="C4" s="274"/>
      <c r="D4" s="51" t="s">
        <v>36</v>
      </c>
      <c r="E4" s="308" t="s">
        <v>482</v>
      </c>
      <c r="F4" s="282"/>
      <c r="G4" s="50"/>
    </row>
    <row r="5" spans="1:7" ht="21" x14ac:dyDescent="0.4">
      <c r="A5" s="273"/>
      <c r="B5" s="303"/>
      <c r="C5" s="274"/>
      <c r="D5" s="51" t="s">
        <v>51</v>
      </c>
      <c r="E5" s="284">
        <v>20</v>
      </c>
      <c r="F5" s="282"/>
      <c r="G5" s="50"/>
    </row>
    <row r="6" spans="1:7" ht="30" x14ac:dyDescent="0.3">
      <c r="A6" s="275"/>
      <c r="B6" s="304"/>
      <c r="C6" s="276"/>
      <c r="D6" s="47" t="s">
        <v>50</v>
      </c>
      <c r="E6" s="287" t="s">
        <v>469</v>
      </c>
      <c r="F6" s="287"/>
      <c r="G6" s="87"/>
    </row>
    <row r="7" spans="1:7" ht="20.399999999999999" x14ac:dyDescent="0.35">
      <c r="A7" s="39" t="s">
        <v>48</v>
      </c>
      <c r="B7" s="43" t="s">
        <v>47</v>
      </c>
      <c r="C7" s="42"/>
      <c r="D7" s="42"/>
      <c r="E7" s="86"/>
      <c r="F7" s="85"/>
      <c r="G7" s="84"/>
    </row>
    <row r="8" spans="1:7" ht="20.399999999999999" x14ac:dyDescent="0.35">
      <c r="A8" s="39" t="s">
        <v>30</v>
      </c>
      <c r="B8" s="38" t="s">
        <v>483</v>
      </c>
      <c r="C8" s="37"/>
      <c r="D8" s="37"/>
      <c r="E8" s="83"/>
      <c r="F8" s="82"/>
      <c r="G8" s="81"/>
    </row>
    <row r="9" spans="1:7" ht="20.399999999999999" x14ac:dyDescent="0.35">
      <c r="A9" s="39" t="s">
        <v>46</v>
      </c>
      <c r="B9" s="38" t="s">
        <v>484</v>
      </c>
      <c r="C9" s="37"/>
      <c r="D9" s="37"/>
      <c r="E9" s="80"/>
      <c r="F9" s="79"/>
      <c r="G9" s="78"/>
    </row>
    <row r="10" spans="1:7" ht="20.399999999999999" x14ac:dyDescent="0.35">
      <c r="A10" s="39" t="s">
        <v>28</v>
      </c>
      <c r="B10" s="38" t="s">
        <v>198</v>
      </c>
      <c r="C10" s="37"/>
      <c r="D10" s="37"/>
      <c r="E10" s="37"/>
      <c r="F10" s="37"/>
      <c r="G10" s="77"/>
    </row>
    <row r="11" spans="1:7" ht="60" x14ac:dyDescent="0.3">
      <c r="A11" s="34" t="s">
        <v>26</v>
      </c>
      <c r="B11" s="34" t="s">
        <v>25</v>
      </c>
      <c r="C11" s="34" t="s">
        <v>24</v>
      </c>
      <c r="D11" s="34" t="s">
        <v>43</v>
      </c>
      <c r="E11" s="34" t="s">
        <v>42</v>
      </c>
      <c r="F11" s="34" t="s">
        <v>22</v>
      </c>
      <c r="G11" s="34" t="s">
        <v>21</v>
      </c>
    </row>
    <row r="12" spans="1:7" ht="15.6" x14ac:dyDescent="0.3">
      <c r="A12" s="33"/>
      <c r="B12" s="32"/>
      <c r="C12" s="32"/>
      <c r="D12" s="76"/>
      <c r="E12" s="178"/>
      <c r="F12" s="178">
        <f t="shared" ref="F12:F26" si="0">A12*E12</f>
        <v>0</v>
      </c>
      <c r="G12" s="74"/>
    </row>
    <row r="13" spans="1:7" ht="62.4" x14ac:dyDescent="0.3">
      <c r="A13" s="29">
        <v>15</v>
      </c>
      <c r="B13" s="25" t="s">
        <v>10</v>
      </c>
      <c r="C13" s="25" t="s">
        <v>474</v>
      </c>
      <c r="D13" s="73"/>
      <c r="E13" s="179">
        <v>70.3</v>
      </c>
      <c r="F13" s="179">
        <f t="shared" si="0"/>
        <v>1054.5</v>
      </c>
      <c r="G13" s="74"/>
    </row>
    <row r="14" spans="1:7" ht="46.8" x14ac:dyDescent="0.3">
      <c r="A14" s="29">
        <v>20</v>
      </c>
      <c r="B14" s="25" t="s">
        <v>10</v>
      </c>
      <c r="C14" s="25" t="s">
        <v>476</v>
      </c>
      <c r="D14" s="73" t="s">
        <v>477</v>
      </c>
      <c r="E14" s="179">
        <v>37.17</v>
      </c>
      <c r="F14" s="179">
        <f t="shared" si="0"/>
        <v>743.40000000000009</v>
      </c>
      <c r="G14" s="74"/>
    </row>
    <row r="15" spans="1:7" ht="15.6" x14ac:dyDescent="0.3">
      <c r="A15" s="29"/>
      <c r="B15" s="27"/>
      <c r="C15" s="27"/>
      <c r="D15" s="73"/>
      <c r="E15" s="179"/>
      <c r="F15" s="179">
        <f t="shared" si="0"/>
        <v>0</v>
      </c>
      <c r="G15" s="70"/>
    </row>
    <row r="16" spans="1:7" ht="15.6" x14ac:dyDescent="0.3">
      <c r="A16" s="29"/>
      <c r="B16" s="27"/>
      <c r="C16" s="27"/>
      <c r="D16" s="73"/>
      <c r="E16" s="179"/>
      <c r="F16" s="179">
        <f t="shared" si="0"/>
        <v>0</v>
      </c>
      <c r="G16" s="70"/>
    </row>
    <row r="17" spans="1:7" ht="15.6" x14ac:dyDescent="0.3">
      <c r="A17" s="29"/>
      <c r="B17" s="27"/>
      <c r="C17" s="27"/>
      <c r="D17" s="73"/>
      <c r="E17" s="179"/>
      <c r="F17" s="179">
        <f t="shared" si="0"/>
        <v>0</v>
      </c>
      <c r="G17" s="70"/>
    </row>
    <row r="18" spans="1:7" ht="15.6" x14ac:dyDescent="0.3">
      <c r="A18" s="29"/>
      <c r="B18" s="27"/>
      <c r="C18" s="27"/>
      <c r="D18" s="73"/>
      <c r="E18" s="179"/>
      <c r="F18" s="179">
        <f t="shared" si="0"/>
        <v>0</v>
      </c>
      <c r="G18" s="70"/>
    </row>
    <row r="19" spans="1:7" ht="15.6" x14ac:dyDescent="0.3">
      <c r="A19" s="26"/>
      <c r="B19" s="27"/>
      <c r="C19" s="27"/>
      <c r="D19" s="73"/>
      <c r="E19" s="179"/>
      <c r="F19" s="179">
        <f t="shared" si="0"/>
        <v>0</v>
      </c>
      <c r="G19" s="70"/>
    </row>
    <row r="20" spans="1:7" ht="15.6" x14ac:dyDescent="0.3">
      <c r="A20" s="26"/>
      <c r="B20" s="27"/>
      <c r="C20" s="27"/>
      <c r="D20" s="73"/>
      <c r="E20" s="179"/>
      <c r="F20" s="179">
        <f t="shared" si="0"/>
        <v>0</v>
      </c>
      <c r="G20" s="70"/>
    </row>
    <row r="21" spans="1:7" ht="15.6" x14ac:dyDescent="0.3">
      <c r="A21" s="26"/>
      <c r="B21" s="25"/>
      <c r="C21" s="27"/>
      <c r="D21" s="73"/>
      <c r="E21" s="179"/>
      <c r="F21" s="179">
        <f t="shared" si="0"/>
        <v>0</v>
      </c>
      <c r="G21" s="70"/>
    </row>
    <row r="22" spans="1:7" ht="15.6" x14ac:dyDescent="0.3">
      <c r="A22" s="26"/>
      <c r="B22" s="25"/>
      <c r="C22" s="25"/>
      <c r="D22" s="72"/>
      <c r="E22" s="179"/>
      <c r="F22" s="179">
        <f t="shared" si="0"/>
        <v>0</v>
      </c>
      <c r="G22" s="70"/>
    </row>
    <row r="23" spans="1:7" ht="15.6" x14ac:dyDescent="0.3">
      <c r="A23" s="26"/>
      <c r="B23" s="25"/>
      <c r="C23" s="25"/>
      <c r="D23" s="72"/>
      <c r="E23" s="179"/>
      <c r="F23" s="179">
        <f t="shared" si="0"/>
        <v>0</v>
      </c>
      <c r="G23" s="70"/>
    </row>
    <row r="24" spans="1:7" ht="15.6" x14ac:dyDescent="0.3">
      <c r="A24" s="26"/>
      <c r="B24" s="25"/>
      <c r="C24" s="25"/>
      <c r="D24" s="72"/>
      <c r="E24" s="179"/>
      <c r="F24" s="179">
        <f t="shared" si="0"/>
        <v>0</v>
      </c>
      <c r="G24" s="70"/>
    </row>
    <row r="25" spans="1:7" ht="15.6" x14ac:dyDescent="0.3">
      <c r="A25" s="26"/>
      <c r="B25" s="25"/>
      <c r="C25" s="25"/>
      <c r="D25" s="72"/>
      <c r="E25" s="179"/>
      <c r="F25" s="179">
        <f t="shared" si="0"/>
        <v>0</v>
      </c>
      <c r="G25" s="70"/>
    </row>
    <row r="26" spans="1:7" ht="15.6" x14ac:dyDescent="0.3">
      <c r="A26" s="21"/>
      <c r="B26" s="20"/>
      <c r="C26" s="20"/>
      <c r="D26" s="69"/>
      <c r="E26" s="180"/>
      <c r="F26" s="180">
        <f t="shared" si="0"/>
        <v>0</v>
      </c>
      <c r="G26" s="67"/>
    </row>
    <row r="27" spans="1:7" ht="17.399999999999999" x14ac:dyDescent="0.3">
      <c r="A27" s="17"/>
      <c r="B27" s="16"/>
      <c r="C27" s="9" t="s">
        <v>8</v>
      </c>
      <c r="D27" s="9"/>
      <c r="E27" s="181"/>
      <c r="F27" s="182">
        <f>SUM(F12:F25)</f>
        <v>1797.9</v>
      </c>
      <c r="G27" s="64"/>
    </row>
    <row r="28" spans="1:7" ht="17.399999999999999" x14ac:dyDescent="0.3">
      <c r="A28" s="11"/>
      <c r="B28" s="10"/>
      <c r="C28" s="63" t="s">
        <v>7</v>
      </c>
      <c r="D28" s="63"/>
      <c r="E28" s="183"/>
      <c r="F28" s="184">
        <f>F27*0.16</f>
        <v>287.66400000000004</v>
      </c>
      <c r="G28" s="60"/>
    </row>
    <row r="29" spans="1:7" ht="17.399999999999999" x14ac:dyDescent="0.3">
      <c r="A29" s="11"/>
      <c r="B29" s="10"/>
      <c r="C29" s="59" t="s">
        <v>6</v>
      </c>
      <c r="D29" s="59"/>
      <c r="E29" s="185"/>
      <c r="F29" s="186">
        <f>F27+F28</f>
        <v>2085.5640000000003</v>
      </c>
      <c r="G29" s="56"/>
    </row>
    <row r="30" spans="1:7" ht="15.6" x14ac:dyDescent="0.3">
      <c r="A30" s="6" t="s">
        <v>5</v>
      </c>
      <c r="B30" s="5"/>
      <c r="C30" s="5" t="s">
        <v>4</v>
      </c>
      <c r="D30" s="5"/>
      <c r="E30" s="5" t="s">
        <v>3</v>
      </c>
      <c r="F30" s="5"/>
      <c r="G30" s="4"/>
    </row>
    <row r="31" spans="1:7" ht="15.6" x14ac:dyDescent="0.3">
      <c r="A31" s="3" t="s">
        <v>374</v>
      </c>
      <c r="B31" s="2"/>
      <c r="C31" s="170" t="s">
        <v>39</v>
      </c>
      <c r="D31" s="2"/>
      <c r="E31" s="2" t="s">
        <v>0</v>
      </c>
      <c r="F31" s="2"/>
      <c r="G31" s="1"/>
    </row>
    <row r="34" spans="1:7" ht="24.6" x14ac:dyDescent="0.3">
      <c r="A34" s="271" t="s">
        <v>38</v>
      </c>
      <c r="B34" s="302"/>
      <c r="C34" s="272"/>
      <c r="D34" s="305" t="s">
        <v>37</v>
      </c>
      <c r="E34" s="306"/>
      <c r="F34" s="306"/>
      <c r="G34" s="307"/>
    </row>
    <row r="35" spans="1:7" ht="21" x14ac:dyDescent="0.4">
      <c r="A35" s="273"/>
      <c r="B35" s="303"/>
      <c r="C35" s="274"/>
      <c r="D35" s="51" t="s">
        <v>36</v>
      </c>
      <c r="E35" s="308" t="s">
        <v>485</v>
      </c>
      <c r="F35" s="282"/>
      <c r="G35" s="50"/>
    </row>
    <row r="36" spans="1:7" ht="21" x14ac:dyDescent="0.4">
      <c r="A36" s="273"/>
      <c r="B36" s="303"/>
      <c r="C36" s="274"/>
      <c r="D36" s="51" t="s">
        <v>51</v>
      </c>
      <c r="E36" s="284">
        <v>20</v>
      </c>
      <c r="F36" s="282"/>
      <c r="G36" s="50"/>
    </row>
    <row r="37" spans="1:7" ht="30" x14ac:dyDescent="0.3">
      <c r="A37" s="275"/>
      <c r="B37" s="304"/>
      <c r="C37" s="276"/>
      <c r="D37" s="47" t="s">
        <v>50</v>
      </c>
      <c r="E37" s="287"/>
      <c r="F37" s="287"/>
      <c r="G37" s="87"/>
    </row>
    <row r="38" spans="1:7" ht="20.399999999999999" x14ac:dyDescent="0.35">
      <c r="A38" s="39" t="s">
        <v>48</v>
      </c>
      <c r="B38" s="43" t="s">
        <v>47</v>
      </c>
      <c r="C38" s="42"/>
      <c r="D38" s="42"/>
      <c r="E38" s="86"/>
      <c r="F38" s="85"/>
      <c r="G38" s="84"/>
    </row>
    <row r="39" spans="1:7" ht="20.399999999999999" x14ac:dyDescent="0.35">
      <c r="A39" s="39" t="s">
        <v>487</v>
      </c>
      <c r="B39" s="38" t="s">
        <v>403</v>
      </c>
      <c r="C39" s="37"/>
      <c r="D39" s="37"/>
      <c r="E39" s="83"/>
      <c r="F39" s="82"/>
      <c r="G39" s="81"/>
    </row>
    <row r="40" spans="1:7" ht="20.399999999999999" x14ac:dyDescent="0.35">
      <c r="A40" s="39" t="s">
        <v>46</v>
      </c>
      <c r="B40" s="38" t="s">
        <v>490</v>
      </c>
      <c r="C40" s="37"/>
      <c r="D40" s="37"/>
      <c r="E40" s="80"/>
      <c r="F40" s="79"/>
      <c r="G40" s="78"/>
    </row>
    <row r="41" spans="1:7" ht="20.399999999999999" x14ac:dyDescent="0.35">
      <c r="A41" s="39" t="s">
        <v>28</v>
      </c>
      <c r="B41" s="38" t="s">
        <v>77</v>
      </c>
      <c r="C41" s="37"/>
      <c r="D41" s="37"/>
      <c r="E41" s="37"/>
      <c r="F41" s="37"/>
      <c r="G41" s="77"/>
    </row>
    <row r="42" spans="1:7" ht="15" x14ac:dyDescent="0.3">
      <c r="A42" s="34" t="s">
        <v>26</v>
      </c>
      <c r="B42" s="34" t="s">
        <v>25</v>
      </c>
      <c r="C42" s="34" t="s">
        <v>24</v>
      </c>
      <c r="D42" s="34" t="s">
        <v>43</v>
      </c>
      <c r="E42" s="34" t="s">
        <v>42</v>
      </c>
      <c r="F42" s="34" t="s">
        <v>22</v>
      </c>
      <c r="G42" s="34" t="s">
        <v>21</v>
      </c>
    </row>
    <row r="43" spans="1:7" ht="15.6" x14ac:dyDescent="0.3">
      <c r="A43" s="33">
        <v>9</v>
      </c>
      <c r="B43" s="32" t="s">
        <v>10</v>
      </c>
      <c r="C43" s="32" t="s">
        <v>491</v>
      </c>
      <c r="D43" s="76" t="s">
        <v>492</v>
      </c>
      <c r="E43" s="178">
        <v>1377.01</v>
      </c>
      <c r="F43" s="178">
        <f t="shared" ref="F43:F57" si="1">A43*E43</f>
        <v>12393.09</v>
      </c>
      <c r="G43" s="74"/>
    </row>
    <row r="44" spans="1:7" ht="31.2" x14ac:dyDescent="0.3">
      <c r="A44" s="29">
        <v>9</v>
      </c>
      <c r="B44" s="25" t="s">
        <v>10</v>
      </c>
      <c r="C44" s="25" t="s">
        <v>493</v>
      </c>
      <c r="D44" s="73">
        <v>3826.2</v>
      </c>
      <c r="E44" s="179">
        <v>393.06</v>
      </c>
      <c r="F44" s="179">
        <f t="shared" si="1"/>
        <v>3537.54</v>
      </c>
      <c r="G44" s="74"/>
    </row>
    <row r="45" spans="1:7" ht="31.2" x14ac:dyDescent="0.3">
      <c r="A45" s="29">
        <v>9</v>
      </c>
      <c r="B45" s="25" t="s">
        <v>10</v>
      </c>
      <c r="C45" s="25" t="s">
        <v>494</v>
      </c>
      <c r="D45" s="73" t="s">
        <v>495</v>
      </c>
      <c r="E45" s="179">
        <v>204.79</v>
      </c>
      <c r="F45" s="179">
        <f t="shared" si="1"/>
        <v>1843.11</v>
      </c>
      <c r="G45" s="74"/>
    </row>
    <row r="46" spans="1:7" ht="15.6" x14ac:dyDescent="0.3">
      <c r="A46" s="29"/>
      <c r="B46" s="27"/>
      <c r="C46" s="27"/>
      <c r="D46" s="73"/>
      <c r="E46" s="179"/>
      <c r="F46" s="179">
        <f t="shared" si="1"/>
        <v>0</v>
      </c>
      <c r="G46" s="70"/>
    </row>
    <row r="47" spans="1:7" ht="15.6" x14ac:dyDescent="0.3">
      <c r="A47" s="29"/>
      <c r="B47" s="27"/>
      <c r="C47" s="27"/>
      <c r="D47" s="73"/>
      <c r="E47" s="179"/>
      <c r="F47" s="179">
        <f t="shared" si="1"/>
        <v>0</v>
      </c>
      <c r="G47" s="70"/>
    </row>
    <row r="48" spans="1:7" ht="15.6" x14ac:dyDescent="0.3">
      <c r="A48" s="29"/>
      <c r="B48" s="27"/>
      <c r="C48" s="27"/>
      <c r="D48" s="73"/>
      <c r="E48" s="179"/>
      <c r="F48" s="179">
        <f t="shared" si="1"/>
        <v>0</v>
      </c>
      <c r="G48" s="70"/>
    </row>
    <row r="49" spans="1:7" ht="15.6" x14ac:dyDescent="0.3">
      <c r="A49" s="29"/>
      <c r="B49" s="27"/>
      <c r="C49" s="27"/>
      <c r="D49" s="73"/>
      <c r="E49" s="179"/>
      <c r="F49" s="179">
        <f t="shared" si="1"/>
        <v>0</v>
      </c>
      <c r="G49" s="70"/>
    </row>
    <row r="50" spans="1:7" ht="15.6" x14ac:dyDescent="0.3">
      <c r="A50" s="26"/>
      <c r="B50" s="27"/>
      <c r="C50" s="27"/>
      <c r="D50" s="73"/>
      <c r="E50" s="179"/>
      <c r="F50" s="179">
        <f t="shared" si="1"/>
        <v>0</v>
      </c>
      <c r="G50" s="70"/>
    </row>
    <row r="51" spans="1:7" ht="15.6" x14ac:dyDescent="0.3">
      <c r="A51" s="26"/>
      <c r="B51" s="27"/>
      <c r="C51" s="27"/>
      <c r="D51" s="73"/>
      <c r="E51" s="179"/>
      <c r="F51" s="179">
        <f t="shared" si="1"/>
        <v>0</v>
      </c>
      <c r="G51" s="70"/>
    </row>
    <row r="52" spans="1:7" ht="15.6" x14ac:dyDescent="0.3">
      <c r="A52" s="26"/>
      <c r="B52" s="25"/>
      <c r="C52" s="27"/>
      <c r="D52" s="73"/>
      <c r="E52" s="179"/>
      <c r="F52" s="179">
        <f t="shared" si="1"/>
        <v>0</v>
      </c>
      <c r="G52" s="70"/>
    </row>
    <row r="53" spans="1:7" ht="15.6" x14ac:dyDescent="0.3">
      <c r="A53" s="26"/>
      <c r="B53" s="25"/>
      <c r="C53" s="25"/>
      <c r="D53" s="72"/>
      <c r="E53" s="179"/>
      <c r="F53" s="179">
        <f t="shared" si="1"/>
        <v>0</v>
      </c>
      <c r="G53" s="70"/>
    </row>
    <row r="54" spans="1:7" ht="15.6" x14ac:dyDescent="0.3">
      <c r="A54" s="26"/>
      <c r="B54" s="25"/>
      <c r="C54" s="25"/>
      <c r="D54" s="72"/>
      <c r="E54" s="179"/>
      <c r="F54" s="179">
        <f t="shared" si="1"/>
        <v>0</v>
      </c>
      <c r="G54" s="70"/>
    </row>
    <row r="55" spans="1:7" ht="15.6" x14ac:dyDescent="0.3">
      <c r="A55" s="26"/>
      <c r="B55" s="25"/>
      <c r="C55" s="25"/>
      <c r="D55" s="72"/>
      <c r="E55" s="179"/>
      <c r="F55" s="179">
        <f t="shared" si="1"/>
        <v>0</v>
      </c>
      <c r="G55" s="70"/>
    </row>
    <row r="56" spans="1:7" ht="15.6" x14ac:dyDescent="0.3">
      <c r="A56" s="26"/>
      <c r="B56" s="25"/>
      <c r="C56" s="25"/>
      <c r="D56" s="72"/>
      <c r="E56" s="179"/>
      <c r="F56" s="179">
        <f t="shared" si="1"/>
        <v>0</v>
      </c>
      <c r="G56" s="70"/>
    </row>
    <row r="57" spans="1:7" ht="15.6" x14ac:dyDescent="0.3">
      <c r="A57" s="21"/>
      <c r="B57" s="20"/>
      <c r="C57" s="20"/>
      <c r="D57" s="69"/>
      <c r="E57" s="180"/>
      <c r="F57" s="180">
        <f t="shared" si="1"/>
        <v>0</v>
      </c>
      <c r="G57" s="67"/>
    </row>
    <row r="58" spans="1:7" ht="17.399999999999999" x14ac:dyDescent="0.3">
      <c r="A58" s="17"/>
      <c r="B58" s="16"/>
      <c r="C58" s="9" t="s">
        <v>8</v>
      </c>
      <c r="D58" s="9"/>
      <c r="E58" s="181"/>
      <c r="F58" s="182">
        <f>SUM(F43:F56)</f>
        <v>17773.740000000002</v>
      </c>
      <c r="G58" s="64"/>
    </row>
    <row r="59" spans="1:7" ht="17.399999999999999" x14ac:dyDescent="0.3">
      <c r="A59" s="11"/>
      <c r="B59" s="10"/>
      <c r="C59" s="63" t="s">
        <v>7</v>
      </c>
      <c r="D59" s="63"/>
      <c r="E59" s="183"/>
      <c r="F59" s="184">
        <f>F58*0.16</f>
        <v>2843.7984000000001</v>
      </c>
      <c r="G59" s="60"/>
    </row>
    <row r="60" spans="1:7" ht="17.399999999999999" x14ac:dyDescent="0.3">
      <c r="A60" s="11"/>
      <c r="B60" s="10"/>
      <c r="C60" s="59" t="s">
        <v>6</v>
      </c>
      <c r="D60" s="59"/>
      <c r="E60" s="185"/>
      <c r="F60" s="186">
        <f>F58+F59</f>
        <v>20617.538400000001</v>
      </c>
      <c r="G60" s="56"/>
    </row>
    <row r="61" spans="1:7" ht="15.6" x14ac:dyDescent="0.3">
      <c r="A61" s="6" t="s">
        <v>5</v>
      </c>
      <c r="B61" s="5"/>
      <c r="C61" s="5" t="s">
        <v>4</v>
      </c>
      <c r="D61" s="5"/>
      <c r="E61" s="5" t="s">
        <v>3</v>
      </c>
      <c r="F61" s="5"/>
      <c r="G61" s="4"/>
    </row>
    <row r="62" spans="1:7" ht="15.6" x14ac:dyDescent="0.3">
      <c r="A62" s="3" t="s">
        <v>374</v>
      </c>
      <c r="B62" s="2"/>
      <c r="C62" s="2" t="s">
        <v>39</v>
      </c>
      <c r="D62" s="2"/>
      <c r="E62" s="2" t="s">
        <v>0</v>
      </c>
      <c r="F62" s="2"/>
      <c r="G62" s="1"/>
    </row>
    <row r="65" spans="1:7" ht="24.6" x14ac:dyDescent="0.3">
      <c r="A65" s="271" t="s">
        <v>38</v>
      </c>
      <c r="B65" s="302"/>
      <c r="C65" s="272"/>
      <c r="D65" s="305" t="s">
        <v>37</v>
      </c>
      <c r="E65" s="306"/>
      <c r="F65" s="306"/>
      <c r="G65" s="307"/>
    </row>
    <row r="66" spans="1:7" ht="21" x14ac:dyDescent="0.4">
      <c r="A66" s="273"/>
      <c r="B66" s="303"/>
      <c r="C66" s="274"/>
      <c r="D66" s="51" t="s">
        <v>36</v>
      </c>
      <c r="E66" s="308" t="s">
        <v>593</v>
      </c>
      <c r="F66" s="282"/>
      <c r="G66" s="50"/>
    </row>
    <row r="67" spans="1:7" ht="21" x14ac:dyDescent="0.4">
      <c r="A67" s="273"/>
      <c r="B67" s="303"/>
      <c r="C67" s="274"/>
      <c r="D67" s="51" t="s">
        <v>51</v>
      </c>
      <c r="E67" s="284">
        <v>22</v>
      </c>
      <c r="F67" s="282"/>
      <c r="G67" s="50"/>
    </row>
    <row r="68" spans="1:7" ht="30" x14ac:dyDescent="0.3">
      <c r="A68" s="275"/>
      <c r="B68" s="304"/>
      <c r="C68" s="276"/>
      <c r="D68" s="47" t="s">
        <v>50</v>
      </c>
      <c r="E68" s="287"/>
      <c r="F68" s="287"/>
      <c r="G68" s="87"/>
    </row>
    <row r="69" spans="1:7" ht="20.399999999999999" x14ac:dyDescent="0.35">
      <c r="A69" s="39" t="s">
        <v>48</v>
      </c>
      <c r="B69" s="43" t="s">
        <v>47</v>
      </c>
      <c r="C69" s="42"/>
      <c r="D69" s="42"/>
      <c r="E69" s="86"/>
      <c r="F69" s="85"/>
      <c r="G69" s="84"/>
    </row>
    <row r="70" spans="1:7" ht="20.399999999999999" x14ac:dyDescent="0.35">
      <c r="A70" s="39" t="s">
        <v>487</v>
      </c>
      <c r="B70" s="38" t="s">
        <v>403</v>
      </c>
      <c r="C70" s="37"/>
      <c r="D70" s="37"/>
      <c r="E70" s="83"/>
      <c r="F70" s="82"/>
      <c r="G70" s="81"/>
    </row>
    <row r="71" spans="1:7" ht="20.399999999999999" x14ac:dyDescent="0.35">
      <c r="A71" s="39" t="s">
        <v>46</v>
      </c>
      <c r="B71" s="38" t="s">
        <v>605</v>
      </c>
      <c r="C71" s="37"/>
      <c r="D71" s="37"/>
      <c r="E71" s="80"/>
      <c r="F71" s="79"/>
      <c r="G71" s="78"/>
    </row>
    <row r="72" spans="1:7" ht="20.399999999999999" x14ac:dyDescent="0.35">
      <c r="A72" s="39" t="s">
        <v>28</v>
      </c>
      <c r="B72" s="38" t="s">
        <v>77</v>
      </c>
      <c r="C72" s="37"/>
      <c r="D72" s="37"/>
      <c r="E72" s="37"/>
      <c r="F72" s="37"/>
      <c r="G72" s="77"/>
    </row>
    <row r="73" spans="1:7" ht="15" x14ac:dyDescent="0.3">
      <c r="A73" s="34" t="s">
        <v>26</v>
      </c>
      <c r="B73" s="34" t="s">
        <v>25</v>
      </c>
      <c r="C73" s="34" t="s">
        <v>24</v>
      </c>
      <c r="D73" s="34" t="s">
        <v>43</v>
      </c>
      <c r="E73" s="34" t="s">
        <v>42</v>
      </c>
      <c r="F73" s="34" t="s">
        <v>22</v>
      </c>
      <c r="G73" s="34" t="s">
        <v>21</v>
      </c>
    </row>
    <row r="74" spans="1:7" ht="15.6" x14ac:dyDescent="0.3">
      <c r="A74" s="33">
        <v>6</v>
      </c>
      <c r="B74" s="32" t="s">
        <v>10</v>
      </c>
      <c r="C74" s="32" t="s">
        <v>496</v>
      </c>
      <c r="D74" s="76" t="s">
        <v>497</v>
      </c>
      <c r="E74" s="178">
        <v>1265.27</v>
      </c>
      <c r="F74" s="178">
        <f t="shared" ref="F74:F88" si="2">A74*E74</f>
        <v>7591.62</v>
      </c>
      <c r="G74" s="74"/>
    </row>
    <row r="75" spans="1:7" ht="31.2" x14ac:dyDescent="0.3">
      <c r="A75" s="29">
        <v>5</v>
      </c>
      <c r="B75" s="25" t="s">
        <v>10</v>
      </c>
      <c r="C75" s="25" t="s">
        <v>498</v>
      </c>
      <c r="D75" s="73" t="s">
        <v>499</v>
      </c>
      <c r="E75" s="179">
        <v>289.23</v>
      </c>
      <c r="F75" s="179">
        <f t="shared" si="2"/>
        <v>1446.15</v>
      </c>
      <c r="G75" s="74"/>
    </row>
    <row r="76" spans="1:7" ht="15.6" x14ac:dyDescent="0.3">
      <c r="A76" s="29"/>
      <c r="B76" s="25"/>
      <c r="C76" s="25"/>
      <c r="D76" s="73"/>
      <c r="E76" s="179"/>
      <c r="F76" s="179">
        <f t="shared" si="2"/>
        <v>0</v>
      </c>
      <c r="G76" s="74"/>
    </row>
    <row r="77" spans="1:7" ht="15.6" x14ac:dyDescent="0.3">
      <c r="A77" s="29"/>
      <c r="B77" s="27"/>
      <c r="C77" s="27"/>
      <c r="D77" s="73"/>
      <c r="E77" s="179"/>
      <c r="F77" s="179">
        <f t="shared" si="2"/>
        <v>0</v>
      </c>
      <c r="G77" s="70"/>
    </row>
    <row r="78" spans="1:7" ht="15.6" x14ac:dyDescent="0.3">
      <c r="A78" s="29"/>
      <c r="B78" s="27"/>
      <c r="C78" s="27"/>
      <c r="D78" s="73"/>
      <c r="E78" s="179"/>
      <c r="F78" s="179">
        <f t="shared" si="2"/>
        <v>0</v>
      </c>
      <c r="G78" s="70"/>
    </row>
    <row r="79" spans="1:7" ht="15.6" x14ac:dyDescent="0.3">
      <c r="A79" s="29"/>
      <c r="B79" s="27"/>
      <c r="C79" s="27"/>
      <c r="D79" s="73"/>
      <c r="E79" s="179"/>
      <c r="F79" s="179">
        <f t="shared" si="2"/>
        <v>0</v>
      </c>
      <c r="G79" s="70"/>
    </row>
    <row r="80" spans="1:7" ht="15.6" x14ac:dyDescent="0.3">
      <c r="A80" s="29"/>
      <c r="B80" s="27"/>
      <c r="C80" s="27"/>
      <c r="D80" s="73"/>
      <c r="E80" s="179"/>
      <c r="F80" s="179">
        <f t="shared" si="2"/>
        <v>0</v>
      </c>
      <c r="G80" s="70"/>
    </row>
    <row r="81" spans="1:7" ht="15.6" x14ac:dyDescent="0.3">
      <c r="A81" s="26"/>
      <c r="B81" s="27"/>
      <c r="C81" s="27"/>
      <c r="D81" s="73"/>
      <c r="E81" s="179"/>
      <c r="F81" s="179">
        <f t="shared" si="2"/>
        <v>0</v>
      </c>
      <c r="G81" s="70"/>
    </row>
    <row r="82" spans="1:7" ht="15.6" x14ac:dyDescent="0.3">
      <c r="A82" s="26"/>
      <c r="B82" s="27"/>
      <c r="C82" s="27"/>
      <c r="D82" s="73"/>
      <c r="E82" s="179"/>
      <c r="F82" s="179">
        <f t="shared" si="2"/>
        <v>0</v>
      </c>
      <c r="G82" s="70"/>
    </row>
    <row r="83" spans="1:7" ht="15.6" x14ac:dyDescent="0.3">
      <c r="A83" s="26"/>
      <c r="B83" s="25"/>
      <c r="C83" s="27"/>
      <c r="D83" s="73"/>
      <c r="E83" s="179"/>
      <c r="F83" s="179">
        <f t="shared" si="2"/>
        <v>0</v>
      </c>
      <c r="G83" s="70"/>
    </row>
    <row r="84" spans="1:7" ht="15.6" x14ac:dyDescent="0.3">
      <c r="A84" s="26"/>
      <c r="B84" s="25"/>
      <c r="C84" s="25"/>
      <c r="D84" s="72"/>
      <c r="E84" s="179"/>
      <c r="F84" s="179">
        <f t="shared" si="2"/>
        <v>0</v>
      </c>
      <c r="G84" s="70"/>
    </row>
    <row r="85" spans="1:7" ht="15.6" x14ac:dyDescent="0.3">
      <c r="A85" s="26"/>
      <c r="B85" s="25"/>
      <c r="C85" s="25"/>
      <c r="D85" s="72"/>
      <c r="E85" s="179"/>
      <c r="F85" s="179">
        <f t="shared" si="2"/>
        <v>0</v>
      </c>
      <c r="G85" s="70"/>
    </row>
    <row r="86" spans="1:7" ht="15.6" x14ac:dyDescent="0.3">
      <c r="A86" s="26"/>
      <c r="B86" s="25"/>
      <c r="C86" s="25"/>
      <c r="D86" s="72"/>
      <c r="E86" s="179"/>
      <c r="F86" s="179">
        <f t="shared" si="2"/>
        <v>0</v>
      </c>
      <c r="G86" s="70"/>
    </row>
    <row r="87" spans="1:7" ht="15.6" x14ac:dyDescent="0.3">
      <c r="A87" s="26"/>
      <c r="B87" s="25"/>
      <c r="C87" s="25"/>
      <c r="D87" s="72"/>
      <c r="E87" s="179"/>
      <c r="F87" s="179">
        <f t="shared" si="2"/>
        <v>0</v>
      </c>
      <c r="G87" s="70"/>
    </row>
    <row r="88" spans="1:7" ht="15.6" x14ac:dyDescent="0.3">
      <c r="A88" s="21"/>
      <c r="B88" s="20"/>
      <c r="C88" s="20"/>
      <c r="D88" s="69"/>
      <c r="E88" s="180"/>
      <c r="F88" s="180">
        <f t="shared" si="2"/>
        <v>0</v>
      </c>
      <c r="G88" s="67"/>
    </row>
    <row r="89" spans="1:7" ht="17.399999999999999" x14ac:dyDescent="0.3">
      <c r="A89" s="17"/>
      <c r="B89" s="16"/>
      <c r="C89" s="9" t="s">
        <v>8</v>
      </c>
      <c r="D89" s="9"/>
      <c r="E89" s="181"/>
      <c r="F89" s="182">
        <f>SUM(F74:F87)</f>
        <v>9037.77</v>
      </c>
      <c r="G89" s="64"/>
    </row>
    <row r="90" spans="1:7" ht="17.399999999999999" x14ac:dyDescent="0.3">
      <c r="A90" s="11"/>
      <c r="B90" s="10"/>
      <c r="C90" s="63" t="s">
        <v>7</v>
      </c>
      <c r="D90" s="63"/>
      <c r="E90" s="183"/>
      <c r="F90" s="184">
        <f>F89*0.16</f>
        <v>1446.0432000000001</v>
      </c>
      <c r="G90" s="60"/>
    </row>
    <row r="91" spans="1:7" ht="17.399999999999999" x14ac:dyDescent="0.3">
      <c r="A91" s="11"/>
      <c r="B91" s="10"/>
      <c r="C91" s="59" t="s">
        <v>6</v>
      </c>
      <c r="D91" s="59"/>
      <c r="E91" s="185"/>
      <c r="F91" s="186">
        <f>F89+F90</f>
        <v>10483.813200000001</v>
      </c>
      <c r="G91" s="56"/>
    </row>
    <row r="92" spans="1:7" ht="15.6" x14ac:dyDescent="0.3">
      <c r="A92" s="6" t="s">
        <v>5</v>
      </c>
      <c r="B92" s="5"/>
      <c r="C92" s="5" t="s">
        <v>4</v>
      </c>
      <c r="D92" s="5"/>
      <c r="E92" s="5" t="s">
        <v>3</v>
      </c>
      <c r="F92" s="5"/>
      <c r="G92" s="4"/>
    </row>
    <row r="93" spans="1:7" ht="15.6" x14ac:dyDescent="0.3">
      <c r="A93" s="3" t="s">
        <v>374</v>
      </c>
      <c r="B93" s="2"/>
      <c r="C93" s="2" t="s">
        <v>39</v>
      </c>
      <c r="D93" s="2"/>
      <c r="E93" s="2" t="s">
        <v>0</v>
      </c>
      <c r="F93" s="2"/>
      <c r="G93" s="1"/>
    </row>
    <row r="97" spans="1:7" ht="21" x14ac:dyDescent="0.4">
      <c r="A97" s="55"/>
      <c r="B97" s="271" t="s">
        <v>38</v>
      </c>
      <c r="C97" s="272"/>
      <c r="D97" s="277" t="s">
        <v>37</v>
      </c>
      <c r="E97" s="278"/>
      <c r="F97" s="278"/>
      <c r="G97" s="279"/>
    </row>
    <row r="98" spans="1:7" ht="21" x14ac:dyDescent="0.4">
      <c r="A98" s="53"/>
      <c r="B98" s="273"/>
      <c r="C98" s="274"/>
      <c r="D98" s="280" t="s">
        <v>36</v>
      </c>
      <c r="E98" s="281"/>
      <c r="F98" s="282" t="s">
        <v>485</v>
      </c>
      <c r="G98" s="283"/>
    </row>
    <row r="99" spans="1:7" ht="21" x14ac:dyDescent="0.4">
      <c r="A99" s="53"/>
      <c r="B99" s="273"/>
      <c r="C99" s="274"/>
      <c r="D99" s="280" t="s">
        <v>118</v>
      </c>
      <c r="E99" s="281"/>
      <c r="F99" s="284">
        <v>20</v>
      </c>
      <c r="G99" s="283"/>
    </row>
    <row r="100" spans="1:7" ht="21" x14ac:dyDescent="0.4">
      <c r="A100" s="49"/>
      <c r="B100" s="275"/>
      <c r="C100" s="276"/>
      <c r="D100" s="285" t="s">
        <v>50</v>
      </c>
      <c r="E100" s="286"/>
      <c r="F100" s="287" t="s">
        <v>500</v>
      </c>
      <c r="G100" s="288"/>
    </row>
    <row r="101" spans="1:7" ht="20.399999999999999" x14ac:dyDescent="0.35">
      <c r="A101" s="39" t="s">
        <v>48</v>
      </c>
      <c r="B101" s="43" t="s">
        <v>47</v>
      </c>
      <c r="C101" s="42"/>
      <c r="D101" s="42"/>
      <c r="E101" s="289"/>
      <c r="F101" s="289"/>
      <c r="G101" s="290"/>
    </row>
    <row r="102" spans="1:7" ht="20.399999999999999" x14ac:dyDescent="0.35">
      <c r="A102" s="39" t="s">
        <v>30</v>
      </c>
      <c r="B102" s="291"/>
      <c r="C102" s="292"/>
      <c r="D102" s="292"/>
      <c r="E102" s="292"/>
      <c r="F102" s="292"/>
      <c r="G102" s="293"/>
    </row>
    <row r="103" spans="1:7" ht="20.399999999999999" x14ac:dyDescent="0.35">
      <c r="A103" s="39" t="s">
        <v>46</v>
      </c>
      <c r="B103" s="291" t="s">
        <v>501</v>
      </c>
      <c r="C103" s="292"/>
      <c r="D103" s="292"/>
      <c r="E103" s="292"/>
      <c r="F103" s="292"/>
      <c r="G103" s="293"/>
    </row>
    <row r="104" spans="1:7" ht="20.399999999999999" x14ac:dyDescent="0.35">
      <c r="A104" s="39" t="s">
        <v>28</v>
      </c>
      <c r="B104" s="291" t="s">
        <v>55</v>
      </c>
      <c r="C104" s="292"/>
      <c r="D104" s="292"/>
      <c r="E104" s="292"/>
      <c r="F104" s="292"/>
      <c r="G104" s="293"/>
    </row>
    <row r="105" spans="1:7" ht="15" x14ac:dyDescent="0.3">
      <c r="A105" s="34" t="s">
        <v>26</v>
      </c>
      <c r="B105" s="34" t="s">
        <v>25</v>
      </c>
      <c r="C105" s="34" t="s">
        <v>24</v>
      </c>
      <c r="D105" s="34" t="s">
        <v>43</v>
      </c>
      <c r="E105" s="34" t="s">
        <v>42</v>
      </c>
      <c r="F105" s="34" t="s">
        <v>22</v>
      </c>
      <c r="G105" s="34" t="s">
        <v>21</v>
      </c>
    </row>
    <row r="106" spans="1:7" ht="15.6" x14ac:dyDescent="0.3">
      <c r="A106" s="33">
        <v>80</v>
      </c>
      <c r="B106" s="32" t="s">
        <v>235</v>
      </c>
      <c r="C106" s="32" t="s">
        <v>84</v>
      </c>
      <c r="D106" s="171"/>
      <c r="E106" s="75">
        <v>105</v>
      </c>
      <c r="F106" s="172">
        <f t="shared" ref="F106:F115" si="3">A106*E106</f>
        <v>8400</v>
      </c>
      <c r="G106" s="128"/>
    </row>
    <row r="107" spans="1:7" ht="15.6" x14ac:dyDescent="0.3">
      <c r="A107" s="29">
        <v>60</v>
      </c>
      <c r="B107" s="25" t="s">
        <v>235</v>
      </c>
      <c r="C107" s="25" t="s">
        <v>82</v>
      </c>
      <c r="D107" s="72"/>
      <c r="E107" s="71">
        <v>80</v>
      </c>
      <c r="F107" s="120">
        <f t="shared" si="3"/>
        <v>4800</v>
      </c>
      <c r="G107" s="70"/>
    </row>
    <row r="108" spans="1:7" ht="15.6" x14ac:dyDescent="0.3">
      <c r="A108" s="29"/>
      <c r="B108" s="25"/>
      <c r="C108" s="25"/>
      <c r="D108" s="72"/>
      <c r="E108" s="71"/>
      <c r="F108" s="120">
        <f t="shared" si="3"/>
        <v>0</v>
      </c>
      <c r="G108" s="70"/>
    </row>
    <row r="109" spans="1:7" ht="15.6" x14ac:dyDescent="0.3">
      <c r="A109" s="29"/>
      <c r="B109" s="25"/>
      <c r="C109" s="25"/>
      <c r="D109" s="72"/>
      <c r="E109" s="71"/>
      <c r="F109" s="120">
        <f t="shared" si="3"/>
        <v>0</v>
      </c>
      <c r="G109" s="70"/>
    </row>
    <row r="110" spans="1:7" ht="15.6" x14ac:dyDescent="0.3">
      <c r="A110" s="26"/>
      <c r="B110" s="25"/>
      <c r="C110" s="25"/>
      <c r="D110" s="72"/>
      <c r="E110" s="71"/>
      <c r="F110" s="120">
        <f t="shared" si="3"/>
        <v>0</v>
      </c>
      <c r="G110" s="70"/>
    </row>
    <row r="111" spans="1:7" ht="15.6" x14ac:dyDescent="0.3">
      <c r="A111" s="26"/>
      <c r="B111" s="25"/>
      <c r="C111" s="25"/>
      <c r="D111" s="72"/>
      <c r="E111" s="71"/>
      <c r="F111" s="120">
        <f t="shared" si="3"/>
        <v>0</v>
      </c>
      <c r="G111" s="70"/>
    </row>
    <row r="112" spans="1:7" ht="15.6" x14ac:dyDescent="0.3">
      <c r="A112" s="26"/>
      <c r="B112" s="25"/>
      <c r="C112" s="25"/>
      <c r="D112" s="72"/>
      <c r="E112" s="71"/>
      <c r="F112" s="120">
        <f t="shared" si="3"/>
        <v>0</v>
      </c>
      <c r="G112" s="70"/>
    </row>
    <row r="113" spans="1:7" ht="15.6" x14ac:dyDescent="0.3">
      <c r="A113" s="26"/>
      <c r="B113" s="25"/>
      <c r="C113" s="25"/>
      <c r="D113" s="72"/>
      <c r="E113" s="71"/>
      <c r="F113" s="120">
        <f t="shared" si="3"/>
        <v>0</v>
      </c>
      <c r="G113" s="70"/>
    </row>
    <row r="114" spans="1:7" ht="15.6" x14ac:dyDescent="0.3">
      <c r="A114" s="26"/>
      <c r="B114" s="25"/>
      <c r="C114" s="25"/>
      <c r="D114" s="72"/>
      <c r="E114" s="71"/>
      <c r="F114" s="120">
        <f t="shared" si="3"/>
        <v>0</v>
      </c>
      <c r="G114" s="70"/>
    </row>
    <row r="115" spans="1:7" ht="15.6" x14ac:dyDescent="0.3">
      <c r="A115" s="21"/>
      <c r="B115" s="20"/>
      <c r="C115" s="20"/>
      <c r="D115" s="69"/>
      <c r="E115" s="68"/>
      <c r="F115" s="174">
        <f t="shared" si="3"/>
        <v>0</v>
      </c>
      <c r="G115" s="67"/>
    </row>
    <row r="116" spans="1:7" ht="17.399999999999999" x14ac:dyDescent="0.3">
      <c r="A116" s="17"/>
      <c r="B116" s="16"/>
      <c r="C116" s="294" t="s">
        <v>8</v>
      </c>
      <c r="D116" s="294"/>
      <c r="E116" s="66"/>
      <c r="F116" s="105">
        <f>SUM(F106:F114)</f>
        <v>13200</v>
      </c>
      <c r="G116" s="64"/>
    </row>
    <row r="117" spans="1:7" ht="17.399999999999999" x14ac:dyDescent="0.3">
      <c r="A117" s="11"/>
      <c r="B117" s="10"/>
      <c r="C117" s="270" t="s">
        <v>7</v>
      </c>
      <c r="D117" s="270"/>
      <c r="E117" s="62"/>
      <c r="F117" s="104">
        <f>F116*0.16</f>
        <v>2112</v>
      </c>
      <c r="G117" s="60"/>
    </row>
    <row r="118" spans="1:7" ht="17.399999999999999" x14ac:dyDescent="0.3">
      <c r="A118" s="11"/>
      <c r="B118" s="10"/>
      <c r="C118" s="295" t="s">
        <v>6</v>
      </c>
      <c r="D118" s="295"/>
      <c r="E118" s="58"/>
      <c r="F118" s="103">
        <f>F116+F117</f>
        <v>15312</v>
      </c>
      <c r="G118" s="56"/>
    </row>
    <row r="119" spans="1:7" ht="15.6" x14ac:dyDescent="0.3">
      <c r="A119" s="296" t="s">
        <v>5</v>
      </c>
      <c r="B119" s="297"/>
      <c r="C119" s="5" t="s">
        <v>4</v>
      </c>
      <c r="D119" s="5"/>
      <c r="E119" s="297" t="s">
        <v>3</v>
      </c>
      <c r="F119" s="297"/>
      <c r="G119" s="298"/>
    </row>
    <row r="120" spans="1:7" ht="15.6" x14ac:dyDescent="0.3">
      <c r="A120" s="299" t="s">
        <v>2</v>
      </c>
      <c r="B120" s="300"/>
      <c r="C120" s="170" t="s">
        <v>39</v>
      </c>
      <c r="D120" s="2"/>
      <c r="E120" s="300" t="s">
        <v>0</v>
      </c>
      <c r="F120" s="300"/>
      <c r="G120" s="301"/>
    </row>
    <row r="124" spans="1:7" ht="24.6" x14ac:dyDescent="0.3">
      <c r="A124" s="271" t="s">
        <v>38</v>
      </c>
      <c r="B124" s="302"/>
      <c r="C124" s="272"/>
      <c r="D124" s="305" t="s">
        <v>37</v>
      </c>
      <c r="E124" s="306"/>
      <c r="F124" s="306"/>
      <c r="G124" s="307"/>
    </row>
    <row r="125" spans="1:7" ht="21" x14ac:dyDescent="0.4">
      <c r="A125" s="273"/>
      <c r="B125" s="303"/>
      <c r="C125" s="274"/>
      <c r="D125" s="51" t="s">
        <v>36</v>
      </c>
      <c r="E125" s="308" t="s">
        <v>516</v>
      </c>
      <c r="F125" s="282"/>
      <c r="G125" s="50"/>
    </row>
    <row r="126" spans="1:7" ht="21" x14ac:dyDescent="0.4">
      <c r="A126" s="273"/>
      <c r="B126" s="303"/>
      <c r="C126" s="274"/>
      <c r="D126" s="51" t="s">
        <v>51</v>
      </c>
      <c r="E126" s="284">
        <v>21</v>
      </c>
      <c r="F126" s="282"/>
      <c r="G126" s="50"/>
    </row>
    <row r="127" spans="1:7" ht="30" x14ac:dyDescent="0.3">
      <c r="A127" s="275"/>
      <c r="B127" s="304"/>
      <c r="C127" s="276"/>
      <c r="D127" s="47" t="s">
        <v>50</v>
      </c>
      <c r="E127" s="287" t="s">
        <v>549</v>
      </c>
      <c r="F127" s="287"/>
      <c r="G127" s="87"/>
    </row>
    <row r="128" spans="1:7" ht="20.399999999999999" x14ac:dyDescent="0.35">
      <c r="A128" s="39" t="s">
        <v>48</v>
      </c>
      <c r="B128" s="43" t="s">
        <v>47</v>
      </c>
      <c r="C128" s="42"/>
      <c r="D128" s="42"/>
      <c r="E128" s="86"/>
      <c r="F128" s="85"/>
      <c r="G128" s="84"/>
    </row>
    <row r="129" spans="1:7" ht="20.399999999999999" x14ac:dyDescent="0.35">
      <c r="A129" s="39" t="s">
        <v>30</v>
      </c>
      <c r="B129" s="38" t="s">
        <v>475</v>
      </c>
      <c r="C129" s="37"/>
      <c r="D129" s="37"/>
      <c r="E129" s="83"/>
      <c r="F129" s="82"/>
      <c r="G129" s="81"/>
    </row>
    <row r="130" spans="1:7" ht="20.399999999999999" x14ac:dyDescent="0.35">
      <c r="A130" s="39" t="s">
        <v>46</v>
      </c>
      <c r="B130" s="38" t="s">
        <v>158</v>
      </c>
      <c r="C130" s="37"/>
      <c r="D130" s="37"/>
      <c r="E130" s="80"/>
      <c r="F130" s="79"/>
      <c r="G130" s="78"/>
    </row>
    <row r="131" spans="1:7" ht="20.399999999999999" x14ac:dyDescent="0.35">
      <c r="A131" s="39" t="s">
        <v>28</v>
      </c>
      <c r="B131" s="38" t="s">
        <v>198</v>
      </c>
      <c r="C131" s="37"/>
      <c r="D131" s="37"/>
      <c r="E131" s="37"/>
      <c r="F131" s="37"/>
      <c r="G131" s="77"/>
    </row>
    <row r="132" spans="1:7" ht="15" x14ac:dyDescent="0.3">
      <c r="A132" s="34" t="s">
        <v>26</v>
      </c>
      <c r="B132" s="34" t="s">
        <v>25</v>
      </c>
      <c r="C132" s="34" t="s">
        <v>24</v>
      </c>
      <c r="D132" s="34" t="s">
        <v>43</v>
      </c>
      <c r="E132" s="34" t="s">
        <v>42</v>
      </c>
      <c r="F132" s="34" t="s">
        <v>22</v>
      </c>
      <c r="G132" s="34" t="s">
        <v>21</v>
      </c>
    </row>
    <row r="133" spans="1:7" ht="15.6" x14ac:dyDescent="0.3">
      <c r="A133" s="33">
        <v>20</v>
      </c>
      <c r="B133" s="32" t="s">
        <v>10</v>
      </c>
      <c r="C133" s="32" t="s">
        <v>520</v>
      </c>
      <c r="D133" s="76" t="s">
        <v>461</v>
      </c>
      <c r="E133" s="178">
        <v>5.58</v>
      </c>
      <c r="F133" s="178">
        <f t="shared" ref="F133:F145" si="4">A133*E133</f>
        <v>111.6</v>
      </c>
      <c r="G133" s="74"/>
    </row>
    <row r="134" spans="1:7" ht="15.6" x14ac:dyDescent="0.3">
      <c r="A134" s="29">
        <v>20</v>
      </c>
      <c r="B134" s="25" t="s">
        <v>10</v>
      </c>
      <c r="C134" s="25" t="s">
        <v>521</v>
      </c>
      <c r="D134" s="73" t="s">
        <v>503</v>
      </c>
      <c r="E134" s="179">
        <v>18.75</v>
      </c>
      <c r="F134" s="179">
        <f t="shared" si="4"/>
        <v>375</v>
      </c>
      <c r="G134" s="74"/>
    </row>
    <row r="135" spans="1:7" ht="15.6" x14ac:dyDescent="0.3">
      <c r="A135" s="29">
        <v>20</v>
      </c>
      <c r="B135" s="25" t="s">
        <v>10</v>
      </c>
      <c r="C135" s="25" t="s">
        <v>522</v>
      </c>
      <c r="D135" s="73" t="s">
        <v>503</v>
      </c>
      <c r="E135" s="179">
        <v>8.39</v>
      </c>
      <c r="F135" s="179">
        <f t="shared" si="4"/>
        <v>167.8</v>
      </c>
      <c r="G135" s="74"/>
    </row>
    <row r="136" spans="1:7" ht="15.6" x14ac:dyDescent="0.3">
      <c r="A136" s="29">
        <v>10</v>
      </c>
      <c r="B136" s="27" t="s">
        <v>10</v>
      </c>
      <c r="C136" s="27" t="s">
        <v>523</v>
      </c>
      <c r="D136" s="73" t="s">
        <v>503</v>
      </c>
      <c r="E136" s="179">
        <v>48.28</v>
      </c>
      <c r="F136" s="179">
        <f t="shared" si="4"/>
        <v>482.8</v>
      </c>
      <c r="G136" s="70"/>
    </row>
    <row r="137" spans="1:7" ht="15.6" x14ac:dyDescent="0.3">
      <c r="A137" s="29">
        <v>50</v>
      </c>
      <c r="B137" s="27" t="s">
        <v>10</v>
      </c>
      <c r="C137" s="27" t="s">
        <v>524</v>
      </c>
      <c r="D137" s="73" t="s">
        <v>315</v>
      </c>
      <c r="E137" s="179">
        <v>6.09</v>
      </c>
      <c r="F137" s="179">
        <f t="shared" si="4"/>
        <v>304.5</v>
      </c>
      <c r="G137" s="70"/>
    </row>
    <row r="138" spans="1:7" ht="15.6" x14ac:dyDescent="0.3">
      <c r="A138" s="29">
        <v>30</v>
      </c>
      <c r="B138" s="27" t="s">
        <v>10</v>
      </c>
      <c r="C138" s="27" t="s">
        <v>525</v>
      </c>
      <c r="D138" s="73" t="s">
        <v>526</v>
      </c>
      <c r="E138" s="179">
        <v>5.29</v>
      </c>
      <c r="F138" s="179">
        <f t="shared" si="4"/>
        <v>158.69999999999999</v>
      </c>
      <c r="G138" s="70"/>
    </row>
    <row r="139" spans="1:7" ht="15.6" x14ac:dyDescent="0.3">
      <c r="A139" s="29">
        <v>20</v>
      </c>
      <c r="B139" s="27" t="s">
        <v>10</v>
      </c>
      <c r="C139" s="27" t="s">
        <v>506</v>
      </c>
      <c r="D139" s="165" t="s">
        <v>315</v>
      </c>
      <c r="E139" s="179">
        <v>17.190000000000001</v>
      </c>
      <c r="F139" s="179">
        <f t="shared" si="4"/>
        <v>343.8</v>
      </c>
      <c r="G139" s="70"/>
    </row>
    <row r="140" spans="1:7" ht="15.6" x14ac:dyDescent="0.3">
      <c r="A140" s="26">
        <v>30</v>
      </c>
      <c r="B140" s="27" t="s">
        <v>10</v>
      </c>
      <c r="C140" s="27" t="s">
        <v>527</v>
      </c>
      <c r="D140" s="73" t="s">
        <v>503</v>
      </c>
      <c r="E140" s="179">
        <v>2.93</v>
      </c>
      <c r="F140" s="179">
        <f t="shared" si="4"/>
        <v>87.9</v>
      </c>
      <c r="G140" s="70"/>
    </row>
    <row r="141" spans="1:7" ht="15.6" x14ac:dyDescent="0.3">
      <c r="A141" s="26">
        <v>60</v>
      </c>
      <c r="B141" s="25" t="s">
        <v>10</v>
      </c>
      <c r="C141" s="25" t="s">
        <v>528</v>
      </c>
      <c r="D141" s="73" t="s">
        <v>503</v>
      </c>
      <c r="E141" s="179">
        <v>2.46</v>
      </c>
      <c r="F141" s="179">
        <f t="shared" si="4"/>
        <v>147.6</v>
      </c>
      <c r="G141" s="70"/>
    </row>
    <row r="142" spans="1:7" ht="15.6" x14ac:dyDescent="0.3">
      <c r="A142" s="26">
        <v>20</v>
      </c>
      <c r="B142" s="25" t="s">
        <v>10</v>
      </c>
      <c r="C142" s="25" t="s">
        <v>529</v>
      </c>
      <c r="D142" s="72"/>
      <c r="E142" s="179">
        <v>55.18</v>
      </c>
      <c r="F142" s="179">
        <f t="shared" si="4"/>
        <v>1103.5999999999999</v>
      </c>
      <c r="G142" s="70"/>
    </row>
    <row r="143" spans="1:7" ht="15.6" x14ac:dyDescent="0.3">
      <c r="A143" s="26"/>
      <c r="B143" s="25"/>
      <c r="C143" s="25"/>
      <c r="D143" s="72"/>
      <c r="E143" s="179"/>
      <c r="F143" s="179">
        <f t="shared" si="4"/>
        <v>0</v>
      </c>
      <c r="G143" s="70"/>
    </row>
    <row r="144" spans="1:7" ht="15.6" x14ac:dyDescent="0.3">
      <c r="A144" s="26"/>
      <c r="B144" s="25"/>
      <c r="C144" s="25"/>
      <c r="D144" s="72"/>
      <c r="E144" s="179"/>
      <c r="F144" s="179">
        <f t="shared" si="4"/>
        <v>0</v>
      </c>
      <c r="G144" s="70"/>
    </row>
    <row r="145" spans="1:7" ht="15.6" x14ac:dyDescent="0.3">
      <c r="A145" s="21"/>
      <c r="B145" s="20"/>
      <c r="C145" s="20"/>
      <c r="D145" s="69"/>
      <c r="E145" s="180"/>
      <c r="F145" s="180">
        <f t="shared" si="4"/>
        <v>0</v>
      </c>
      <c r="G145" s="67"/>
    </row>
    <row r="146" spans="1:7" ht="17.399999999999999" x14ac:dyDescent="0.3">
      <c r="A146" s="17"/>
      <c r="B146" s="16"/>
      <c r="C146" s="9" t="s">
        <v>8</v>
      </c>
      <c r="D146" s="9"/>
      <c r="E146" s="181"/>
      <c r="F146" s="182">
        <f>SUM(F133:F144)</f>
        <v>3283.3</v>
      </c>
      <c r="G146" s="64"/>
    </row>
    <row r="147" spans="1:7" ht="17.399999999999999" x14ac:dyDescent="0.3">
      <c r="A147" s="11"/>
      <c r="B147" s="10"/>
      <c r="C147" s="63" t="s">
        <v>7</v>
      </c>
      <c r="D147" s="63"/>
      <c r="E147" s="183"/>
      <c r="F147" s="184">
        <f>F146*0.16</f>
        <v>525.32800000000009</v>
      </c>
      <c r="G147" s="60"/>
    </row>
    <row r="148" spans="1:7" ht="17.399999999999999" x14ac:dyDescent="0.3">
      <c r="A148" s="11"/>
      <c r="B148" s="10"/>
      <c r="C148" s="59" t="s">
        <v>6</v>
      </c>
      <c r="D148" s="59"/>
      <c r="E148" s="185"/>
      <c r="F148" s="186">
        <f>F146+F147</f>
        <v>3808.6280000000002</v>
      </c>
      <c r="G148" s="56"/>
    </row>
    <row r="149" spans="1:7" ht="15.6" x14ac:dyDescent="0.3">
      <c r="A149" s="6" t="s">
        <v>5</v>
      </c>
      <c r="B149" s="5"/>
      <c r="C149" s="5" t="s">
        <v>4</v>
      </c>
      <c r="D149" s="5"/>
      <c r="E149" s="5" t="s">
        <v>3</v>
      </c>
      <c r="F149" s="5"/>
      <c r="G149" s="4"/>
    </row>
    <row r="150" spans="1:7" ht="15.6" x14ac:dyDescent="0.3">
      <c r="A150" s="3" t="s">
        <v>374</v>
      </c>
      <c r="B150" s="2"/>
      <c r="C150" s="2" t="s">
        <v>39</v>
      </c>
      <c r="D150" s="2"/>
      <c r="E150" s="2" t="s">
        <v>0</v>
      </c>
      <c r="F150" s="2"/>
      <c r="G150" s="1"/>
    </row>
    <row r="154" spans="1:7" ht="21" x14ac:dyDescent="0.4">
      <c r="A154" s="55"/>
      <c r="B154" s="326" t="s">
        <v>38</v>
      </c>
      <c r="C154" s="327"/>
      <c r="D154" s="277" t="s">
        <v>37</v>
      </c>
      <c r="E154" s="278"/>
      <c r="F154" s="278"/>
      <c r="G154" s="279"/>
    </row>
    <row r="155" spans="1:7" ht="21" x14ac:dyDescent="0.4">
      <c r="A155" s="53"/>
      <c r="B155" s="328"/>
      <c r="C155" s="329"/>
      <c r="D155" s="280" t="s">
        <v>36</v>
      </c>
      <c r="E155" s="281"/>
      <c r="F155" s="282" t="s">
        <v>516</v>
      </c>
      <c r="G155" s="283"/>
    </row>
    <row r="156" spans="1:7" ht="21" x14ac:dyDescent="0.4">
      <c r="A156" s="53"/>
      <c r="B156" s="328"/>
      <c r="C156" s="329"/>
      <c r="D156" s="134" t="s">
        <v>118</v>
      </c>
      <c r="E156" s="133"/>
      <c r="F156" s="132">
        <v>21</v>
      </c>
      <c r="G156" s="50"/>
    </row>
    <row r="157" spans="1:7" ht="21" x14ac:dyDescent="0.4">
      <c r="A157" s="49"/>
      <c r="B157" s="330"/>
      <c r="C157" s="331"/>
      <c r="D157" s="285" t="s">
        <v>50</v>
      </c>
      <c r="E157" s="286"/>
      <c r="F157" s="287" t="s">
        <v>515</v>
      </c>
      <c r="G157" s="288"/>
    </row>
    <row r="158" spans="1:7" ht="20.399999999999999" x14ac:dyDescent="0.35">
      <c r="A158" s="39" t="s">
        <v>48</v>
      </c>
      <c r="B158" s="43" t="s">
        <v>0</v>
      </c>
      <c r="C158" s="42"/>
      <c r="D158" s="42"/>
      <c r="E158" s="289" t="s">
        <v>116</v>
      </c>
      <c r="F158" s="289"/>
      <c r="G158" s="290"/>
    </row>
    <row r="159" spans="1:7" ht="20.399999999999999" x14ac:dyDescent="0.35">
      <c r="A159" s="39" t="s">
        <v>30</v>
      </c>
      <c r="B159" s="291"/>
      <c r="C159" s="292"/>
      <c r="D159" s="292"/>
      <c r="E159" s="292"/>
      <c r="F159" s="292"/>
      <c r="G159" s="293"/>
    </row>
    <row r="160" spans="1:7" ht="20.399999999999999" x14ac:dyDescent="0.35">
      <c r="A160" s="39" t="s">
        <v>46</v>
      </c>
      <c r="B160" s="324" t="s">
        <v>514</v>
      </c>
      <c r="C160" s="292"/>
      <c r="D160" s="292"/>
      <c r="E160" s="292"/>
      <c r="F160" s="292"/>
      <c r="G160" s="293"/>
    </row>
    <row r="161" spans="1:7" ht="20.399999999999999" x14ac:dyDescent="0.35">
      <c r="A161" s="39" t="s">
        <v>28</v>
      </c>
      <c r="B161" s="291" t="s">
        <v>114</v>
      </c>
      <c r="C161" s="292"/>
      <c r="D161" s="292"/>
      <c r="E161" s="292"/>
      <c r="F161" s="292"/>
      <c r="G161" s="293"/>
    </row>
    <row r="162" spans="1:7" ht="15" x14ac:dyDescent="0.3">
      <c r="A162" s="34" t="s">
        <v>26</v>
      </c>
      <c r="B162" s="34" t="s">
        <v>25</v>
      </c>
      <c r="C162" s="34" t="s">
        <v>24</v>
      </c>
      <c r="D162" s="34" t="s">
        <v>43</v>
      </c>
      <c r="E162" s="34" t="s">
        <v>42</v>
      </c>
      <c r="F162" s="34" t="s">
        <v>22</v>
      </c>
      <c r="G162" s="34" t="s">
        <v>21</v>
      </c>
    </row>
    <row r="163" spans="1:7" ht="15.6" x14ac:dyDescent="0.3">
      <c r="A163" s="127">
        <v>8</v>
      </c>
      <c r="B163" s="131" t="s">
        <v>10</v>
      </c>
      <c r="C163" s="123" t="s">
        <v>513</v>
      </c>
      <c r="D163" s="130"/>
      <c r="E163" s="121">
        <v>1310.3499999999999</v>
      </c>
      <c r="F163" s="129">
        <f>A163*E163</f>
        <v>10482.799999999999</v>
      </c>
      <c r="G163" s="128"/>
    </row>
    <row r="164" spans="1:7" ht="15.6" x14ac:dyDescent="0.3">
      <c r="A164" s="127"/>
      <c r="B164" s="126"/>
      <c r="C164" s="123"/>
      <c r="D164" s="122"/>
      <c r="E164" s="121"/>
      <c r="F164" s="113">
        <f>A164*E164</f>
        <v>0</v>
      </c>
      <c r="G164" s="70"/>
    </row>
    <row r="165" spans="1:7" ht="15.6" x14ac:dyDescent="0.3">
      <c r="A165" s="325" t="s">
        <v>112</v>
      </c>
      <c r="B165" s="325"/>
      <c r="C165" s="325"/>
      <c r="D165" s="124"/>
      <c r="E165" s="121"/>
      <c r="F165" s="113">
        <v>0</v>
      </c>
      <c r="G165" s="70"/>
    </row>
    <row r="166" spans="1:7" ht="15.6" x14ac:dyDescent="0.3">
      <c r="A166" s="125">
        <v>1</v>
      </c>
      <c r="B166" s="124"/>
      <c r="C166" s="123" t="s">
        <v>111</v>
      </c>
      <c r="D166" s="122"/>
      <c r="E166" s="121">
        <v>258.62</v>
      </c>
      <c r="F166" s="113">
        <f>A166*E166</f>
        <v>258.62</v>
      </c>
      <c r="G166" s="70"/>
    </row>
    <row r="167" spans="1:7" ht="15.6" x14ac:dyDescent="0.3">
      <c r="A167" s="94"/>
      <c r="B167" s="94"/>
      <c r="C167" s="29"/>
      <c r="D167" s="94"/>
      <c r="E167" s="120"/>
      <c r="F167" s="113">
        <f>A167*E167</f>
        <v>0</v>
      </c>
      <c r="G167" s="70"/>
    </row>
    <row r="168" spans="1:7" ht="15.6" x14ac:dyDescent="0.3">
      <c r="A168" s="94"/>
      <c r="B168" s="94"/>
      <c r="C168" s="29"/>
      <c r="D168" s="94"/>
      <c r="E168" s="71"/>
      <c r="F168" s="113">
        <f>A168*E168</f>
        <v>0</v>
      </c>
      <c r="G168" s="70"/>
    </row>
    <row r="169" spans="1:7" ht="15.6" x14ac:dyDescent="0.3">
      <c r="A169" s="111" t="s">
        <v>110</v>
      </c>
      <c r="B169" s="111"/>
      <c r="C169" s="119"/>
      <c r="D169" s="115"/>
      <c r="E169" s="71"/>
      <c r="F169" s="113">
        <v>0</v>
      </c>
      <c r="G169" s="70"/>
    </row>
    <row r="170" spans="1:7" ht="15.6" x14ac:dyDescent="0.3">
      <c r="A170" s="111" t="s">
        <v>109</v>
      </c>
      <c r="B170" s="111"/>
      <c r="C170" s="117"/>
      <c r="D170" s="115"/>
      <c r="E170" s="71"/>
      <c r="F170" s="113">
        <v>0</v>
      </c>
      <c r="G170" s="70"/>
    </row>
    <row r="171" spans="1:7" ht="15.6" x14ac:dyDescent="0.3">
      <c r="A171" s="111" t="s">
        <v>108</v>
      </c>
      <c r="B171" s="117"/>
      <c r="C171" s="117"/>
      <c r="D171" s="115"/>
      <c r="E171" s="71"/>
      <c r="F171" s="113">
        <v>0</v>
      </c>
      <c r="G171" s="70"/>
    </row>
    <row r="172" spans="1:7" ht="15.6" x14ac:dyDescent="0.3">
      <c r="A172" s="111" t="s">
        <v>107</v>
      </c>
      <c r="B172" s="117"/>
      <c r="C172" s="117"/>
      <c r="D172" s="115"/>
      <c r="E172" s="71"/>
      <c r="F172" s="113">
        <v>0</v>
      </c>
      <c r="G172" s="70"/>
    </row>
    <row r="173" spans="1:7" ht="15.6" x14ac:dyDescent="0.3">
      <c r="A173" s="111" t="s">
        <v>106</v>
      </c>
      <c r="B173" s="117"/>
      <c r="C173" s="117"/>
      <c r="D173" s="115"/>
      <c r="E173" s="118"/>
      <c r="F173" s="113">
        <v>0</v>
      </c>
      <c r="G173" s="70"/>
    </row>
    <row r="174" spans="1:7" ht="15.6" x14ac:dyDescent="0.3">
      <c r="A174" s="111"/>
      <c r="B174" s="117"/>
      <c r="C174" s="117"/>
      <c r="D174" s="115"/>
      <c r="E174" s="114"/>
      <c r="F174" s="113">
        <v>0</v>
      </c>
      <c r="G174" s="112"/>
    </row>
    <row r="175" spans="1:7" ht="15.6" x14ac:dyDescent="0.3">
      <c r="A175" s="111" t="s">
        <v>105</v>
      </c>
      <c r="B175" s="117"/>
      <c r="C175" s="117"/>
      <c r="D175" s="115"/>
      <c r="E175" s="114"/>
      <c r="F175" s="113">
        <v>0</v>
      </c>
      <c r="G175" s="112"/>
    </row>
    <row r="176" spans="1:7" ht="15.6" x14ac:dyDescent="0.3">
      <c r="A176" s="111" t="s">
        <v>104</v>
      </c>
      <c r="B176" s="117"/>
      <c r="C176" s="116"/>
      <c r="D176" s="115"/>
      <c r="E176" s="114"/>
      <c r="F176" s="113">
        <v>0</v>
      </c>
      <c r="G176" s="112"/>
    </row>
    <row r="177" spans="1:7" ht="17.399999999999999" x14ac:dyDescent="0.3">
      <c r="A177" s="111" t="s">
        <v>103</v>
      </c>
      <c r="B177" s="110"/>
      <c r="C177" s="110"/>
      <c r="D177" s="270" t="s">
        <v>8</v>
      </c>
      <c r="E177" s="270"/>
      <c r="F177" s="109">
        <f>SUM(F163:F175)</f>
        <v>10741.42</v>
      </c>
      <c r="G177" s="60"/>
    </row>
    <row r="178" spans="1:7" ht="17.399999999999999" x14ac:dyDescent="0.3">
      <c r="A178" s="11"/>
      <c r="B178" s="10"/>
      <c r="C178" s="270" t="s">
        <v>7</v>
      </c>
      <c r="D178" s="270"/>
      <c r="E178" s="270"/>
      <c r="F178" s="109">
        <f>F177*0.16</f>
        <v>1718.6272000000001</v>
      </c>
      <c r="G178" s="60"/>
    </row>
    <row r="179" spans="1:7" ht="17.399999999999999" x14ac:dyDescent="0.3">
      <c r="A179" s="11"/>
      <c r="B179" s="10"/>
      <c r="C179" s="295" t="s">
        <v>6</v>
      </c>
      <c r="D179" s="295"/>
      <c r="E179" s="295"/>
      <c r="F179" s="108">
        <f>+F177+F178</f>
        <v>12460.047200000001</v>
      </c>
      <c r="G179" s="56"/>
    </row>
    <row r="180" spans="1:7" ht="15.6" x14ac:dyDescent="0.3">
      <c r="A180" s="296" t="s">
        <v>5</v>
      </c>
      <c r="B180" s="297"/>
      <c r="C180" s="5" t="s">
        <v>4</v>
      </c>
      <c r="D180" s="5"/>
      <c r="E180" s="297" t="s">
        <v>3</v>
      </c>
      <c r="F180" s="297"/>
      <c r="G180" s="298"/>
    </row>
    <row r="181" spans="1:7" ht="15.6" x14ac:dyDescent="0.3">
      <c r="A181" s="299" t="s">
        <v>2</v>
      </c>
      <c r="B181" s="300"/>
      <c r="C181" s="2" t="s">
        <v>39</v>
      </c>
      <c r="D181" s="2"/>
      <c r="E181" s="300" t="s">
        <v>70</v>
      </c>
      <c r="F181" s="300"/>
      <c r="G181" s="301"/>
    </row>
    <row r="182" spans="1:7" x14ac:dyDescent="0.3">
      <c r="A182" s="107"/>
      <c r="B182" s="107"/>
      <c r="C182" s="107"/>
      <c r="D182" s="107"/>
      <c r="E182" s="107"/>
      <c r="F182" s="107"/>
      <c r="G182" s="107"/>
    </row>
    <row r="184" spans="1:7" ht="30" x14ac:dyDescent="0.4">
      <c r="A184" s="55"/>
      <c r="B184" s="271" t="s">
        <v>38</v>
      </c>
      <c r="C184" s="272"/>
      <c r="D184" s="54"/>
      <c r="E184" s="357" t="s">
        <v>180</v>
      </c>
      <c r="F184" s="357"/>
      <c r="G184" s="357"/>
    </row>
    <row r="185" spans="1:7" ht="30" x14ac:dyDescent="0.4">
      <c r="A185" s="53"/>
      <c r="B185" s="273"/>
      <c r="C185" s="274"/>
      <c r="D185" s="52"/>
      <c r="E185" s="187" t="s">
        <v>36</v>
      </c>
      <c r="F185" s="358" t="s">
        <v>511</v>
      </c>
      <c r="G185" s="358"/>
    </row>
    <row r="186" spans="1:7" ht="30" x14ac:dyDescent="0.4">
      <c r="A186" s="49"/>
      <c r="B186" s="275"/>
      <c r="C186" s="276"/>
      <c r="D186" s="48"/>
      <c r="E186" s="188" t="s">
        <v>34</v>
      </c>
      <c r="F186" s="359" t="s">
        <v>517</v>
      </c>
      <c r="G186" s="359"/>
    </row>
    <row r="187" spans="1:7" ht="20.399999999999999" x14ac:dyDescent="0.35">
      <c r="A187" s="39" t="s">
        <v>5</v>
      </c>
      <c r="B187" s="43" t="s">
        <v>47</v>
      </c>
      <c r="C187" s="42"/>
      <c r="D187" s="42"/>
      <c r="E187" s="190" t="s">
        <v>51</v>
      </c>
      <c r="F187" s="360">
        <v>21</v>
      </c>
      <c r="G187" s="361"/>
    </row>
    <row r="188" spans="1:7" ht="20.399999999999999" x14ac:dyDescent="0.35">
      <c r="A188" s="39" t="s">
        <v>30</v>
      </c>
      <c r="B188" s="43" t="s">
        <v>239</v>
      </c>
      <c r="C188" s="42"/>
      <c r="D188" s="42"/>
      <c r="E188" s="45"/>
      <c r="F188" s="45"/>
      <c r="G188" s="189"/>
    </row>
    <row r="189" spans="1:7" ht="20.399999999999999" x14ac:dyDescent="0.35">
      <c r="A189" s="39"/>
      <c r="B189" s="38" t="s">
        <v>362</v>
      </c>
      <c r="C189" s="37"/>
      <c r="D189" s="37"/>
      <c r="E189" s="45"/>
      <c r="F189" s="45"/>
      <c r="G189" s="189"/>
    </row>
    <row r="190" spans="1:7" ht="20.399999999999999" x14ac:dyDescent="0.35">
      <c r="A190" s="39" t="s">
        <v>28</v>
      </c>
      <c r="B190" s="38" t="s">
        <v>238</v>
      </c>
      <c r="C190" s="37"/>
      <c r="D190" s="37"/>
      <c r="E190" s="45"/>
      <c r="F190" s="45"/>
      <c r="G190" s="189"/>
    </row>
    <row r="191" spans="1:7" ht="30" customHeight="1" x14ac:dyDescent="0.3">
      <c r="A191" s="34" t="s">
        <v>26</v>
      </c>
      <c r="B191" s="34" t="s">
        <v>25</v>
      </c>
      <c r="C191" s="34" t="s">
        <v>24</v>
      </c>
      <c r="D191" s="34" t="s">
        <v>23</v>
      </c>
      <c r="E191" s="191" t="s">
        <v>22</v>
      </c>
      <c r="F191" s="362" t="s">
        <v>21</v>
      </c>
      <c r="G191" s="363"/>
    </row>
    <row r="192" spans="1:7" ht="31.2" x14ac:dyDescent="0.3">
      <c r="A192" s="33">
        <v>200</v>
      </c>
      <c r="B192" s="32" t="s">
        <v>235</v>
      </c>
      <c r="C192" s="32" t="s">
        <v>346</v>
      </c>
      <c r="D192" s="101">
        <v>80</v>
      </c>
      <c r="E192" s="192">
        <f>+A192*D192</f>
        <v>16000</v>
      </c>
      <c r="F192" s="28"/>
      <c r="G192" s="196"/>
    </row>
    <row r="193" spans="1:7" ht="15.6" x14ac:dyDescent="0.3">
      <c r="A193" s="29"/>
      <c r="B193" s="25"/>
      <c r="C193" s="25"/>
      <c r="D193" s="100"/>
      <c r="E193" s="193">
        <f t="shared" ref="E193:E202" si="5">+A193*D193</f>
        <v>0</v>
      </c>
      <c r="F193" s="28"/>
      <c r="G193" s="196"/>
    </row>
    <row r="194" spans="1:7" ht="15.6" x14ac:dyDescent="0.3">
      <c r="A194" s="29"/>
      <c r="B194" s="25"/>
      <c r="C194" s="25"/>
      <c r="D194" s="100"/>
      <c r="E194" s="193">
        <f t="shared" si="5"/>
        <v>0</v>
      </c>
      <c r="F194" s="28"/>
      <c r="G194" s="196"/>
    </row>
    <row r="195" spans="1:7" ht="15.6" x14ac:dyDescent="0.3">
      <c r="A195" s="29"/>
      <c r="B195" s="27"/>
      <c r="C195" s="27"/>
      <c r="D195" s="100"/>
      <c r="E195" s="193">
        <f t="shared" si="5"/>
        <v>0</v>
      </c>
      <c r="F195" s="28"/>
      <c r="G195" s="196"/>
    </row>
    <row r="196" spans="1:7" ht="15.6" x14ac:dyDescent="0.3">
      <c r="A196" s="29"/>
      <c r="B196" s="27"/>
      <c r="C196" s="28"/>
      <c r="D196" s="100"/>
      <c r="E196" s="193">
        <f t="shared" si="5"/>
        <v>0</v>
      </c>
      <c r="F196" s="28"/>
      <c r="G196" s="196"/>
    </row>
    <row r="197" spans="1:7" ht="15.6" x14ac:dyDescent="0.3">
      <c r="A197" s="29"/>
      <c r="B197" s="27"/>
      <c r="C197" s="28"/>
      <c r="D197" s="100"/>
      <c r="E197" s="193">
        <f t="shared" si="5"/>
        <v>0</v>
      </c>
      <c r="F197" s="28"/>
      <c r="G197" s="196"/>
    </row>
    <row r="198" spans="1:7" ht="15.6" x14ac:dyDescent="0.3">
      <c r="A198" s="29"/>
      <c r="B198" s="27"/>
      <c r="C198" s="28"/>
      <c r="D198" s="100"/>
      <c r="E198" s="193">
        <f t="shared" si="5"/>
        <v>0</v>
      </c>
      <c r="F198" s="28"/>
      <c r="G198" s="196"/>
    </row>
    <row r="199" spans="1:7" ht="15.6" x14ac:dyDescent="0.3">
      <c r="A199" s="26"/>
      <c r="B199" s="27"/>
      <c r="C199" s="27"/>
      <c r="D199" s="100"/>
      <c r="E199" s="193">
        <f t="shared" si="5"/>
        <v>0</v>
      </c>
      <c r="F199" s="28"/>
      <c r="G199" s="196"/>
    </row>
    <row r="200" spans="1:7" ht="15.6" x14ac:dyDescent="0.3">
      <c r="A200" s="26"/>
      <c r="B200" s="27"/>
      <c r="C200" s="27"/>
      <c r="D200" s="100"/>
      <c r="E200" s="193">
        <f t="shared" si="5"/>
        <v>0</v>
      </c>
      <c r="F200" s="28"/>
      <c r="G200" s="196"/>
    </row>
    <row r="201" spans="1:7" ht="15.6" x14ac:dyDescent="0.3">
      <c r="A201" s="26"/>
      <c r="B201" s="25"/>
      <c r="C201" s="25"/>
      <c r="D201" s="100"/>
      <c r="E201" s="193">
        <f t="shared" si="5"/>
        <v>0</v>
      </c>
      <c r="F201" s="28"/>
      <c r="G201" s="196"/>
    </row>
    <row r="202" spans="1:7" ht="15.6" x14ac:dyDescent="0.3">
      <c r="A202" s="26"/>
      <c r="B202" s="25"/>
      <c r="C202" s="25"/>
      <c r="D202" s="100"/>
      <c r="E202" s="193">
        <f t="shared" si="5"/>
        <v>0</v>
      </c>
      <c r="F202" s="28"/>
      <c r="G202" s="196"/>
    </row>
    <row r="203" spans="1:7" ht="15.6" x14ac:dyDescent="0.3">
      <c r="A203" s="26"/>
      <c r="B203" s="25"/>
      <c r="C203" s="25"/>
      <c r="D203" s="100"/>
      <c r="E203" s="194"/>
      <c r="F203" s="28"/>
      <c r="G203" s="196"/>
    </row>
    <row r="204" spans="1:7" ht="15.6" x14ac:dyDescent="0.3">
      <c r="A204" s="26"/>
      <c r="B204" s="25"/>
      <c r="C204" s="25"/>
      <c r="D204" s="100"/>
      <c r="E204" s="194"/>
      <c r="F204" s="28"/>
      <c r="G204" s="196"/>
    </row>
    <row r="205" spans="1:7" ht="15.6" x14ac:dyDescent="0.3">
      <c r="A205" s="26"/>
      <c r="B205" s="25"/>
      <c r="C205" s="25"/>
      <c r="D205" s="72"/>
      <c r="E205" s="194"/>
      <c r="F205" s="28"/>
      <c r="G205" s="196"/>
    </row>
    <row r="206" spans="1:7" ht="15.6" x14ac:dyDescent="0.3">
      <c r="A206" s="21"/>
      <c r="B206" s="20"/>
      <c r="C206" s="20"/>
      <c r="D206" s="69"/>
      <c r="E206" s="195"/>
      <c r="F206" s="18"/>
      <c r="G206" s="196"/>
    </row>
    <row r="207" spans="1:7" ht="17.399999999999999" x14ac:dyDescent="0.3">
      <c r="A207" s="17"/>
      <c r="B207" s="16"/>
      <c r="C207" s="294" t="s">
        <v>8</v>
      </c>
      <c r="D207" s="294"/>
      <c r="E207" s="15">
        <f>+SUM(E192:E203)</f>
        <v>16000</v>
      </c>
      <c r="F207" s="197"/>
      <c r="G207" s="196"/>
    </row>
    <row r="208" spans="1:7" ht="17.399999999999999" x14ac:dyDescent="0.3">
      <c r="A208" s="11"/>
      <c r="B208" s="10"/>
      <c r="C208" s="294" t="s">
        <v>7</v>
      </c>
      <c r="D208" s="294"/>
      <c r="E208" s="13">
        <f>+E207*0.16</f>
        <v>2560</v>
      </c>
      <c r="F208" s="198"/>
      <c r="G208" s="196"/>
    </row>
    <row r="209" spans="1:7" ht="17.399999999999999" x14ac:dyDescent="0.3">
      <c r="A209" s="11"/>
      <c r="B209" s="10"/>
      <c r="C209" s="294" t="s">
        <v>6</v>
      </c>
      <c r="D209" s="294"/>
      <c r="E209" s="8">
        <f>+E207+E208</f>
        <v>18560</v>
      </c>
      <c r="F209" s="199"/>
      <c r="G209" s="196"/>
    </row>
    <row r="210" spans="1:7" ht="15.6" x14ac:dyDescent="0.3">
      <c r="A210" s="6" t="s">
        <v>5</v>
      </c>
      <c r="B210" s="5"/>
      <c r="C210" s="5" t="s">
        <v>4</v>
      </c>
      <c r="D210" s="5"/>
      <c r="E210" s="5"/>
      <c r="F210" s="200" t="s">
        <v>3</v>
      </c>
      <c r="G210" s="196"/>
    </row>
    <row r="211" spans="1:7" ht="15.6" x14ac:dyDescent="0.3">
      <c r="A211" s="3" t="s">
        <v>2</v>
      </c>
      <c r="B211" s="2"/>
      <c r="C211" s="2" t="s">
        <v>1</v>
      </c>
      <c r="D211" s="2"/>
      <c r="E211" s="2"/>
      <c r="F211" s="201" t="s">
        <v>70</v>
      </c>
      <c r="G211" s="202"/>
    </row>
    <row r="214" spans="1:7" ht="24.6" x14ac:dyDescent="0.3">
      <c r="A214" s="271" t="s">
        <v>38</v>
      </c>
      <c r="B214" s="302"/>
      <c r="C214" s="272"/>
      <c r="D214" s="305" t="s">
        <v>37</v>
      </c>
      <c r="E214" s="306"/>
      <c r="F214" s="306"/>
      <c r="G214" s="307"/>
    </row>
    <row r="215" spans="1:7" ht="21" x14ac:dyDescent="0.4">
      <c r="A215" s="273"/>
      <c r="B215" s="303"/>
      <c r="C215" s="274"/>
      <c r="D215" s="51" t="s">
        <v>36</v>
      </c>
      <c r="E215" s="308" t="s">
        <v>516</v>
      </c>
      <c r="F215" s="282"/>
      <c r="G215" s="50"/>
    </row>
    <row r="216" spans="1:7" ht="21" x14ac:dyDescent="0.4">
      <c r="A216" s="273"/>
      <c r="B216" s="303"/>
      <c r="C216" s="274"/>
      <c r="D216" s="51" t="s">
        <v>51</v>
      </c>
      <c r="E216" s="284">
        <v>21</v>
      </c>
      <c r="F216" s="282"/>
      <c r="G216" s="50"/>
    </row>
    <row r="217" spans="1:7" ht="30" x14ac:dyDescent="0.3">
      <c r="A217" s="275"/>
      <c r="B217" s="304"/>
      <c r="C217" s="276"/>
      <c r="D217" s="47" t="s">
        <v>50</v>
      </c>
      <c r="E217" s="287" t="s">
        <v>519</v>
      </c>
      <c r="F217" s="287"/>
      <c r="G217" s="87"/>
    </row>
    <row r="218" spans="1:7" ht="20.399999999999999" x14ac:dyDescent="0.35">
      <c r="A218" s="39" t="s">
        <v>48</v>
      </c>
      <c r="B218" s="43" t="s">
        <v>0</v>
      </c>
      <c r="C218" s="42"/>
      <c r="D218" s="42"/>
      <c r="E218" s="309"/>
      <c r="F218" s="310"/>
      <c r="G218" s="311"/>
    </row>
    <row r="219" spans="1:7" ht="20.399999999999999" x14ac:dyDescent="0.35">
      <c r="A219" s="39" t="s">
        <v>30</v>
      </c>
      <c r="B219" s="38"/>
      <c r="C219" s="37"/>
      <c r="D219" s="37"/>
      <c r="E219" s="312"/>
      <c r="F219" s="313"/>
      <c r="G219" s="314"/>
    </row>
    <row r="220" spans="1:7" ht="20.399999999999999" x14ac:dyDescent="0.35">
      <c r="A220" s="39" t="s">
        <v>46</v>
      </c>
      <c r="B220" s="38" t="s">
        <v>78</v>
      </c>
      <c r="C220" s="37"/>
      <c r="D220" s="37"/>
      <c r="E220" s="315"/>
      <c r="F220" s="316"/>
      <c r="G220" s="317"/>
    </row>
    <row r="221" spans="1:7" ht="20.399999999999999" x14ac:dyDescent="0.35">
      <c r="A221" s="39" t="s">
        <v>28</v>
      </c>
      <c r="B221" s="38" t="s">
        <v>55</v>
      </c>
      <c r="C221" s="37"/>
      <c r="D221" s="37"/>
      <c r="E221" s="37"/>
      <c r="F221" s="37"/>
      <c r="G221" s="77"/>
    </row>
    <row r="222" spans="1:7" ht="15" x14ac:dyDescent="0.3">
      <c r="A222" s="34" t="s">
        <v>26</v>
      </c>
      <c r="B222" s="34" t="s">
        <v>25</v>
      </c>
      <c r="C222" s="34" t="s">
        <v>24</v>
      </c>
      <c r="D222" s="34" t="s">
        <v>43</v>
      </c>
      <c r="E222" s="34" t="s">
        <v>42</v>
      </c>
      <c r="F222" s="34" t="s">
        <v>22</v>
      </c>
      <c r="G222" s="34" t="s">
        <v>21</v>
      </c>
    </row>
    <row r="223" spans="1:7" ht="15.6" x14ac:dyDescent="0.3">
      <c r="A223" s="33">
        <v>35</v>
      </c>
      <c r="B223" s="32" t="s">
        <v>19</v>
      </c>
      <c r="C223" s="32" t="s">
        <v>518</v>
      </c>
      <c r="D223" s="76"/>
      <c r="E223" s="75">
        <f>142*1.62</f>
        <v>230.04000000000002</v>
      </c>
      <c r="F223" s="75">
        <f>A223*E223</f>
        <v>8051.4000000000005</v>
      </c>
      <c r="G223" s="74"/>
    </row>
    <row r="224" spans="1:7" ht="15.6" x14ac:dyDescent="0.3">
      <c r="A224" s="29"/>
      <c r="B224" s="25"/>
      <c r="C224" s="25" t="s">
        <v>556</v>
      </c>
      <c r="D224" s="73"/>
      <c r="E224" s="71"/>
      <c r="F224" s="71">
        <f t="shared" ref="F224:F237" si="6">A224*E224</f>
        <v>0</v>
      </c>
      <c r="G224" s="74"/>
    </row>
    <row r="225" spans="1:7" ht="15.6" x14ac:dyDescent="0.3">
      <c r="A225" s="29"/>
      <c r="B225" s="25"/>
      <c r="C225" s="25"/>
      <c r="D225" s="73"/>
      <c r="E225" s="71"/>
      <c r="F225" s="71">
        <f t="shared" si="6"/>
        <v>0</v>
      </c>
      <c r="G225" s="74"/>
    </row>
    <row r="226" spans="1:7" ht="15.6" x14ac:dyDescent="0.3">
      <c r="A226" s="29"/>
      <c r="B226" s="27"/>
      <c r="C226" s="27"/>
      <c r="D226" s="73"/>
      <c r="E226" s="71"/>
      <c r="F226" s="71">
        <f t="shared" si="6"/>
        <v>0</v>
      </c>
      <c r="G226" s="70"/>
    </row>
    <row r="227" spans="1:7" ht="15.6" x14ac:dyDescent="0.3">
      <c r="A227" s="29"/>
      <c r="B227" s="27"/>
      <c r="C227" s="27"/>
      <c r="D227" s="73"/>
      <c r="E227" s="71"/>
      <c r="F227" s="71">
        <f t="shared" si="6"/>
        <v>0</v>
      </c>
      <c r="G227" s="70"/>
    </row>
    <row r="228" spans="1:7" ht="15.6" x14ac:dyDescent="0.3">
      <c r="A228" s="29"/>
      <c r="B228" s="27"/>
      <c r="C228" s="27"/>
      <c r="D228" s="73"/>
      <c r="E228" s="71"/>
      <c r="F228" s="71">
        <f t="shared" si="6"/>
        <v>0</v>
      </c>
      <c r="G228" s="70"/>
    </row>
    <row r="229" spans="1:7" ht="15.6" x14ac:dyDescent="0.3">
      <c r="A229" s="29"/>
      <c r="B229" s="27"/>
      <c r="C229" s="27"/>
      <c r="D229" s="73"/>
      <c r="E229" s="71"/>
      <c r="F229" s="71">
        <f t="shared" si="6"/>
        <v>0</v>
      </c>
      <c r="G229" s="70"/>
    </row>
    <row r="230" spans="1:7" ht="15.6" x14ac:dyDescent="0.3">
      <c r="A230" s="26"/>
      <c r="B230" s="27"/>
      <c r="C230" s="27"/>
      <c r="D230" s="73"/>
      <c r="E230" s="71"/>
      <c r="F230" s="71">
        <f t="shared" si="6"/>
        <v>0</v>
      </c>
      <c r="G230" s="70"/>
    </row>
    <row r="231" spans="1:7" ht="15.6" x14ac:dyDescent="0.3">
      <c r="A231" s="26"/>
      <c r="B231" s="27"/>
      <c r="C231" s="27"/>
      <c r="D231" s="99"/>
      <c r="E231" s="71"/>
      <c r="F231" s="71">
        <f t="shared" si="6"/>
        <v>0</v>
      </c>
      <c r="G231" s="70"/>
    </row>
    <row r="232" spans="1:7" ht="15.6" x14ac:dyDescent="0.3">
      <c r="A232" s="26"/>
      <c r="B232" s="25"/>
      <c r="C232" s="25"/>
      <c r="D232" s="72"/>
      <c r="E232" s="71"/>
      <c r="F232" s="71">
        <f t="shared" si="6"/>
        <v>0</v>
      </c>
      <c r="G232" s="70"/>
    </row>
    <row r="233" spans="1:7" ht="15.6" x14ac:dyDescent="0.3">
      <c r="A233" s="26"/>
      <c r="B233" s="25"/>
      <c r="C233" s="25"/>
      <c r="D233" s="72"/>
      <c r="E233" s="71"/>
      <c r="F233" s="71">
        <f t="shared" si="6"/>
        <v>0</v>
      </c>
      <c r="G233" s="70"/>
    </row>
    <row r="234" spans="1:7" ht="15.6" x14ac:dyDescent="0.3">
      <c r="A234" s="26"/>
      <c r="B234" s="25"/>
      <c r="C234" s="25"/>
      <c r="D234" s="72"/>
      <c r="E234" s="71"/>
      <c r="F234" s="71">
        <f t="shared" si="6"/>
        <v>0</v>
      </c>
      <c r="G234" s="70"/>
    </row>
    <row r="235" spans="1:7" ht="15.6" x14ac:dyDescent="0.3">
      <c r="A235" s="26"/>
      <c r="B235" s="25"/>
      <c r="C235" s="25"/>
      <c r="D235" s="72"/>
      <c r="E235" s="71"/>
      <c r="F235" s="71">
        <f t="shared" si="6"/>
        <v>0</v>
      </c>
      <c r="G235" s="70"/>
    </row>
    <row r="236" spans="1:7" ht="15.6" x14ac:dyDescent="0.3">
      <c r="A236" s="26"/>
      <c r="B236" s="25"/>
      <c r="C236" s="25"/>
      <c r="D236" s="72"/>
      <c r="E236" s="71"/>
      <c r="F236" s="71">
        <f t="shared" si="6"/>
        <v>0</v>
      </c>
      <c r="G236" s="70"/>
    </row>
    <row r="237" spans="1:7" ht="15.6" x14ac:dyDescent="0.3">
      <c r="A237" s="21"/>
      <c r="B237" s="20"/>
      <c r="C237" s="20"/>
      <c r="D237" s="69"/>
      <c r="E237" s="68"/>
      <c r="F237" s="68">
        <f t="shared" si="6"/>
        <v>0</v>
      </c>
      <c r="G237" s="67"/>
    </row>
    <row r="238" spans="1:7" ht="17.399999999999999" x14ac:dyDescent="0.3">
      <c r="A238" s="17"/>
      <c r="B238" s="16"/>
      <c r="C238" s="9" t="s">
        <v>8</v>
      </c>
      <c r="D238" s="9"/>
      <c r="E238" s="66"/>
      <c r="F238" s="105">
        <f>SUM(F223:F236)</f>
        <v>8051.4000000000005</v>
      </c>
      <c r="G238" s="64"/>
    </row>
    <row r="239" spans="1:7" ht="17.399999999999999" x14ac:dyDescent="0.3">
      <c r="A239" s="11"/>
      <c r="B239" s="10"/>
      <c r="C239" s="63" t="s">
        <v>7</v>
      </c>
      <c r="D239" s="63"/>
      <c r="E239" s="62"/>
      <c r="F239" s="104">
        <f>F238*0.16</f>
        <v>1288.2240000000002</v>
      </c>
      <c r="G239" s="60"/>
    </row>
    <row r="240" spans="1:7" ht="17.399999999999999" x14ac:dyDescent="0.3">
      <c r="A240" s="11"/>
      <c r="B240" s="10"/>
      <c r="C240" s="59" t="s">
        <v>6</v>
      </c>
      <c r="D240" s="59"/>
      <c r="E240" s="58"/>
      <c r="F240" s="103">
        <f>F238+F239</f>
        <v>9339.6239999999998</v>
      </c>
      <c r="G240" s="56"/>
    </row>
    <row r="241" spans="1:7" ht="15.6" x14ac:dyDescent="0.3">
      <c r="A241" s="6" t="s">
        <v>5</v>
      </c>
      <c r="B241" s="5"/>
      <c r="C241" s="5" t="s">
        <v>4</v>
      </c>
      <c r="D241" s="5"/>
      <c r="E241" s="5" t="s">
        <v>3</v>
      </c>
      <c r="F241" s="5"/>
      <c r="G241" s="4"/>
    </row>
    <row r="242" spans="1:7" ht="15.6" x14ac:dyDescent="0.3">
      <c r="A242" s="3" t="s">
        <v>2</v>
      </c>
      <c r="B242" s="2"/>
      <c r="C242" s="2" t="s">
        <v>39</v>
      </c>
      <c r="D242" s="2"/>
      <c r="E242" s="2" t="s">
        <v>0</v>
      </c>
      <c r="F242" s="2"/>
      <c r="G242" s="1"/>
    </row>
    <row r="245" spans="1:7" ht="24.6" x14ac:dyDescent="0.3">
      <c r="A245" s="271" t="s">
        <v>38</v>
      </c>
      <c r="B245" s="302"/>
      <c r="C245" s="272"/>
      <c r="D245" s="305" t="s">
        <v>116</v>
      </c>
      <c r="E245" s="306"/>
      <c r="F245" s="306"/>
      <c r="G245" s="307"/>
    </row>
    <row r="246" spans="1:7" ht="21" x14ac:dyDescent="0.4">
      <c r="A246" s="273"/>
      <c r="B246" s="303"/>
      <c r="C246" s="274"/>
      <c r="D246" s="51" t="s">
        <v>36</v>
      </c>
      <c r="E246" s="308" t="s">
        <v>516</v>
      </c>
      <c r="F246" s="282"/>
      <c r="G246" s="50"/>
    </row>
    <row r="247" spans="1:7" ht="21" x14ac:dyDescent="0.4">
      <c r="A247" s="273"/>
      <c r="B247" s="303"/>
      <c r="C247" s="274"/>
      <c r="D247" s="51" t="s">
        <v>51</v>
      </c>
      <c r="E247" s="284">
        <v>21</v>
      </c>
      <c r="F247" s="282"/>
      <c r="G247" s="50"/>
    </row>
    <row r="248" spans="1:7" ht="30" x14ac:dyDescent="0.3">
      <c r="A248" s="275"/>
      <c r="B248" s="304"/>
      <c r="C248" s="276"/>
      <c r="D248" s="47" t="s">
        <v>50</v>
      </c>
      <c r="E248" s="287" t="s">
        <v>533</v>
      </c>
      <c r="F248" s="287"/>
      <c r="G248" s="87"/>
    </row>
    <row r="249" spans="1:7" ht="20.399999999999999" x14ac:dyDescent="0.35">
      <c r="A249" s="39" t="s">
        <v>48</v>
      </c>
      <c r="B249" s="43" t="s">
        <v>47</v>
      </c>
      <c r="C249" s="42"/>
      <c r="D249" s="42"/>
      <c r="E249" s="42"/>
      <c r="F249" s="42"/>
      <c r="G249" s="106"/>
    </row>
    <row r="250" spans="1:7" ht="20.399999999999999" x14ac:dyDescent="0.35">
      <c r="A250" s="39" t="s">
        <v>30</v>
      </c>
      <c r="B250" s="38"/>
      <c r="C250" s="37"/>
      <c r="D250" s="37"/>
      <c r="E250" s="37"/>
      <c r="F250" s="37"/>
      <c r="G250" s="77"/>
    </row>
    <row r="251" spans="1:7" ht="20.399999999999999" x14ac:dyDescent="0.35">
      <c r="A251" s="39" t="s">
        <v>46</v>
      </c>
      <c r="B251" s="291" t="s">
        <v>362</v>
      </c>
      <c r="C251" s="292"/>
      <c r="D251" s="292"/>
      <c r="E251" s="292"/>
      <c r="F251" s="292"/>
      <c r="G251" s="293"/>
    </row>
    <row r="252" spans="1:7" ht="20.399999999999999" x14ac:dyDescent="0.35">
      <c r="A252" s="39" t="s">
        <v>28</v>
      </c>
      <c r="B252" s="38" t="s">
        <v>97</v>
      </c>
      <c r="C252" s="37"/>
      <c r="D252" s="37"/>
      <c r="E252" s="37"/>
      <c r="F252" s="37"/>
      <c r="G252" s="77"/>
    </row>
    <row r="253" spans="1:7" ht="15" x14ac:dyDescent="0.3">
      <c r="A253" s="34" t="s">
        <v>26</v>
      </c>
      <c r="B253" s="34" t="s">
        <v>25</v>
      </c>
      <c r="C253" s="34" t="s">
        <v>24</v>
      </c>
      <c r="D253" s="34" t="s">
        <v>43</v>
      </c>
      <c r="E253" s="34" t="s">
        <v>42</v>
      </c>
      <c r="F253" s="34" t="s">
        <v>22</v>
      </c>
      <c r="G253" s="34" t="s">
        <v>21</v>
      </c>
    </row>
    <row r="254" spans="1:7" ht="15.6" x14ac:dyDescent="0.3">
      <c r="A254" s="33"/>
      <c r="B254" s="32"/>
      <c r="C254" s="32"/>
      <c r="D254" s="76"/>
      <c r="E254" s="75"/>
      <c r="F254" s="75">
        <f t="shared" ref="F254:F268" si="7">A254*E254</f>
        <v>0</v>
      </c>
      <c r="G254" s="74"/>
    </row>
    <row r="255" spans="1:7" ht="31.2" x14ac:dyDescent="0.3">
      <c r="A255" s="29">
        <v>12</v>
      </c>
      <c r="B255" s="25" t="s">
        <v>10</v>
      </c>
      <c r="C255" s="25" t="s">
        <v>530</v>
      </c>
      <c r="D255" s="73"/>
      <c r="E255" s="71">
        <v>90.07</v>
      </c>
      <c r="F255" s="71">
        <f t="shared" si="7"/>
        <v>1080.8399999999999</v>
      </c>
      <c r="G255" s="74"/>
    </row>
    <row r="256" spans="1:7" ht="31.2" x14ac:dyDescent="0.3">
      <c r="A256" s="29">
        <v>40</v>
      </c>
      <c r="B256" s="25" t="s">
        <v>10</v>
      </c>
      <c r="C256" s="25" t="s">
        <v>531</v>
      </c>
      <c r="D256" s="73" t="s">
        <v>532</v>
      </c>
      <c r="E256" s="71">
        <v>20</v>
      </c>
      <c r="F256" s="71">
        <f t="shared" si="7"/>
        <v>800</v>
      </c>
      <c r="G256" s="74"/>
    </row>
    <row r="257" spans="1:7" ht="15.6" x14ac:dyDescent="0.3">
      <c r="A257" s="29"/>
      <c r="B257" s="27"/>
      <c r="C257" s="27"/>
      <c r="D257" s="73"/>
      <c r="E257" s="71"/>
      <c r="F257" s="71">
        <f t="shared" si="7"/>
        <v>0</v>
      </c>
      <c r="G257" s="70"/>
    </row>
    <row r="258" spans="1:7" ht="15.6" x14ac:dyDescent="0.3">
      <c r="A258" s="29"/>
      <c r="B258" s="27"/>
      <c r="C258" s="27"/>
      <c r="D258" s="73"/>
      <c r="E258" s="71"/>
      <c r="F258" s="71">
        <f t="shared" si="7"/>
        <v>0</v>
      </c>
      <c r="G258" s="70"/>
    </row>
    <row r="259" spans="1:7" ht="15.6" x14ac:dyDescent="0.3">
      <c r="A259" s="29"/>
      <c r="B259" s="27"/>
      <c r="C259" s="27"/>
      <c r="D259" s="73"/>
      <c r="E259" s="71"/>
      <c r="F259" s="71">
        <f t="shared" si="7"/>
        <v>0</v>
      </c>
      <c r="G259" s="70"/>
    </row>
    <row r="260" spans="1:7" ht="15.6" x14ac:dyDescent="0.3">
      <c r="A260" s="29"/>
      <c r="B260" s="27"/>
      <c r="C260" s="27"/>
      <c r="D260" s="73"/>
      <c r="E260" s="71"/>
      <c r="F260" s="71">
        <f t="shared" si="7"/>
        <v>0</v>
      </c>
      <c r="G260" s="70"/>
    </row>
    <row r="261" spans="1:7" ht="15.6" x14ac:dyDescent="0.3">
      <c r="A261" s="26"/>
      <c r="B261" s="27"/>
      <c r="C261" s="27"/>
      <c r="D261" s="73"/>
      <c r="E261" s="71"/>
      <c r="F261" s="71">
        <f t="shared" si="7"/>
        <v>0</v>
      </c>
      <c r="G261" s="70"/>
    </row>
    <row r="262" spans="1:7" ht="15.6" x14ac:dyDescent="0.3">
      <c r="A262" s="26"/>
      <c r="B262" s="27"/>
      <c r="C262" s="27"/>
      <c r="D262" s="99"/>
      <c r="E262" s="71"/>
      <c r="F262" s="71">
        <f t="shared" si="7"/>
        <v>0</v>
      </c>
      <c r="G262" s="70"/>
    </row>
    <row r="263" spans="1:7" ht="15.6" x14ac:dyDescent="0.3">
      <c r="A263" s="26"/>
      <c r="B263" s="25"/>
      <c r="C263" s="25"/>
      <c r="D263" s="72"/>
      <c r="E263" s="71"/>
      <c r="F263" s="71">
        <f t="shared" si="7"/>
        <v>0</v>
      </c>
      <c r="G263" s="70"/>
    </row>
    <row r="264" spans="1:7" ht="15.6" x14ac:dyDescent="0.3">
      <c r="A264" s="26"/>
      <c r="B264" s="25"/>
      <c r="C264" s="25"/>
      <c r="D264" s="72"/>
      <c r="E264" s="71"/>
      <c r="F264" s="71">
        <f t="shared" si="7"/>
        <v>0</v>
      </c>
      <c r="G264" s="70"/>
    </row>
    <row r="265" spans="1:7" ht="15.6" x14ac:dyDescent="0.3">
      <c r="A265" s="26"/>
      <c r="B265" s="25"/>
      <c r="C265" s="25"/>
      <c r="D265" s="72"/>
      <c r="E265" s="71"/>
      <c r="F265" s="71">
        <f t="shared" si="7"/>
        <v>0</v>
      </c>
      <c r="G265" s="70"/>
    </row>
    <row r="266" spans="1:7" ht="15.6" x14ac:dyDescent="0.3">
      <c r="A266" s="26"/>
      <c r="B266" s="25"/>
      <c r="C266" s="25"/>
      <c r="D266" s="72"/>
      <c r="E266" s="71"/>
      <c r="F266" s="71">
        <f t="shared" si="7"/>
        <v>0</v>
      </c>
      <c r="G266" s="70"/>
    </row>
    <row r="267" spans="1:7" ht="15.6" x14ac:dyDescent="0.3">
      <c r="A267" s="26"/>
      <c r="B267" s="25"/>
      <c r="C267" s="25"/>
      <c r="D267" s="72"/>
      <c r="E267" s="71"/>
      <c r="F267" s="71">
        <f t="shared" si="7"/>
        <v>0</v>
      </c>
      <c r="G267" s="70"/>
    </row>
    <row r="268" spans="1:7" ht="15.6" x14ac:dyDescent="0.3">
      <c r="A268" s="21"/>
      <c r="B268" s="20"/>
      <c r="C268" s="20"/>
      <c r="D268" s="69"/>
      <c r="E268" s="68"/>
      <c r="F268" s="68">
        <f t="shared" si="7"/>
        <v>0</v>
      </c>
      <c r="G268" s="67"/>
    </row>
    <row r="269" spans="1:7" ht="17.399999999999999" x14ac:dyDescent="0.3">
      <c r="A269" s="17"/>
      <c r="B269" s="16"/>
      <c r="C269" s="9" t="s">
        <v>8</v>
      </c>
      <c r="D269" s="9"/>
      <c r="E269" s="66"/>
      <c r="F269" s="105">
        <f>SUM(F254:F267)</f>
        <v>1880.84</v>
      </c>
      <c r="G269" s="64"/>
    </row>
    <row r="270" spans="1:7" ht="17.399999999999999" x14ac:dyDescent="0.3">
      <c r="A270" s="11"/>
      <c r="B270" s="10"/>
      <c r="C270" s="63" t="s">
        <v>7</v>
      </c>
      <c r="D270" s="63"/>
      <c r="E270" s="62"/>
      <c r="F270" s="104">
        <f>F269*0.16</f>
        <v>300.93439999999998</v>
      </c>
      <c r="G270" s="60"/>
    </row>
    <row r="271" spans="1:7" ht="17.399999999999999" x14ac:dyDescent="0.3">
      <c r="A271" s="11"/>
      <c r="B271" s="10"/>
      <c r="C271" s="59" t="s">
        <v>6</v>
      </c>
      <c r="D271" s="59"/>
      <c r="E271" s="58"/>
      <c r="F271" s="103">
        <f>F269+F270</f>
        <v>2181.7743999999998</v>
      </c>
      <c r="G271" s="56"/>
    </row>
    <row r="272" spans="1:7" ht="15.6" x14ac:dyDescent="0.3">
      <c r="A272" s="6" t="s">
        <v>5</v>
      </c>
      <c r="B272" s="5"/>
      <c r="C272" s="5" t="s">
        <v>4</v>
      </c>
      <c r="D272" s="5"/>
      <c r="E272" s="5" t="s">
        <v>3</v>
      </c>
      <c r="F272" s="5"/>
      <c r="G272" s="4"/>
    </row>
    <row r="273" spans="1:7" ht="15.6" x14ac:dyDescent="0.3">
      <c r="A273" s="3" t="s">
        <v>2</v>
      </c>
      <c r="B273" s="2"/>
      <c r="C273" s="2" t="s">
        <v>91</v>
      </c>
      <c r="D273" s="2"/>
      <c r="E273" s="2" t="s">
        <v>70</v>
      </c>
      <c r="F273" s="2"/>
      <c r="G273" s="1"/>
    </row>
    <row r="277" spans="1:7" ht="21" x14ac:dyDescent="0.4">
      <c r="A277" s="55"/>
      <c r="B277" s="271" t="s">
        <v>38</v>
      </c>
      <c r="C277" s="272"/>
      <c r="D277" s="277" t="s">
        <v>37</v>
      </c>
      <c r="E277" s="278"/>
      <c r="F277" s="278"/>
      <c r="G277" s="279"/>
    </row>
    <row r="278" spans="1:7" ht="21" x14ac:dyDescent="0.4">
      <c r="A278" s="53"/>
      <c r="B278" s="273"/>
      <c r="C278" s="274"/>
      <c r="D278" s="280" t="s">
        <v>36</v>
      </c>
      <c r="E278" s="281"/>
      <c r="F278" s="282" t="s">
        <v>516</v>
      </c>
      <c r="G278" s="283"/>
    </row>
    <row r="279" spans="1:7" ht="21" x14ac:dyDescent="0.4">
      <c r="A279" s="53"/>
      <c r="B279" s="273"/>
      <c r="C279" s="274"/>
      <c r="D279" s="135" t="s">
        <v>118</v>
      </c>
      <c r="E279" s="136"/>
      <c r="F279" s="90">
        <v>21</v>
      </c>
      <c r="G279" s="50"/>
    </row>
    <row r="280" spans="1:7" ht="21" x14ac:dyDescent="0.4">
      <c r="A280" s="49"/>
      <c r="B280" s="275"/>
      <c r="C280" s="276"/>
      <c r="D280" s="285" t="s">
        <v>50</v>
      </c>
      <c r="E280" s="286"/>
      <c r="F280" s="287" t="s">
        <v>550</v>
      </c>
      <c r="G280" s="288"/>
    </row>
    <row r="281" spans="1:7" ht="20.399999999999999" x14ac:dyDescent="0.35">
      <c r="A281" s="39" t="s">
        <v>48</v>
      </c>
      <c r="B281" s="43" t="s">
        <v>47</v>
      </c>
      <c r="C281" s="42"/>
      <c r="D281" s="42"/>
      <c r="E281" s="289"/>
      <c r="F281" s="289"/>
      <c r="G281" s="290"/>
    </row>
    <row r="282" spans="1:7" ht="20.399999999999999" x14ac:dyDescent="0.35">
      <c r="A282" s="39" t="s">
        <v>30</v>
      </c>
      <c r="B282" s="291" t="s">
        <v>552</v>
      </c>
      <c r="C282" s="292"/>
      <c r="D282" s="292"/>
      <c r="E282" s="292"/>
      <c r="F282" s="292"/>
      <c r="G282" s="293"/>
    </row>
    <row r="283" spans="1:7" ht="20.399999999999999" x14ac:dyDescent="0.35">
      <c r="A283" s="39" t="s">
        <v>46</v>
      </c>
      <c r="B283" s="291" t="s">
        <v>362</v>
      </c>
      <c r="C283" s="292"/>
      <c r="D283" s="292"/>
      <c r="E283" s="292"/>
      <c r="F283" s="292"/>
      <c r="G283" s="293"/>
    </row>
    <row r="284" spans="1:7" ht="20.399999999999999" x14ac:dyDescent="0.35">
      <c r="A284" s="39" t="s">
        <v>28</v>
      </c>
      <c r="B284" s="291" t="s">
        <v>55</v>
      </c>
      <c r="C284" s="292"/>
      <c r="D284" s="292"/>
      <c r="E284" s="292"/>
      <c r="F284" s="292"/>
      <c r="G284" s="293"/>
    </row>
    <row r="285" spans="1:7" ht="15" x14ac:dyDescent="0.3">
      <c r="A285" s="34" t="s">
        <v>26</v>
      </c>
      <c r="B285" s="34" t="s">
        <v>25</v>
      </c>
      <c r="C285" s="34" t="s">
        <v>24</v>
      </c>
      <c r="D285" s="34" t="s">
        <v>43</v>
      </c>
      <c r="E285" s="34" t="s">
        <v>42</v>
      </c>
      <c r="F285" s="34" t="s">
        <v>22</v>
      </c>
      <c r="G285" s="169" t="s">
        <v>21</v>
      </c>
    </row>
    <row r="286" spans="1:7" ht="15.6" x14ac:dyDescent="0.3">
      <c r="A286" s="33">
        <v>6</v>
      </c>
      <c r="B286" s="32" t="s">
        <v>135</v>
      </c>
      <c r="C286" s="32" t="s">
        <v>534</v>
      </c>
      <c r="D286" s="76">
        <v>235681</v>
      </c>
      <c r="E286" s="75">
        <v>601.94000000000005</v>
      </c>
      <c r="F286" s="172">
        <f t="shared" ref="F286:F303" si="8">A286*E286</f>
        <v>3611.6400000000003</v>
      </c>
      <c r="G286" s="128"/>
    </row>
    <row r="287" spans="1:7" ht="31.2" x14ac:dyDescent="0.3">
      <c r="A287" s="29">
        <v>15</v>
      </c>
      <c r="B287" s="25" t="s">
        <v>10</v>
      </c>
      <c r="C287" s="25" t="s">
        <v>535</v>
      </c>
      <c r="D287" s="73">
        <v>436882</v>
      </c>
      <c r="E287" s="71">
        <v>41.81</v>
      </c>
      <c r="F287" s="120">
        <f t="shared" si="8"/>
        <v>627.15000000000009</v>
      </c>
      <c r="G287" s="70"/>
    </row>
    <row r="288" spans="1:7" ht="15.6" x14ac:dyDescent="0.3">
      <c r="A288" s="29">
        <v>1</v>
      </c>
      <c r="B288" s="25" t="s">
        <v>392</v>
      </c>
      <c r="C288" s="25" t="s">
        <v>536</v>
      </c>
      <c r="D288" s="73">
        <v>420860</v>
      </c>
      <c r="E288" s="71">
        <v>303.52</v>
      </c>
      <c r="F288" s="120">
        <f t="shared" si="8"/>
        <v>303.52</v>
      </c>
      <c r="G288" s="70"/>
    </row>
    <row r="289" spans="1:15" ht="15.6" x14ac:dyDescent="0.3">
      <c r="A289" s="29">
        <v>5</v>
      </c>
      <c r="B289" s="25" t="s">
        <v>10</v>
      </c>
      <c r="C289" s="25" t="s">
        <v>539</v>
      </c>
      <c r="D289" s="73">
        <v>974104</v>
      </c>
      <c r="E289" s="71">
        <v>375.91</v>
      </c>
      <c r="F289" s="120">
        <f t="shared" si="8"/>
        <v>1879.5500000000002</v>
      </c>
      <c r="G289" s="70"/>
    </row>
    <row r="290" spans="1:15" ht="15.6" x14ac:dyDescent="0.3">
      <c r="A290" s="29">
        <v>4</v>
      </c>
      <c r="B290" s="25" t="s">
        <v>10</v>
      </c>
      <c r="C290" s="25" t="s">
        <v>540</v>
      </c>
      <c r="D290" s="73">
        <v>129050</v>
      </c>
      <c r="E290" s="71">
        <v>180.17</v>
      </c>
      <c r="F290" s="120">
        <f t="shared" si="8"/>
        <v>720.68</v>
      </c>
      <c r="G290" s="70"/>
    </row>
    <row r="291" spans="1:15" ht="15.6" x14ac:dyDescent="0.3">
      <c r="A291" s="29">
        <v>3</v>
      </c>
      <c r="B291" s="25" t="s">
        <v>392</v>
      </c>
      <c r="C291" s="25" t="s">
        <v>541</v>
      </c>
      <c r="D291" s="73">
        <v>397509</v>
      </c>
      <c r="E291" s="71">
        <v>96.43</v>
      </c>
      <c r="F291" s="120">
        <f t="shared" si="8"/>
        <v>289.29000000000002</v>
      </c>
      <c r="G291" s="70"/>
      <c r="K291">
        <v>15</v>
      </c>
      <c r="L291" t="s">
        <v>537</v>
      </c>
      <c r="M291" t="s">
        <v>538</v>
      </c>
      <c r="N291">
        <v>100517</v>
      </c>
      <c r="O291">
        <v>60.03</v>
      </c>
    </row>
    <row r="292" spans="1:15" ht="15.6" x14ac:dyDescent="0.3">
      <c r="A292" s="29">
        <v>10</v>
      </c>
      <c r="B292" s="25" t="s">
        <v>543</v>
      </c>
      <c r="C292" s="25" t="s">
        <v>542</v>
      </c>
      <c r="D292" s="73">
        <v>133902</v>
      </c>
      <c r="E292" s="71">
        <v>46.19</v>
      </c>
      <c r="F292" s="120">
        <f t="shared" si="8"/>
        <v>461.9</v>
      </c>
      <c r="G292" s="70"/>
    </row>
    <row r="293" spans="1:15" ht="31.2" x14ac:dyDescent="0.3">
      <c r="A293" s="29">
        <v>20</v>
      </c>
      <c r="B293" s="25" t="s">
        <v>10</v>
      </c>
      <c r="C293" s="25" t="s">
        <v>544</v>
      </c>
      <c r="D293" s="73">
        <v>165175</v>
      </c>
      <c r="E293" s="71">
        <v>36.85</v>
      </c>
      <c r="F293" s="120">
        <f t="shared" si="8"/>
        <v>737</v>
      </c>
      <c r="G293" s="70"/>
    </row>
    <row r="294" spans="1:15" ht="15.6" x14ac:dyDescent="0.3">
      <c r="A294" s="29">
        <v>2</v>
      </c>
      <c r="B294" s="25" t="s">
        <v>10</v>
      </c>
      <c r="C294" s="25" t="s">
        <v>545</v>
      </c>
      <c r="D294" s="73">
        <v>165470</v>
      </c>
      <c r="E294" s="71">
        <v>102.59</v>
      </c>
      <c r="F294" s="120">
        <f t="shared" si="8"/>
        <v>205.18</v>
      </c>
      <c r="G294" s="70"/>
    </row>
    <row r="295" spans="1:15" ht="15.6" x14ac:dyDescent="0.3">
      <c r="A295" s="29">
        <v>2</v>
      </c>
      <c r="B295" s="25" t="s">
        <v>10</v>
      </c>
      <c r="C295" s="25" t="s">
        <v>546</v>
      </c>
      <c r="D295" s="73">
        <v>165475</v>
      </c>
      <c r="E295" s="71">
        <v>104.53</v>
      </c>
      <c r="F295" s="120">
        <f t="shared" si="8"/>
        <v>209.06</v>
      </c>
      <c r="G295" s="70"/>
    </row>
    <row r="296" spans="1:15" ht="15.6" x14ac:dyDescent="0.3">
      <c r="A296" s="29"/>
      <c r="B296" s="25"/>
      <c r="C296" s="25"/>
      <c r="D296" s="73"/>
      <c r="E296" s="71"/>
      <c r="F296" s="120">
        <f t="shared" si="8"/>
        <v>0</v>
      </c>
      <c r="G296" s="70"/>
    </row>
    <row r="297" spans="1:15" ht="15.6" x14ac:dyDescent="0.3">
      <c r="A297" s="29"/>
      <c r="B297" s="25"/>
      <c r="C297" s="25"/>
      <c r="D297" s="73"/>
      <c r="E297" s="71"/>
      <c r="F297" s="120">
        <f t="shared" si="8"/>
        <v>0</v>
      </c>
      <c r="G297" s="70"/>
    </row>
    <row r="298" spans="1:15" ht="15.6" x14ac:dyDescent="0.3">
      <c r="A298" s="29"/>
      <c r="B298" s="25"/>
      <c r="C298" s="25"/>
      <c r="D298" s="73"/>
      <c r="E298" s="71"/>
      <c r="F298" s="120">
        <f t="shared" si="8"/>
        <v>0</v>
      </c>
      <c r="G298" s="70"/>
    </row>
    <row r="299" spans="1:15" ht="15.6" x14ac:dyDescent="0.3">
      <c r="A299" s="173"/>
      <c r="B299" s="25"/>
      <c r="C299" s="25"/>
      <c r="D299" s="73"/>
      <c r="E299" s="71"/>
      <c r="F299" s="120">
        <f t="shared" si="8"/>
        <v>0</v>
      </c>
      <c r="G299" s="70"/>
    </row>
    <row r="300" spans="1:15" ht="15.6" x14ac:dyDescent="0.3">
      <c r="A300" s="26"/>
      <c r="B300" s="25"/>
      <c r="C300" s="25"/>
      <c r="D300" s="73"/>
      <c r="E300" s="71"/>
      <c r="F300" s="120">
        <f t="shared" si="8"/>
        <v>0</v>
      </c>
      <c r="G300" s="70"/>
    </row>
    <row r="301" spans="1:15" ht="15.6" x14ac:dyDescent="0.3">
      <c r="A301" s="26"/>
      <c r="B301" s="25"/>
      <c r="C301" s="25"/>
      <c r="D301" s="72"/>
      <c r="E301" s="71"/>
      <c r="F301" s="120">
        <f t="shared" si="8"/>
        <v>0</v>
      </c>
      <c r="G301" s="70"/>
    </row>
    <row r="302" spans="1:15" ht="15.6" x14ac:dyDescent="0.3">
      <c r="A302" s="26"/>
      <c r="B302" s="25"/>
      <c r="C302" s="25"/>
      <c r="D302" s="72"/>
      <c r="E302" s="71"/>
      <c r="F302" s="120">
        <f t="shared" si="8"/>
        <v>0</v>
      </c>
      <c r="G302" s="70"/>
    </row>
    <row r="303" spans="1:15" ht="15.6" x14ac:dyDescent="0.3">
      <c r="A303" s="21"/>
      <c r="B303" s="20"/>
      <c r="C303" s="20"/>
      <c r="D303" s="69"/>
      <c r="E303" s="68"/>
      <c r="F303" s="174">
        <f t="shared" si="8"/>
        <v>0</v>
      </c>
      <c r="G303" s="67"/>
    </row>
    <row r="304" spans="1:15" ht="17.399999999999999" x14ac:dyDescent="0.3">
      <c r="A304" s="17"/>
      <c r="B304" s="16"/>
      <c r="C304" s="294" t="s">
        <v>8</v>
      </c>
      <c r="D304" s="294"/>
      <c r="E304" s="66"/>
      <c r="F304" s="105">
        <f>SUM(F286:F302)</f>
        <v>9044.9700000000012</v>
      </c>
      <c r="G304" s="64"/>
    </row>
    <row r="305" spans="1:7" ht="17.399999999999999" x14ac:dyDescent="0.3">
      <c r="A305" s="11"/>
      <c r="B305" s="10"/>
      <c r="C305" s="270" t="s">
        <v>7</v>
      </c>
      <c r="D305" s="270"/>
      <c r="E305" s="62"/>
      <c r="F305" s="104">
        <f>F304*0.16</f>
        <v>1447.1952000000001</v>
      </c>
      <c r="G305" s="60"/>
    </row>
    <row r="306" spans="1:7" ht="17.399999999999999" x14ac:dyDescent="0.3">
      <c r="A306" s="11"/>
      <c r="B306" s="10"/>
      <c r="C306" s="295" t="s">
        <v>6</v>
      </c>
      <c r="D306" s="295"/>
      <c r="E306" s="58"/>
      <c r="F306" s="103">
        <f>F304+F305</f>
        <v>10492.165200000001</v>
      </c>
      <c r="G306" s="56"/>
    </row>
    <row r="307" spans="1:7" ht="15.6" x14ac:dyDescent="0.3">
      <c r="A307" s="296" t="s">
        <v>5</v>
      </c>
      <c r="B307" s="297"/>
      <c r="C307" s="5" t="s">
        <v>4</v>
      </c>
      <c r="D307" s="5"/>
      <c r="E307" s="297" t="s">
        <v>3</v>
      </c>
      <c r="F307" s="297"/>
      <c r="G307" s="298"/>
    </row>
    <row r="308" spans="1:7" ht="15.6" x14ac:dyDescent="0.3">
      <c r="A308" s="299" t="s">
        <v>374</v>
      </c>
      <c r="B308" s="300"/>
      <c r="C308" s="2" t="s">
        <v>39</v>
      </c>
      <c r="D308" s="2"/>
      <c r="E308" s="300" t="s">
        <v>70</v>
      </c>
      <c r="F308" s="300"/>
      <c r="G308" s="301"/>
    </row>
    <row r="312" spans="1:7" ht="21" x14ac:dyDescent="0.4">
      <c r="A312" s="55"/>
      <c r="B312" s="271" t="s">
        <v>38</v>
      </c>
      <c r="C312" s="272"/>
      <c r="D312" s="277" t="s">
        <v>37</v>
      </c>
      <c r="E312" s="278"/>
      <c r="F312" s="278"/>
      <c r="G312" s="279"/>
    </row>
    <row r="313" spans="1:7" ht="21" x14ac:dyDescent="0.4">
      <c r="A313" s="53"/>
      <c r="B313" s="273"/>
      <c r="C313" s="274"/>
      <c r="D313" s="280" t="s">
        <v>36</v>
      </c>
      <c r="E313" s="281"/>
      <c r="F313" s="282" t="s">
        <v>516</v>
      </c>
      <c r="G313" s="283"/>
    </row>
    <row r="314" spans="1:7" ht="21" x14ac:dyDescent="0.4">
      <c r="A314" s="53"/>
      <c r="B314" s="273"/>
      <c r="C314" s="274"/>
      <c r="D314" s="135" t="s">
        <v>118</v>
      </c>
      <c r="E314" s="136"/>
      <c r="F314" s="90">
        <v>21</v>
      </c>
      <c r="G314" s="50"/>
    </row>
    <row r="315" spans="1:7" ht="21" x14ac:dyDescent="0.4">
      <c r="A315" s="49"/>
      <c r="B315" s="275"/>
      <c r="C315" s="276"/>
      <c r="D315" s="285" t="s">
        <v>50</v>
      </c>
      <c r="E315" s="286"/>
      <c r="F315" s="287" t="s">
        <v>551</v>
      </c>
      <c r="G315" s="288"/>
    </row>
    <row r="316" spans="1:7" ht="20.399999999999999" x14ac:dyDescent="0.35">
      <c r="A316" s="39" t="s">
        <v>48</v>
      </c>
      <c r="B316" s="43" t="s">
        <v>47</v>
      </c>
      <c r="C316" s="42"/>
      <c r="D316" s="42"/>
      <c r="E316" s="289"/>
      <c r="F316" s="289"/>
      <c r="G316" s="290"/>
    </row>
    <row r="317" spans="1:7" ht="20.399999999999999" x14ac:dyDescent="0.35">
      <c r="A317" s="39" t="s">
        <v>547</v>
      </c>
      <c r="B317" s="291" t="s">
        <v>548</v>
      </c>
      <c r="C317" s="292"/>
      <c r="D317" s="292"/>
      <c r="E317" s="292"/>
      <c r="F317" s="292"/>
      <c r="G317" s="293"/>
    </row>
    <row r="318" spans="1:7" ht="20.399999999999999" x14ac:dyDescent="0.35">
      <c r="A318" s="39" t="s">
        <v>46</v>
      </c>
      <c r="B318" s="291" t="s">
        <v>362</v>
      </c>
      <c r="C318" s="292"/>
      <c r="D318" s="292"/>
      <c r="E318" s="292"/>
      <c r="F318" s="292"/>
      <c r="G318" s="293"/>
    </row>
    <row r="319" spans="1:7" ht="20.399999999999999" x14ac:dyDescent="0.35">
      <c r="A319" s="39" t="s">
        <v>28</v>
      </c>
      <c r="B319" s="291" t="s">
        <v>44</v>
      </c>
      <c r="C319" s="292"/>
      <c r="D319" s="292"/>
      <c r="E319" s="292"/>
      <c r="F319" s="292"/>
      <c r="G319" s="293"/>
    </row>
    <row r="320" spans="1:7" ht="15" x14ac:dyDescent="0.3">
      <c r="A320" s="34" t="s">
        <v>26</v>
      </c>
      <c r="B320" s="34" t="s">
        <v>25</v>
      </c>
      <c r="C320" s="34" t="s">
        <v>24</v>
      </c>
      <c r="D320" s="34" t="s">
        <v>43</v>
      </c>
      <c r="E320" s="34" t="s">
        <v>42</v>
      </c>
      <c r="F320" s="34" t="s">
        <v>22</v>
      </c>
      <c r="G320" s="169" t="s">
        <v>21</v>
      </c>
    </row>
    <row r="321" spans="1:7" ht="15.6" x14ac:dyDescent="0.3">
      <c r="A321" s="33">
        <v>30</v>
      </c>
      <c r="B321" s="32" t="s">
        <v>537</v>
      </c>
      <c r="C321" s="32" t="s">
        <v>538</v>
      </c>
      <c r="D321" s="171">
        <v>100517</v>
      </c>
      <c r="E321" s="75">
        <v>60.03</v>
      </c>
      <c r="F321" s="172">
        <f t="shared" ref="F321:F335" si="9">A321*E321</f>
        <v>1800.9</v>
      </c>
      <c r="G321" s="128"/>
    </row>
    <row r="322" spans="1:7" ht="15.6" x14ac:dyDescent="0.3">
      <c r="A322" s="29"/>
      <c r="B322" s="25"/>
      <c r="C322" s="25"/>
      <c r="D322" s="72"/>
      <c r="E322" s="71"/>
      <c r="F322" s="120">
        <f t="shared" si="9"/>
        <v>0</v>
      </c>
      <c r="G322" s="70"/>
    </row>
    <row r="323" spans="1:7" ht="15.6" x14ac:dyDescent="0.3">
      <c r="A323" s="29"/>
      <c r="B323" s="25"/>
      <c r="C323" s="25"/>
      <c r="D323" s="72"/>
      <c r="E323" s="71"/>
      <c r="F323" s="120">
        <f t="shared" si="9"/>
        <v>0</v>
      </c>
      <c r="G323" s="70"/>
    </row>
    <row r="324" spans="1:7" ht="15.6" x14ac:dyDescent="0.3">
      <c r="A324" s="29"/>
      <c r="B324" s="25"/>
      <c r="C324" s="25"/>
      <c r="D324" s="72"/>
      <c r="E324" s="71"/>
      <c r="F324" s="120">
        <f t="shared" si="9"/>
        <v>0</v>
      </c>
      <c r="G324" s="70"/>
    </row>
    <row r="325" spans="1:7" ht="15.6" x14ac:dyDescent="0.3">
      <c r="A325" s="29"/>
      <c r="B325" s="25"/>
      <c r="C325" s="25"/>
      <c r="D325" s="72"/>
      <c r="E325" s="71"/>
      <c r="F325" s="120">
        <f t="shared" si="9"/>
        <v>0</v>
      </c>
      <c r="G325" s="70"/>
    </row>
    <row r="326" spans="1:7" ht="15.6" x14ac:dyDescent="0.3">
      <c r="A326" s="29"/>
      <c r="B326" s="25"/>
      <c r="C326" s="25"/>
      <c r="D326" s="72"/>
      <c r="E326" s="71"/>
      <c r="F326" s="120">
        <f t="shared" si="9"/>
        <v>0</v>
      </c>
      <c r="G326" s="70"/>
    </row>
    <row r="327" spans="1:7" ht="15.6" x14ac:dyDescent="0.3">
      <c r="A327" s="29"/>
      <c r="B327" s="25"/>
      <c r="C327" s="25"/>
      <c r="D327" s="72"/>
      <c r="E327" s="71"/>
      <c r="F327" s="120">
        <f t="shared" si="9"/>
        <v>0</v>
      </c>
      <c r="G327" s="70"/>
    </row>
    <row r="328" spans="1:7" ht="15.6" x14ac:dyDescent="0.3">
      <c r="A328" s="29"/>
      <c r="B328" s="25"/>
      <c r="C328" s="25"/>
      <c r="D328" s="72"/>
      <c r="E328" s="71"/>
      <c r="F328" s="120">
        <f t="shared" si="9"/>
        <v>0</v>
      </c>
      <c r="G328" s="70"/>
    </row>
    <row r="329" spans="1:7" ht="15.6" x14ac:dyDescent="0.3">
      <c r="A329" s="29"/>
      <c r="B329" s="25"/>
      <c r="C329" s="25"/>
      <c r="D329" s="72"/>
      <c r="E329" s="71"/>
      <c r="F329" s="120">
        <f t="shared" si="9"/>
        <v>0</v>
      </c>
      <c r="G329" s="70"/>
    </row>
    <row r="330" spans="1:7" ht="15.6" x14ac:dyDescent="0.3">
      <c r="A330" s="29"/>
      <c r="B330" s="25"/>
      <c r="C330" s="25"/>
      <c r="D330" s="72"/>
      <c r="E330" s="71"/>
      <c r="F330" s="120">
        <f t="shared" si="9"/>
        <v>0</v>
      </c>
      <c r="G330" s="70"/>
    </row>
    <row r="331" spans="1:7" ht="15.6" x14ac:dyDescent="0.3">
      <c r="A331" s="173"/>
      <c r="B331" s="25"/>
      <c r="C331" s="25"/>
      <c r="D331" s="72"/>
      <c r="E331" s="71"/>
      <c r="F331" s="120">
        <f t="shared" si="9"/>
        <v>0</v>
      </c>
      <c r="G331" s="70"/>
    </row>
    <row r="332" spans="1:7" ht="15.6" x14ac:dyDescent="0.3">
      <c r="A332" s="26"/>
      <c r="B332" s="25"/>
      <c r="C332" s="25"/>
      <c r="D332" s="72"/>
      <c r="E332" s="71"/>
      <c r="F332" s="120">
        <f t="shared" si="9"/>
        <v>0</v>
      </c>
      <c r="G332" s="70"/>
    </row>
    <row r="333" spans="1:7" ht="15.6" x14ac:dyDescent="0.3">
      <c r="A333" s="26"/>
      <c r="B333" s="25"/>
      <c r="C333" s="25"/>
      <c r="D333" s="72"/>
      <c r="E333" s="71"/>
      <c r="F333" s="120">
        <f t="shared" si="9"/>
        <v>0</v>
      </c>
      <c r="G333" s="70"/>
    </row>
    <row r="334" spans="1:7" ht="15.6" x14ac:dyDescent="0.3">
      <c r="A334" s="26"/>
      <c r="B334" s="25"/>
      <c r="C334" s="25"/>
      <c r="D334" s="72"/>
      <c r="E334" s="71"/>
      <c r="F334" s="120">
        <f t="shared" si="9"/>
        <v>0</v>
      </c>
      <c r="G334" s="70"/>
    </row>
    <row r="335" spans="1:7" ht="15.6" x14ac:dyDescent="0.3">
      <c r="A335" s="21"/>
      <c r="B335" s="20"/>
      <c r="C335" s="20"/>
      <c r="D335" s="69"/>
      <c r="E335" s="68"/>
      <c r="F335" s="174">
        <f t="shared" si="9"/>
        <v>0</v>
      </c>
      <c r="G335" s="67"/>
    </row>
    <row r="336" spans="1:7" ht="17.399999999999999" x14ac:dyDescent="0.3">
      <c r="A336" s="17"/>
      <c r="B336" s="16"/>
      <c r="C336" s="294" t="s">
        <v>8</v>
      </c>
      <c r="D336" s="294"/>
      <c r="E336" s="66"/>
      <c r="F336" s="105">
        <f>SUM(F321:F334)</f>
        <v>1800.9</v>
      </c>
      <c r="G336" s="64"/>
    </row>
    <row r="337" spans="1:7" ht="17.399999999999999" x14ac:dyDescent="0.3">
      <c r="A337" s="11"/>
      <c r="B337" s="10"/>
      <c r="C337" s="270" t="s">
        <v>7</v>
      </c>
      <c r="D337" s="270"/>
      <c r="E337" s="62"/>
      <c r="F337" s="104">
        <f>F336*0.16</f>
        <v>288.14400000000001</v>
      </c>
      <c r="G337" s="60"/>
    </row>
    <row r="338" spans="1:7" ht="17.399999999999999" x14ac:dyDescent="0.3">
      <c r="A338" s="11"/>
      <c r="B338" s="10"/>
      <c r="C338" s="295" t="s">
        <v>6</v>
      </c>
      <c r="D338" s="295"/>
      <c r="E338" s="58"/>
      <c r="F338" s="103">
        <f>F336+F337</f>
        <v>2089.0439999999999</v>
      </c>
      <c r="G338" s="56"/>
    </row>
    <row r="339" spans="1:7" ht="15.6" x14ac:dyDescent="0.3">
      <c r="A339" s="296" t="s">
        <v>5</v>
      </c>
      <c r="B339" s="297"/>
      <c r="C339" s="5" t="s">
        <v>4</v>
      </c>
      <c r="D339" s="5"/>
      <c r="E339" s="297" t="s">
        <v>3</v>
      </c>
      <c r="F339" s="297"/>
      <c r="G339" s="298"/>
    </row>
    <row r="340" spans="1:7" ht="15.6" x14ac:dyDescent="0.3">
      <c r="A340" s="299" t="s">
        <v>374</v>
      </c>
      <c r="B340" s="300"/>
      <c r="C340" s="2" t="s">
        <v>39</v>
      </c>
      <c r="D340" s="2"/>
      <c r="E340" s="300" t="s">
        <v>70</v>
      </c>
      <c r="F340" s="300"/>
      <c r="G340" s="301"/>
    </row>
    <row r="344" spans="1:7" ht="21" x14ac:dyDescent="0.4">
      <c r="A344" s="55"/>
      <c r="B344" s="271" t="s">
        <v>38</v>
      </c>
      <c r="C344" s="272"/>
      <c r="D344" s="277" t="s">
        <v>37</v>
      </c>
      <c r="E344" s="278"/>
      <c r="F344" s="278"/>
      <c r="G344" s="279"/>
    </row>
    <row r="345" spans="1:7" ht="21" x14ac:dyDescent="0.4">
      <c r="A345" s="53"/>
      <c r="B345" s="273"/>
      <c r="C345" s="274"/>
      <c r="D345" s="280" t="s">
        <v>36</v>
      </c>
      <c r="E345" s="281"/>
      <c r="F345" s="282" t="s">
        <v>516</v>
      </c>
      <c r="G345" s="283"/>
    </row>
    <row r="346" spans="1:7" ht="21" x14ac:dyDescent="0.4">
      <c r="A346" s="53"/>
      <c r="B346" s="273"/>
      <c r="C346" s="274"/>
      <c r="D346" s="135" t="s">
        <v>118</v>
      </c>
      <c r="E346" s="136"/>
      <c r="F346" s="90">
        <v>21</v>
      </c>
      <c r="G346" s="50"/>
    </row>
    <row r="347" spans="1:7" ht="21" x14ac:dyDescent="0.4">
      <c r="A347" s="49"/>
      <c r="B347" s="275"/>
      <c r="C347" s="276"/>
      <c r="D347" s="285" t="s">
        <v>50</v>
      </c>
      <c r="E347" s="286"/>
      <c r="F347" s="287" t="s">
        <v>555</v>
      </c>
      <c r="G347" s="288"/>
    </row>
    <row r="348" spans="1:7" ht="20.399999999999999" x14ac:dyDescent="0.35">
      <c r="A348" s="39" t="s">
        <v>48</v>
      </c>
      <c r="B348" s="43" t="s">
        <v>0</v>
      </c>
      <c r="C348" s="42"/>
      <c r="D348" s="42"/>
      <c r="E348" s="289"/>
      <c r="F348" s="289"/>
      <c r="G348" s="290"/>
    </row>
    <row r="349" spans="1:7" ht="20.399999999999999" x14ac:dyDescent="0.35">
      <c r="A349" s="39" t="s">
        <v>547</v>
      </c>
      <c r="B349" s="291" t="s">
        <v>548</v>
      </c>
      <c r="C349" s="292"/>
      <c r="D349" s="292"/>
      <c r="E349" s="292"/>
      <c r="F349" s="292"/>
      <c r="G349" s="293"/>
    </row>
    <row r="350" spans="1:7" ht="20.399999999999999" x14ac:dyDescent="0.35">
      <c r="A350" s="39" t="s">
        <v>46</v>
      </c>
      <c r="B350" s="291" t="s">
        <v>362</v>
      </c>
      <c r="C350" s="292"/>
      <c r="D350" s="292"/>
      <c r="E350" s="292"/>
      <c r="F350" s="292"/>
      <c r="G350" s="293"/>
    </row>
    <row r="351" spans="1:7" ht="20.399999999999999" x14ac:dyDescent="0.35">
      <c r="A351" s="39" t="s">
        <v>28</v>
      </c>
      <c r="B351" s="291" t="s">
        <v>157</v>
      </c>
      <c r="C351" s="292"/>
      <c r="D351" s="292"/>
      <c r="E351" s="292"/>
      <c r="F351" s="292"/>
      <c r="G351" s="293"/>
    </row>
    <row r="352" spans="1:7" ht="15" x14ac:dyDescent="0.3">
      <c r="A352" s="34" t="s">
        <v>26</v>
      </c>
      <c r="B352" s="34" t="s">
        <v>25</v>
      </c>
      <c r="C352" s="34" t="s">
        <v>24</v>
      </c>
      <c r="D352" s="34" t="s">
        <v>43</v>
      </c>
      <c r="E352" s="34" t="s">
        <v>42</v>
      </c>
      <c r="F352" s="34" t="s">
        <v>22</v>
      </c>
      <c r="G352" s="169" t="s">
        <v>21</v>
      </c>
    </row>
    <row r="353" spans="1:7" ht="15.6" x14ac:dyDescent="0.3">
      <c r="A353" s="33">
        <v>6</v>
      </c>
      <c r="B353" s="32" t="s">
        <v>155</v>
      </c>
      <c r="C353" s="32" t="s">
        <v>154</v>
      </c>
      <c r="D353" s="171"/>
      <c r="E353" s="75">
        <v>480.8</v>
      </c>
      <c r="F353" s="172">
        <f t="shared" ref="F353:F367" si="10">A353*E353</f>
        <v>2884.8</v>
      </c>
      <c r="G353" s="128"/>
    </row>
    <row r="354" spans="1:7" ht="15.6" x14ac:dyDescent="0.3">
      <c r="A354" s="29">
        <v>6</v>
      </c>
      <c r="B354" s="25" t="s">
        <v>155</v>
      </c>
      <c r="C354" s="25" t="s">
        <v>156</v>
      </c>
      <c r="D354" s="72"/>
      <c r="E354" s="71">
        <v>360.3</v>
      </c>
      <c r="F354" s="120">
        <f t="shared" si="10"/>
        <v>2161.8000000000002</v>
      </c>
      <c r="G354" s="70"/>
    </row>
    <row r="355" spans="1:7" ht="15.6" x14ac:dyDescent="0.3">
      <c r="A355" s="29">
        <v>280</v>
      </c>
      <c r="B355" s="25" t="s">
        <v>10</v>
      </c>
      <c r="C355" s="25" t="s">
        <v>553</v>
      </c>
      <c r="D355" s="72"/>
      <c r="E355" s="71">
        <v>4.33</v>
      </c>
      <c r="F355" s="120">
        <f t="shared" si="10"/>
        <v>1212.4000000000001</v>
      </c>
      <c r="G355" s="70"/>
    </row>
    <row r="356" spans="1:7" ht="15.6" x14ac:dyDescent="0.3">
      <c r="A356" s="29">
        <v>50</v>
      </c>
      <c r="B356" s="25" t="s">
        <v>10</v>
      </c>
      <c r="C356" s="25" t="s">
        <v>554</v>
      </c>
      <c r="D356" s="72"/>
      <c r="E356" s="71">
        <v>2.83</v>
      </c>
      <c r="F356" s="120">
        <f t="shared" si="10"/>
        <v>141.5</v>
      </c>
      <c r="G356" s="70"/>
    </row>
    <row r="357" spans="1:7" ht="15.6" x14ac:dyDescent="0.3">
      <c r="A357" s="29"/>
      <c r="B357" s="25"/>
      <c r="C357" s="25"/>
      <c r="D357" s="72"/>
      <c r="E357" s="71"/>
      <c r="F357" s="120">
        <f t="shared" si="10"/>
        <v>0</v>
      </c>
      <c r="G357" s="70"/>
    </row>
    <row r="358" spans="1:7" ht="15.6" x14ac:dyDescent="0.3">
      <c r="A358" s="29"/>
      <c r="B358" s="25"/>
      <c r="C358" s="25"/>
      <c r="D358" s="72"/>
      <c r="E358" s="71"/>
      <c r="F358" s="120">
        <f t="shared" si="10"/>
        <v>0</v>
      </c>
      <c r="G358" s="70"/>
    </row>
    <row r="359" spans="1:7" ht="15.6" x14ac:dyDescent="0.3">
      <c r="A359" s="29"/>
      <c r="B359" s="25"/>
      <c r="C359" s="25"/>
      <c r="D359" s="72"/>
      <c r="E359" s="71"/>
      <c r="F359" s="120">
        <f t="shared" si="10"/>
        <v>0</v>
      </c>
      <c r="G359" s="70"/>
    </row>
    <row r="360" spans="1:7" ht="15.6" x14ac:dyDescent="0.3">
      <c r="A360" s="29"/>
      <c r="B360" s="25"/>
      <c r="C360" s="25"/>
      <c r="D360" s="72"/>
      <c r="E360" s="71"/>
      <c r="F360" s="120">
        <f t="shared" si="10"/>
        <v>0</v>
      </c>
      <c r="G360" s="70"/>
    </row>
    <row r="361" spans="1:7" ht="15.6" x14ac:dyDescent="0.3">
      <c r="A361" s="29"/>
      <c r="B361" s="25"/>
      <c r="C361" s="25"/>
      <c r="D361" s="72"/>
      <c r="E361" s="71"/>
      <c r="F361" s="120">
        <f t="shared" si="10"/>
        <v>0</v>
      </c>
      <c r="G361" s="70"/>
    </row>
    <row r="362" spans="1:7" ht="15.6" x14ac:dyDescent="0.3">
      <c r="A362" s="29"/>
      <c r="B362" s="25"/>
      <c r="C362" s="25"/>
      <c r="D362" s="72"/>
      <c r="E362" s="71"/>
      <c r="F362" s="120">
        <f t="shared" si="10"/>
        <v>0</v>
      </c>
      <c r="G362" s="70"/>
    </row>
    <row r="363" spans="1:7" ht="15.6" x14ac:dyDescent="0.3">
      <c r="A363" s="173"/>
      <c r="B363" s="25"/>
      <c r="C363" s="25"/>
      <c r="D363" s="72"/>
      <c r="E363" s="71"/>
      <c r="F363" s="120">
        <f t="shared" si="10"/>
        <v>0</v>
      </c>
      <c r="G363" s="70"/>
    </row>
    <row r="364" spans="1:7" ht="15.6" x14ac:dyDescent="0.3">
      <c r="A364" s="26"/>
      <c r="B364" s="25"/>
      <c r="C364" s="25"/>
      <c r="D364" s="72"/>
      <c r="E364" s="71"/>
      <c r="F364" s="120">
        <f t="shared" si="10"/>
        <v>0</v>
      </c>
      <c r="G364" s="70"/>
    </row>
    <row r="365" spans="1:7" ht="15.6" x14ac:dyDescent="0.3">
      <c r="A365" s="26"/>
      <c r="B365" s="25"/>
      <c r="C365" s="25"/>
      <c r="D365" s="72"/>
      <c r="E365" s="71"/>
      <c r="F365" s="120">
        <f t="shared" si="10"/>
        <v>0</v>
      </c>
      <c r="G365" s="70"/>
    </row>
    <row r="366" spans="1:7" ht="15.6" x14ac:dyDescent="0.3">
      <c r="A366" s="26"/>
      <c r="B366" s="25"/>
      <c r="C366" s="25"/>
      <c r="D366" s="72"/>
      <c r="E366" s="71"/>
      <c r="F366" s="120">
        <f t="shared" si="10"/>
        <v>0</v>
      </c>
      <c r="G366" s="70"/>
    </row>
    <row r="367" spans="1:7" ht="15.6" x14ac:dyDescent="0.3">
      <c r="A367" s="21"/>
      <c r="B367" s="20"/>
      <c r="C367" s="20"/>
      <c r="D367" s="69"/>
      <c r="E367" s="68"/>
      <c r="F367" s="174">
        <f t="shared" si="10"/>
        <v>0</v>
      </c>
      <c r="G367" s="67"/>
    </row>
    <row r="368" spans="1:7" ht="17.399999999999999" x14ac:dyDescent="0.3">
      <c r="A368" s="17"/>
      <c r="B368" s="16"/>
      <c r="C368" s="294" t="s">
        <v>8</v>
      </c>
      <c r="D368" s="294"/>
      <c r="E368" s="66"/>
      <c r="F368" s="105">
        <f>SUM(F353:F366)</f>
        <v>6400.5</v>
      </c>
      <c r="G368" s="64"/>
    </row>
    <row r="369" spans="1:7" ht="17.399999999999999" x14ac:dyDescent="0.3">
      <c r="A369" s="11"/>
      <c r="B369" s="10"/>
      <c r="C369" s="270" t="s">
        <v>7</v>
      </c>
      <c r="D369" s="270"/>
      <c r="E369" s="62"/>
      <c r="F369" s="104">
        <f>F368*0.16</f>
        <v>1024.08</v>
      </c>
      <c r="G369" s="60"/>
    </row>
    <row r="370" spans="1:7" ht="17.399999999999999" x14ac:dyDescent="0.3">
      <c r="A370" s="11"/>
      <c r="B370" s="10"/>
      <c r="C370" s="295" t="s">
        <v>6</v>
      </c>
      <c r="D370" s="295"/>
      <c r="E370" s="58"/>
      <c r="F370" s="103">
        <f>F368+F369</f>
        <v>7424.58</v>
      </c>
      <c r="G370" s="56"/>
    </row>
    <row r="371" spans="1:7" ht="15.6" x14ac:dyDescent="0.3">
      <c r="A371" s="296" t="s">
        <v>5</v>
      </c>
      <c r="B371" s="297"/>
      <c r="C371" s="5" t="s">
        <v>4</v>
      </c>
      <c r="D371" s="5"/>
      <c r="E371" s="297" t="s">
        <v>3</v>
      </c>
      <c r="F371" s="297"/>
      <c r="G371" s="298"/>
    </row>
    <row r="372" spans="1:7" ht="15.6" x14ac:dyDescent="0.3">
      <c r="A372" s="299" t="s">
        <v>374</v>
      </c>
      <c r="B372" s="300"/>
      <c r="C372" s="2" t="s">
        <v>39</v>
      </c>
      <c r="D372" s="2"/>
      <c r="E372" s="300" t="s">
        <v>70</v>
      </c>
      <c r="F372" s="300"/>
      <c r="G372" s="301"/>
    </row>
  </sheetData>
  <mergeCells count="129">
    <mergeCell ref="C337:D337"/>
    <mergeCell ref="C338:D338"/>
    <mergeCell ref="A339:B339"/>
    <mergeCell ref="E339:G339"/>
    <mergeCell ref="A340:B340"/>
    <mergeCell ref="E340:G340"/>
    <mergeCell ref="E316:G316"/>
    <mergeCell ref="B317:G317"/>
    <mergeCell ref="B318:G318"/>
    <mergeCell ref="B319:G319"/>
    <mergeCell ref="C336:D336"/>
    <mergeCell ref="B312:C315"/>
    <mergeCell ref="D312:G312"/>
    <mergeCell ref="D313:E313"/>
    <mergeCell ref="F313:G313"/>
    <mergeCell ref="D315:E315"/>
    <mergeCell ref="F315:G315"/>
    <mergeCell ref="C305:D305"/>
    <mergeCell ref="C306:D306"/>
    <mergeCell ref="A307:B307"/>
    <mergeCell ref="E307:G307"/>
    <mergeCell ref="A308:B308"/>
    <mergeCell ref="E308:G308"/>
    <mergeCell ref="E101:G101"/>
    <mergeCell ref="B102:G102"/>
    <mergeCell ref="B282:G282"/>
    <mergeCell ref="B283:G283"/>
    <mergeCell ref="B284:G284"/>
    <mergeCell ref="C304:D304"/>
    <mergeCell ref="B251:G251"/>
    <mergeCell ref="B277:C280"/>
    <mergeCell ref="D277:G277"/>
    <mergeCell ref="D278:E278"/>
    <mergeCell ref="F278:G278"/>
    <mergeCell ref="D280:E280"/>
    <mergeCell ref="F280:G280"/>
    <mergeCell ref="A120:B120"/>
    <mergeCell ref="E120:G120"/>
    <mergeCell ref="B104:G104"/>
    <mergeCell ref="C116:D116"/>
    <mergeCell ref="C117:D117"/>
    <mergeCell ref="C118:D118"/>
    <mergeCell ref="A119:B119"/>
    <mergeCell ref="E119:G119"/>
    <mergeCell ref="B103:G103"/>
    <mergeCell ref="A124:C127"/>
    <mergeCell ref="D124:G124"/>
    <mergeCell ref="A3:C6"/>
    <mergeCell ref="D3:G3"/>
    <mergeCell ref="E4:F4"/>
    <mergeCell ref="E5:F5"/>
    <mergeCell ref="E6:F6"/>
    <mergeCell ref="A34:C37"/>
    <mergeCell ref="D34:G34"/>
    <mergeCell ref="E35:F35"/>
    <mergeCell ref="E36:F36"/>
    <mergeCell ref="E37:F37"/>
    <mergeCell ref="A65:C68"/>
    <mergeCell ref="D65:G65"/>
    <mergeCell ref="E66:F66"/>
    <mergeCell ref="E67:F67"/>
    <mergeCell ref="E68:F68"/>
    <mergeCell ref="B97:C100"/>
    <mergeCell ref="D97:G97"/>
    <mergeCell ref="D98:E98"/>
    <mergeCell ref="F98:G98"/>
    <mergeCell ref="D99:E99"/>
    <mergeCell ref="F99:G99"/>
    <mergeCell ref="D100:E100"/>
    <mergeCell ref="F100:G100"/>
    <mergeCell ref="E125:F125"/>
    <mergeCell ref="E126:F126"/>
    <mergeCell ref="E127:F127"/>
    <mergeCell ref="B154:C157"/>
    <mergeCell ref="D154:G154"/>
    <mergeCell ref="D155:E155"/>
    <mergeCell ref="F155:G155"/>
    <mergeCell ref="D157:E157"/>
    <mergeCell ref="F157:G157"/>
    <mergeCell ref="E158:G158"/>
    <mergeCell ref="B159:G159"/>
    <mergeCell ref="B160:G160"/>
    <mergeCell ref="B161:G161"/>
    <mergeCell ref="A165:C165"/>
    <mergeCell ref="A181:B181"/>
    <mergeCell ref="E181:G181"/>
    <mergeCell ref="B184:C186"/>
    <mergeCell ref="C207:D207"/>
    <mergeCell ref="D177:E177"/>
    <mergeCell ref="C178:E178"/>
    <mergeCell ref="C179:E179"/>
    <mergeCell ref="A180:B180"/>
    <mergeCell ref="E180:G180"/>
    <mergeCell ref="F187:G187"/>
    <mergeCell ref="C208:D208"/>
    <mergeCell ref="C209:D209"/>
    <mergeCell ref="E184:G184"/>
    <mergeCell ref="F185:G185"/>
    <mergeCell ref="F186:G186"/>
    <mergeCell ref="F191:G191"/>
    <mergeCell ref="B344:C347"/>
    <mergeCell ref="D344:G344"/>
    <mergeCell ref="D345:E345"/>
    <mergeCell ref="F345:G345"/>
    <mergeCell ref="D347:E347"/>
    <mergeCell ref="F347:G347"/>
    <mergeCell ref="E218:G220"/>
    <mergeCell ref="A245:C248"/>
    <mergeCell ref="D245:G245"/>
    <mergeCell ref="E246:F246"/>
    <mergeCell ref="E247:F247"/>
    <mergeCell ref="E248:F248"/>
    <mergeCell ref="A214:C217"/>
    <mergeCell ref="D214:G214"/>
    <mergeCell ref="E215:F215"/>
    <mergeCell ref="E216:F216"/>
    <mergeCell ref="E217:F217"/>
    <mergeCell ref="E281:G281"/>
    <mergeCell ref="A372:B372"/>
    <mergeCell ref="E372:G372"/>
    <mergeCell ref="E348:G348"/>
    <mergeCell ref="B349:G349"/>
    <mergeCell ref="B350:G350"/>
    <mergeCell ref="B351:G351"/>
    <mergeCell ref="C368:D368"/>
    <mergeCell ref="C369:D369"/>
    <mergeCell ref="C370:D370"/>
    <mergeCell ref="A371:B371"/>
    <mergeCell ref="E371:G371"/>
  </mergeCells>
  <dataValidations disablePrompts="1" count="1">
    <dataValidation type="textLength" errorStyle="warning" allowBlank="1" showErrorMessage="1" errorTitle="Tipo de unidad" error="Escriba el tipo de unidad (bruto, cajas, docenas, paquetes, fajos, etc.) al que se refiere el precio unitario._x000a_" promptTitle="Tipo de unidad" sqref="A30 A61 A92 A119 A149 A168 A180 A210 A241 A272 A307 A339 A371" xr:uid="{74F200E0-B171-444E-B6E8-DDB807D1BCAF}">
      <formula1>0</formula1>
      <formula2>256</formula2>
    </dataValidation>
  </dataValidations>
  <pageMargins left="0.7" right="0.7" top="0.75" bottom="0.75" header="0.3" footer="0.3"/>
  <pageSetup scale="2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5AC18-51EA-428B-B642-C98A64292AF4}">
  <dimension ref="A3:I524"/>
  <sheetViews>
    <sheetView topLeftCell="A451" workbookViewId="0">
      <selection activeCell="D468" sqref="A468:G493"/>
    </sheetView>
  </sheetViews>
  <sheetFormatPr baseColWidth="10" defaultRowHeight="14.4" x14ac:dyDescent="0.3"/>
  <cols>
    <col min="1" max="1" width="21.33203125" customWidth="1"/>
    <col min="2" max="2" width="14.88671875" customWidth="1"/>
    <col min="3" max="3" width="32.21875" customWidth="1"/>
    <col min="4" max="4" width="28.44140625" customWidth="1"/>
    <col min="5" max="5" width="15" customWidth="1"/>
    <col min="6" max="6" width="15.5546875" customWidth="1"/>
    <col min="7" max="7" width="23.21875" customWidth="1"/>
  </cols>
  <sheetData>
    <row r="3" spans="1:7" ht="21" x14ac:dyDescent="0.4">
      <c r="A3" s="55"/>
      <c r="B3" s="271" t="s">
        <v>38</v>
      </c>
      <c r="C3" s="272"/>
      <c r="D3" s="277" t="s">
        <v>37</v>
      </c>
      <c r="E3" s="278"/>
      <c r="F3" s="278"/>
      <c r="G3" s="279"/>
    </row>
    <row r="4" spans="1:7" ht="21" x14ac:dyDescent="0.4">
      <c r="A4" s="53"/>
      <c r="B4" s="273"/>
      <c r="C4" s="274"/>
      <c r="D4" s="280" t="s">
        <v>36</v>
      </c>
      <c r="E4" s="281"/>
      <c r="F4" s="282" t="s">
        <v>385</v>
      </c>
      <c r="G4" s="283"/>
    </row>
    <row r="5" spans="1:7" ht="21" x14ac:dyDescent="0.4">
      <c r="A5" s="53"/>
      <c r="B5" s="273"/>
      <c r="C5" s="274"/>
      <c r="D5" s="135" t="s">
        <v>118</v>
      </c>
      <c r="E5" s="136"/>
      <c r="F5" s="90">
        <v>20</v>
      </c>
      <c r="G5" s="50"/>
    </row>
    <row r="6" spans="1:7" ht="31.8" customHeight="1" x14ac:dyDescent="0.4">
      <c r="A6" s="49"/>
      <c r="B6" s="275"/>
      <c r="C6" s="276"/>
      <c r="D6" s="285" t="s">
        <v>50</v>
      </c>
      <c r="E6" s="286"/>
      <c r="F6" s="287" t="s">
        <v>382</v>
      </c>
      <c r="G6" s="288"/>
    </row>
    <row r="7" spans="1:7" ht="20.399999999999999" x14ac:dyDescent="0.35">
      <c r="A7" s="39" t="s">
        <v>48</v>
      </c>
      <c r="B7" s="43" t="s">
        <v>47</v>
      </c>
      <c r="C7" s="42"/>
      <c r="D7" s="42"/>
      <c r="E7" s="289"/>
      <c r="F7" s="289"/>
      <c r="G7" s="290"/>
    </row>
    <row r="8" spans="1:7" ht="20.399999999999999" x14ac:dyDescent="0.35">
      <c r="A8" s="39" t="s">
        <v>30</v>
      </c>
      <c r="B8" s="291" t="s">
        <v>370</v>
      </c>
      <c r="C8" s="292"/>
      <c r="D8" s="292"/>
      <c r="E8" s="292"/>
      <c r="F8" s="292"/>
      <c r="G8" s="293"/>
    </row>
    <row r="9" spans="1:7" ht="20.399999999999999" x14ac:dyDescent="0.35">
      <c r="A9" s="39" t="s">
        <v>46</v>
      </c>
      <c r="B9" s="291" t="s">
        <v>371</v>
      </c>
      <c r="C9" s="292"/>
      <c r="D9" s="292"/>
      <c r="E9" s="292"/>
      <c r="F9" s="292"/>
      <c r="G9" s="293"/>
    </row>
    <row r="10" spans="1:7" ht="20.399999999999999" x14ac:dyDescent="0.35">
      <c r="A10" s="39" t="s">
        <v>28</v>
      </c>
      <c r="B10" s="291" t="s">
        <v>55</v>
      </c>
      <c r="C10" s="292"/>
      <c r="D10" s="292"/>
      <c r="E10" s="292"/>
      <c r="F10" s="292"/>
      <c r="G10" s="293"/>
    </row>
    <row r="11" spans="1:7" ht="60" x14ac:dyDescent="0.3">
      <c r="A11" s="34" t="s">
        <v>26</v>
      </c>
      <c r="B11" s="34" t="s">
        <v>25</v>
      </c>
      <c r="C11" s="34" t="s">
        <v>24</v>
      </c>
      <c r="D11" s="34" t="s">
        <v>43</v>
      </c>
      <c r="E11" s="34" t="s">
        <v>42</v>
      </c>
      <c r="F11" s="34" t="s">
        <v>22</v>
      </c>
      <c r="G11" s="169" t="s">
        <v>21</v>
      </c>
    </row>
    <row r="12" spans="1:7" ht="15.6" x14ac:dyDescent="0.3">
      <c r="A12" s="33">
        <v>6</v>
      </c>
      <c r="B12" s="32" t="s">
        <v>19</v>
      </c>
      <c r="C12" s="32" t="s">
        <v>67</v>
      </c>
      <c r="D12" s="171" t="s">
        <v>57</v>
      </c>
      <c r="E12" s="75">
        <v>1084.06</v>
      </c>
      <c r="F12" s="172">
        <f t="shared" ref="F12:F29" si="0">A12*E12</f>
        <v>6504.36</v>
      </c>
      <c r="G12" s="128"/>
    </row>
    <row r="13" spans="1:7" ht="15.6" x14ac:dyDescent="0.3">
      <c r="A13" s="29">
        <v>6</v>
      </c>
      <c r="B13" s="25" t="s">
        <v>19</v>
      </c>
      <c r="C13" s="95" t="s">
        <v>66</v>
      </c>
      <c r="D13" s="72" t="s">
        <v>57</v>
      </c>
      <c r="E13" s="71">
        <v>1084.06</v>
      </c>
      <c r="F13" s="120">
        <f t="shared" si="0"/>
        <v>6504.36</v>
      </c>
      <c r="G13" s="70"/>
    </row>
    <row r="14" spans="1:7" ht="15.6" x14ac:dyDescent="0.3">
      <c r="A14" s="29">
        <v>6</v>
      </c>
      <c r="B14" s="25" t="s">
        <v>19</v>
      </c>
      <c r="C14" s="25" t="s">
        <v>65</v>
      </c>
      <c r="D14" s="72" t="s">
        <v>57</v>
      </c>
      <c r="E14" s="71">
        <v>1084.06</v>
      </c>
      <c r="F14" s="120">
        <f t="shared" si="0"/>
        <v>6504.36</v>
      </c>
      <c r="G14" s="70"/>
    </row>
    <row r="15" spans="1:7" ht="15.6" x14ac:dyDescent="0.3">
      <c r="A15" s="29">
        <v>6</v>
      </c>
      <c r="B15" s="25" t="s">
        <v>19</v>
      </c>
      <c r="C15" s="25" t="s">
        <v>64</v>
      </c>
      <c r="D15" s="72" t="s">
        <v>57</v>
      </c>
      <c r="E15" s="71">
        <v>1084.06</v>
      </c>
      <c r="F15" s="120">
        <f t="shared" si="0"/>
        <v>6504.36</v>
      </c>
      <c r="G15" s="70"/>
    </row>
    <row r="16" spans="1:7" ht="15.6" x14ac:dyDescent="0.3">
      <c r="A16" s="29">
        <v>6</v>
      </c>
      <c r="B16" s="25" t="s">
        <v>19</v>
      </c>
      <c r="C16" s="25" t="s">
        <v>63</v>
      </c>
      <c r="D16" s="72" t="s">
        <v>57</v>
      </c>
      <c r="E16" s="71">
        <v>771.95</v>
      </c>
      <c r="F16" s="120">
        <f t="shared" si="0"/>
        <v>4631.7000000000007</v>
      </c>
      <c r="G16" s="70"/>
    </row>
    <row r="17" spans="1:7" ht="15.6" x14ac:dyDescent="0.3">
      <c r="A17" s="29">
        <v>3</v>
      </c>
      <c r="B17" s="25" t="s">
        <v>19</v>
      </c>
      <c r="C17" s="25" t="s">
        <v>62</v>
      </c>
      <c r="D17" s="72" t="s">
        <v>57</v>
      </c>
      <c r="E17" s="71">
        <v>771.95</v>
      </c>
      <c r="F17" s="120">
        <f t="shared" si="0"/>
        <v>2315.8500000000004</v>
      </c>
      <c r="G17" s="70"/>
    </row>
    <row r="18" spans="1:7" ht="15.6" x14ac:dyDescent="0.3">
      <c r="A18" s="29">
        <v>3</v>
      </c>
      <c r="B18" s="25" t="s">
        <v>19</v>
      </c>
      <c r="C18" s="25" t="s">
        <v>61</v>
      </c>
      <c r="D18" s="72" t="s">
        <v>57</v>
      </c>
      <c r="E18" s="71">
        <v>771.95</v>
      </c>
      <c r="F18" s="120">
        <f t="shared" si="0"/>
        <v>2315.8500000000004</v>
      </c>
      <c r="G18" s="70"/>
    </row>
    <row r="19" spans="1:7" ht="15.6" x14ac:dyDescent="0.3">
      <c r="A19" s="29"/>
      <c r="B19" s="25"/>
      <c r="C19" s="25"/>
      <c r="D19" s="72"/>
      <c r="E19" s="71"/>
      <c r="F19" s="120">
        <f t="shared" si="0"/>
        <v>0</v>
      </c>
      <c r="G19" s="70"/>
    </row>
    <row r="20" spans="1:7" ht="15.6" x14ac:dyDescent="0.3">
      <c r="A20" s="29"/>
      <c r="B20" s="25"/>
      <c r="C20" s="25"/>
      <c r="D20" s="72"/>
      <c r="E20" s="71"/>
      <c r="F20" s="120">
        <f t="shared" si="0"/>
        <v>0</v>
      </c>
      <c r="G20" s="70"/>
    </row>
    <row r="21" spans="1:7" ht="15.6" x14ac:dyDescent="0.3">
      <c r="A21" s="29"/>
      <c r="B21" s="25"/>
      <c r="C21" s="25"/>
      <c r="D21" s="72"/>
      <c r="E21" s="71"/>
      <c r="F21" s="120">
        <f t="shared" si="0"/>
        <v>0</v>
      </c>
      <c r="G21" s="70"/>
    </row>
    <row r="22" spans="1:7" ht="15.6" x14ac:dyDescent="0.3">
      <c r="A22" s="29"/>
      <c r="B22" s="25"/>
      <c r="C22" s="25"/>
      <c r="D22" s="72"/>
      <c r="E22" s="71"/>
      <c r="F22" s="120">
        <f t="shared" si="0"/>
        <v>0</v>
      </c>
      <c r="G22" s="70"/>
    </row>
    <row r="23" spans="1:7" ht="15.6" x14ac:dyDescent="0.3">
      <c r="A23" s="29"/>
      <c r="B23" s="25"/>
      <c r="C23" s="25"/>
      <c r="D23" s="72"/>
      <c r="E23" s="71"/>
      <c r="F23" s="120">
        <f t="shared" si="0"/>
        <v>0</v>
      </c>
      <c r="G23" s="70"/>
    </row>
    <row r="24" spans="1:7" ht="15.6" x14ac:dyDescent="0.3">
      <c r="A24" s="29"/>
      <c r="B24" s="25"/>
      <c r="C24" s="25"/>
      <c r="D24" s="72"/>
      <c r="E24" s="71"/>
      <c r="F24" s="120">
        <f t="shared" si="0"/>
        <v>0</v>
      </c>
      <c r="G24" s="70"/>
    </row>
    <row r="25" spans="1:7" ht="15.6" x14ac:dyDescent="0.3">
      <c r="A25" s="173"/>
      <c r="B25" s="25"/>
      <c r="C25" s="25"/>
      <c r="D25" s="72"/>
      <c r="E25" s="71"/>
      <c r="F25" s="120">
        <f t="shared" si="0"/>
        <v>0</v>
      </c>
      <c r="G25" s="70"/>
    </row>
    <row r="26" spans="1:7" ht="15.6" x14ac:dyDescent="0.3">
      <c r="A26" s="26"/>
      <c r="B26" s="25"/>
      <c r="C26" s="25"/>
      <c r="D26" s="72"/>
      <c r="E26" s="71"/>
      <c r="F26" s="120">
        <f t="shared" si="0"/>
        <v>0</v>
      </c>
      <c r="G26" s="70"/>
    </row>
    <row r="27" spans="1:7" ht="15.6" x14ac:dyDescent="0.3">
      <c r="A27" s="26"/>
      <c r="B27" s="25"/>
      <c r="C27" s="25"/>
      <c r="D27" s="72"/>
      <c r="E27" s="71"/>
      <c r="F27" s="120">
        <f t="shared" si="0"/>
        <v>0</v>
      </c>
      <c r="G27" s="70"/>
    </row>
    <row r="28" spans="1:7" ht="15.6" x14ac:dyDescent="0.3">
      <c r="A28" s="26"/>
      <c r="B28" s="25"/>
      <c r="C28" s="25"/>
      <c r="D28" s="72"/>
      <c r="E28" s="71"/>
      <c r="F28" s="120">
        <f t="shared" si="0"/>
        <v>0</v>
      </c>
      <c r="G28" s="70"/>
    </row>
    <row r="29" spans="1:7" ht="15.6" x14ac:dyDescent="0.3">
      <c r="A29" s="21"/>
      <c r="B29" s="20"/>
      <c r="C29" s="20"/>
      <c r="D29" s="69"/>
      <c r="E29" s="68"/>
      <c r="F29" s="174">
        <f t="shared" si="0"/>
        <v>0</v>
      </c>
      <c r="G29" s="67"/>
    </row>
    <row r="30" spans="1:7" ht="17.399999999999999" x14ac:dyDescent="0.3">
      <c r="A30" s="17"/>
      <c r="B30" s="16"/>
      <c r="C30" s="294" t="s">
        <v>8</v>
      </c>
      <c r="D30" s="294"/>
      <c r="E30" s="66"/>
      <c r="F30" s="105">
        <f>SUM(F12:F28)</f>
        <v>35280.839999999997</v>
      </c>
      <c r="G30" s="64"/>
    </row>
    <row r="31" spans="1:7" ht="17.399999999999999" x14ac:dyDescent="0.3">
      <c r="A31" s="11"/>
      <c r="B31" s="10"/>
      <c r="C31" s="270" t="s">
        <v>7</v>
      </c>
      <c r="D31" s="270"/>
      <c r="E31" s="62"/>
      <c r="F31" s="104">
        <f>F30*0.16</f>
        <v>5644.9343999999992</v>
      </c>
      <c r="G31" s="60"/>
    </row>
    <row r="32" spans="1:7" ht="17.399999999999999" x14ac:dyDescent="0.3">
      <c r="A32" s="11"/>
      <c r="B32" s="10"/>
      <c r="C32" s="295" t="s">
        <v>6</v>
      </c>
      <c r="D32" s="295"/>
      <c r="E32" s="58"/>
      <c r="F32" s="103">
        <f>F30+F31</f>
        <v>40925.774399999995</v>
      </c>
      <c r="G32" s="56"/>
    </row>
    <row r="33" spans="1:7" ht="15.6" x14ac:dyDescent="0.3">
      <c r="A33" s="296" t="s">
        <v>5</v>
      </c>
      <c r="B33" s="297"/>
      <c r="C33" s="5" t="s">
        <v>4</v>
      </c>
      <c r="D33" s="5"/>
      <c r="E33" s="297" t="s">
        <v>3</v>
      </c>
      <c r="F33" s="297"/>
      <c r="G33" s="298"/>
    </row>
    <row r="34" spans="1:7" ht="15.6" x14ac:dyDescent="0.3">
      <c r="A34" s="299" t="s">
        <v>357</v>
      </c>
      <c r="B34" s="300"/>
      <c r="C34" s="2" t="s">
        <v>39</v>
      </c>
      <c r="D34" s="2"/>
      <c r="E34" s="300" t="s">
        <v>70</v>
      </c>
      <c r="F34" s="300"/>
      <c r="G34" s="301"/>
    </row>
    <row r="38" spans="1:7" ht="21" x14ac:dyDescent="0.4">
      <c r="A38" s="55"/>
      <c r="B38" s="271" t="s">
        <v>38</v>
      </c>
      <c r="C38" s="272"/>
      <c r="D38" s="277" t="s">
        <v>37</v>
      </c>
      <c r="E38" s="278"/>
      <c r="F38" s="278"/>
      <c r="G38" s="279"/>
    </row>
    <row r="39" spans="1:7" ht="21" x14ac:dyDescent="0.4">
      <c r="A39" s="53"/>
      <c r="B39" s="273"/>
      <c r="C39" s="274"/>
      <c r="D39" s="280" t="s">
        <v>36</v>
      </c>
      <c r="E39" s="281"/>
      <c r="F39" s="282" t="s">
        <v>385</v>
      </c>
      <c r="G39" s="283"/>
    </row>
    <row r="40" spans="1:7" ht="21" x14ac:dyDescent="0.4">
      <c r="A40" s="53"/>
      <c r="B40" s="273"/>
      <c r="C40" s="274"/>
      <c r="D40" s="135" t="s">
        <v>118</v>
      </c>
      <c r="E40" s="136"/>
      <c r="F40" s="90">
        <v>20</v>
      </c>
      <c r="G40" s="50"/>
    </row>
    <row r="41" spans="1:7" ht="37.799999999999997" customHeight="1" x14ac:dyDescent="0.4">
      <c r="A41" s="49"/>
      <c r="B41" s="275"/>
      <c r="C41" s="276"/>
      <c r="D41" s="285" t="s">
        <v>50</v>
      </c>
      <c r="E41" s="286"/>
      <c r="F41" s="287" t="s">
        <v>383</v>
      </c>
      <c r="G41" s="288"/>
    </row>
    <row r="42" spans="1:7" ht="20.399999999999999" x14ac:dyDescent="0.35">
      <c r="A42" s="39" t="s">
        <v>48</v>
      </c>
      <c r="B42" s="43" t="s">
        <v>0</v>
      </c>
      <c r="C42" s="42"/>
      <c r="D42" s="42"/>
      <c r="E42" s="289"/>
      <c r="F42" s="289"/>
      <c r="G42" s="290"/>
    </row>
    <row r="43" spans="1:7" ht="20.399999999999999" x14ac:dyDescent="0.35">
      <c r="A43" s="39" t="s">
        <v>30</v>
      </c>
      <c r="B43" s="291" t="s">
        <v>403</v>
      </c>
      <c r="C43" s="292"/>
      <c r="D43" s="292"/>
      <c r="E43" s="292"/>
      <c r="F43" s="292"/>
      <c r="G43" s="293"/>
    </row>
    <row r="44" spans="1:7" ht="20.399999999999999" x14ac:dyDescent="0.35">
      <c r="A44" s="39" t="s">
        <v>46</v>
      </c>
      <c r="B44" s="291"/>
      <c r="C44" s="292"/>
      <c r="D44" s="292"/>
      <c r="E44" s="292"/>
      <c r="F44" s="292"/>
      <c r="G44" s="293"/>
    </row>
    <row r="45" spans="1:7" ht="20.399999999999999" x14ac:dyDescent="0.35">
      <c r="A45" s="39" t="s">
        <v>28</v>
      </c>
      <c r="B45" s="291" t="s">
        <v>27</v>
      </c>
      <c r="C45" s="292"/>
      <c r="D45" s="292"/>
      <c r="E45" s="292"/>
      <c r="F45" s="292"/>
      <c r="G45" s="293"/>
    </row>
    <row r="46" spans="1:7" ht="15" x14ac:dyDescent="0.3">
      <c r="A46" s="34" t="s">
        <v>26</v>
      </c>
      <c r="B46" s="34" t="s">
        <v>25</v>
      </c>
      <c r="C46" s="34" t="s">
        <v>24</v>
      </c>
      <c r="D46" s="34" t="s">
        <v>43</v>
      </c>
      <c r="E46" s="34" t="s">
        <v>42</v>
      </c>
      <c r="F46" s="34" t="s">
        <v>22</v>
      </c>
      <c r="G46" s="169" t="s">
        <v>21</v>
      </c>
    </row>
    <row r="47" spans="1:7" ht="15.6" x14ac:dyDescent="0.3">
      <c r="A47" s="33">
        <v>4</v>
      </c>
      <c r="B47" s="32" t="s">
        <v>53</v>
      </c>
      <c r="C47" s="32" t="s">
        <v>391</v>
      </c>
      <c r="D47" s="171"/>
      <c r="E47" s="75">
        <v>211.81</v>
      </c>
      <c r="F47" s="172">
        <f t="shared" ref="F47:F62" si="1">A47*E47</f>
        <v>847.24</v>
      </c>
      <c r="G47" s="128"/>
    </row>
    <row r="48" spans="1:7" ht="15.6" x14ac:dyDescent="0.3">
      <c r="A48" s="29">
        <v>3</v>
      </c>
      <c r="B48" s="25" t="s">
        <v>392</v>
      </c>
      <c r="C48" s="95" t="s">
        <v>393</v>
      </c>
      <c r="D48" s="72"/>
      <c r="E48" s="71">
        <v>148.58000000000001</v>
      </c>
      <c r="F48" s="120">
        <f t="shared" si="1"/>
        <v>445.74</v>
      </c>
      <c r="G48" s="70"/>
    </row>
    <row r="49" spans="1:7" ht="15.6" x14ac:dyDescent="0.3">
      <c r="A49" s="29">
        <v>10</v>
      </c>
      <c r="B49" s="25" t="s">
        <v>53</v>
      </c>
      <c r="C49" s="25" t="s">
        <v>394</v>
      </c>
      <c r="D49" s="72"/>
      <c r="E49" s="71">
        <v>39.18</v>
      </c>
      <c r="F49" s="120">
        <f t="shared" si="1"/>
        <v>391.8</v>
      </c>
      <c r="G49" s="70"/>
    </row>
    <row r="50" spans="1:7" ht="15.6" x14ac:dyDescent="0.3">
      <c r="A50" s="29">
        <v>30</v>
      </c>
      <c r="B50" s="25" t="s">
        <v>53</v>
      </c>
      <c r="C50" s="25" t="s">
        <v>395</v>
      </c>
      <c r="D50" s="72"/>
      <c r="E50" s="71">
        <v>11.34</v>
      </c>
      <c r="F50" s="120">
        <f t="shared" si="1"/>
        <v>340.2</v>
      </c>
      <c r="G50" s="70"/>
    </row>
    <row r="51" spans="1:7" ht="15.6" x14ac:dyDescent="0.3">
      <c r="A51" s="29">
        <v>6</v>
      </c>
      <c r="B51" s="25" t="s">
        <v>53</v>
      </c>
      <c r="C51" s="25" t="s">
        <v>131</v>
      </c>
      <c r="D51" s="72"/>
      <c r="E51" s="71">
        <v>83</v>
      </c>
      <c r="F51" s="120">
        <f t="shared" si="1"/>
        <v>498</v>
      </c>
      <c r="G51" s="70"/>
    </row>
    <row r="52" spans="1:7" ht="15.6" x14ac:dyDescent="0.3">
      <c r="A52" s="29">
        <v>5</v>
      </c>
      <c r="B52" s="25" t="s">
        <v>396</v>
      </c>
      <c r="C52" s="25" t="s">
        <v>397</v>
      </c>
      <c r="D52" s="72"/>
      <c r="E52" s="71">
        <f>220/1.16</f>
        <v>189.65517241379311</v>
      </c>
      <c r="F52" s="120">
        <f t="shared" si="1"/>
        <v>948.27586206896558</v>
      </c>
      <c r="G52" s="70"/>
    </row>
    <row r="53" spans="1:7" ht="15.6" x14ac:dyDescent="0.3">
      <c r="A53" s="29">
        <v>4</v>
      </c>
      <c r="B53" s="25" t="s">
        <v>53</v>
      </c>
      <c r="C53" s="25" t="s">
        <v>398</v>
      </c>
      <c r="D53" s="72"/>
      <c r="E53" s="71">
        <v>137.85</v>
      </c>
      <c r="F53" s="120">
        <f t="shared" si="1"/>
        <v>551.4</v>
      </c>
      <c r="G53" s="70"/>
    </row>
    <row r="54" spans="1:7" ht="15.6" x14ac:dyDescent="0.3">
      <c r="A54" s="29">
        <v>10</v>
      </c>
      <c r="B54" s="25" t="s">
        <v>53</v>
      </c>
      <c r="C54" s="25" t="s">
        <v>139</v>
      </c>
      <c r="D54" s="72"/>
      <c r="E54" s="71">
        <v>6.98</v>
      </c>
      <c r="F54" s="120">
        <f t="shared" si="1"/>
        <v>69.800000000000011</v>
      </c>
      <c r="G54" s="70"/>
    </row>
    <row r="55" spans="1:7" ht="15.6" x14ac:dyDescent="0.3">
      <c r="A55" s="29">
        <v>10</v>
      </c>
      <c r="B55" s="25" t="s">
        <v>53</v>
      </c>
      <c r="C55" s="25" t="s">
        <v>399</v>
      </c>
      <c r="D55" s="72"/>
      <c r="E55" s="71">
        <v>13.58</v>
      </c>
      <c r="F55" s="120">
        <f t="shared" si="1"/>
        <v>135.80000000000001</v>
      </c>
      <c r="G55" s="70"/>
    </row>
    <row r="56" spans="1:7" ht="31.2" x14ac:dyDescent="0.3">
      <c r="A56" s="29">
        <v>2</v>
      </c>
      <c r="B56" s="25" t="s">
        <v>53</v>
      </c>
      <c r="C56" s="25" t="s">
        <v>402</v>
      </c>
      <c r="D56" s="72"/>
      <c r="E56" s="71">
        <v>987.06</v>
      </c>
      <c r="F56" s="120">
        <f t="shared" si="1"/>
        <v>1974.12</v>
      </c>
      <c r="G56" s="70"/>
    </row>
    <row r="57" spans="1:7" ht="15.6" x14ac:dyDescent="0.3">
      <c r="A57" s="29">
        <v>8</v>
      </c>
      <c r="B57" s="25" t="s">
        <v>135</v>
      </c>
      <c r="C57" s="25" t="s">
        <v>134</v>
      </c>
      <c r="D57" s="72"/>
      <c r="E57" s="71">
        <v>1447.03</v>
      </c>
      <c r="F57" s="120">
        <f t="shared" si="1"/>
        <v>11576.24</v>
      </c>
      <c r="G57" s="70"/>
    </row>
    <row r="58" spans="1:7" ht="15.6" x14ac:dyDescent="0.3">
      <c r="A58" s="29">
        <v>2</v>
      </c>
      <c r="B58" s="25" t="s">
        <v>135</v>
      </c>
      <c r="C58" s="25" t="s">
        <v>400</v>
      </c>
      <c r="D58" s="72"/>
      <c r="E58" s="71">
        <v>1735.62</v>
      </c>
      <c r="F58" s="120">
        <f t="shared" si="1"/>
        <v>3471.24</v>
      </c>
      <c r="G58" s="70"/>
    </row>
    <row r="59" spans="1:7" ht="15.6" x14ac:dyDescent="0.3">
      <c r="A59" s="29">
        <v>2</v>
      </c>
      <c r="B59" s="25" t="s">
        <v>135</v>
      </c>
      <c r="C59" s="25" t="s">
        <v>401</v>
      </c>
      <c r="D59" s="72"/>
      <c r="E59" s="71">
        <v>1735.62</v>
      </c>
      <c r="F59" s="120">
        <f t="shared" si="1"/>
        <v>3471.24</v>
      </c>
      <c r="G59" s="70"/>
    </row>
    <row r="60" spans="1:7" ht="15.6" x14ac:dyDescent="0.3">
      <c r="A60" s="173">
        <v>10</v>
      </c>
      <c r="B60" s="25" t="s">
        <v>53</v>
      </c>
      <c r="C60" s="25" t="s">
        <v>412</v>
      </c>
      <c r="D60" s="72"/>
      <c r="E60" s="71">
        <v>63.62</v>
      </c>
      <c r="F60" s="120">
        <f t="shared" si="1"/>
        <v>636.19999999999993</v>
      </c>
      <c r="G60" s="70"/>
    </row>
    <row r="61" spans="1:7" ht="15.6" x14ac:dyDescent="0.3">
      <c r="A61" s="26"/>
      <c r="B61" s="25"/>
      <c r="C61" s="25"/>
      <c r="D61" s="72"/>
      <c r="E61" s="71"/>
      <c r="F61" s="120">
        <f t="shared" si="1"/>
        <v>0</v>
      </c>
      <c r="G61" s="70"/>
    </row>
    <row r="62" spans="1:7" ht="15.6" x14ac:dyDescent="0.3">
      <c r="A62" s="26"/>
      <c r="B62" s="25"/>
      <c r="C62" s="25"/>
      <c r="D62" s="72"/>
      <c r="E62" s="71"/>
      <c r="F62" s="120">
        <f t="shared" si="1"/>
        <v>0</v>
      </c>
      <c r="G62" s="70"/>
    </row>
    <row r="63" spans="1:7" ht="15.6" x14ac:dyDescent="0.3">
      <c r="A63" s="26"/>
      <c r="B63" s="25"/>
      <c r="C63" s="25"/>
      <c r="D63" s="72"/>
      <c r="E63" s="71"/>
      <c r="F63" s="120">
        <f t="shared" ref="F63:F64" si="2">A63*E63</f>
        <v>0</v>
      </c>
      <c r="G63" s="70"/>
    </row>
    <row r="64" spans="1:7" ht="15.6" x14ac:dyDescent="0.3">
      <c r="A64" s="21"/>
      <c r="B64" s="20"/>
      <c r="C64" s="20"/>
      <c r="D64" s="69"/>
      <c r="E64" s="68"/>
      <c r="F64" s="174">
        <f t="shared" si="2"/>
        <v>0</v>
      </c>
      <c r="G64" s="67"/>
    </row>
    <row r="65" spans="1:7" ht="17.399999999999999" x14ac:dyDescent="0.3">
      <c r="A65" s="17"/>
      <c r="B65" s="16"/>
      <c r="C65" s="294" t="s">
        <v>8</v>
      </c>
      <c r="D65" s="294"/>
      <c r="E65" s="66"/>
      <c r="F65" s="105">
        <f>SUM(F47:F63)</f>
        <v>25357.295862068964</v>
      </c>
      <c r="G65" s="64"/>
    </row>
    <row r="66" spans="1:7" ht="17.399999999999999" x14ac:dyDescent="0.3">
      <c r="A66" s="11"/>
      <c r="B66" s="10"/>
      <c r="C66" s="270" t="s">
        <v>7</v>
      </c>
      <c r="D66" s="270"/>
      <c r="E66" s="62"/>
      <c r="F66" s="104">
        <f>F65*0.16</f>
        <v>4057.1673379310346</v>
      </c>
      <c r="G66" s="60"/>
    </row>
    <row r="67" spans="1:7" ht="17.399999999999999" x14ac:dyDescent="0.3">
      <c r="A67" s="11"/>
      <c r="B67" s="10"/>
      <c r="C67" s="295" t="s">
        <v>6</v>
      </c>
      <c r="D67" s="295"/>
      <c r="E67" s="58"/>
      <c r="F67" s="103">
        <f>F65+F66</f>
        <v>29414.463199999998</v>
      </c>
      <c r="G67" s="56"/>
    </row>
    <row r="68" spans="1:7" ht="15.6" x14ac:dyDescent="0.3">
      <c r="A68" s="296" t="s">
        <v>5</v>
      </c>
      <c r="B68" s="297"/>
      <c r="C68" s="5" t="s">
        <v>4</v>
      </c>
      <c r="D68" s="5"/>
      <c r="E68" s="297" t="s">
        <v>3</v>
      </c>
      <c r="F68" s="297"/>
      <c r="G68" s="298"/>
    </row>
    <row r="69" spans="1:7" ht="15.6" x14ac:dyDescent="0.3">
      <c r="A69" s="299" t="s">
        <v>374</v>
      </c>
      <c r="B69" s="300"/>
      <c r="C69" s="2" t="s">
        <v>39</v>
      </c>
      <c r="D69" s="2"/>
      <c r="E69" s="300" t="s">
        <v>70</v>
      </c>
      <c r="F69" s="300"/>
      <c r="G69" s="301"/>
    </row>
    <row r="71" spans="1:7" ht="21" x14ac:dyDescent="0.4">
      <c r="A71" s="55"/>
      <c r="B71" s="271" t="s">
        <v>38</v>
      </c>
      <c r="C71" s="272"/>
      <c r="D71" s="277" t="s">
        <v>37</v>
      </c>
      <c r="E71" s="278"/>
      <c r="F71" s="278"/>
      <c r="G71" s="279"/>
    </row>
    <row r="72" spans="1:7" ht="21" x14ac:dyDescent="0.4">
      <c r="A72" s="53"/>
      <c r="B72" s="273"/>
      <c r="C72" s="274"/>
      <c r="D72" s="280" t="s">
        <v>36</v>
      </c>
      <c r="E72" s="281"/>
      <c r="F72" s="282" t="s">
        <v>372</v>
      </c>
      <c r="G72" s="283"/>
    </row>
    <row r="73" spans="1:7" ht="21" x14ac:dyDescent="0.4">
      <c r="A73" s="53"/>
      <c r="B73" s="273"/>
      <c r="C73" s="274"/>
      <c r="D73" s="135" t="s">
        <v>118</v>
      </c>
      <c r="E73" s="136"/>
      <c r="F73" s="90">
        <v>20</v>
      </c>
      <c r="G73" s="50"/>
    </row>
    <row r="74" spans="1:7" ht="33" customHeight="1" x14ac:dyDescent="0.4">
      <c r="A74" s="49"/>
      <c r="B74" s="275"/>
      <c r="C74" s="276"/>
      <c r="D74" s="285" t="s">
        <v>50</v>
      </c>
      <c r="E74" s="286"/>
      <c r="F74" s="287" t="s">
        <v>384</v>
      </c>
      <c r="G74" s="288"/>
    </row>
    <row r="75" spans="1:7" ht="20.399999999999999" x14ac:dyDescent="0.35">
      <c r="A75" s="39" t="s">
        <v>48</v>
      </c>
      <c r="B75" s="43" t="s">
        <v>70</v>
      </c>
      <c r="C75" s="42"/>
      <c r="D75" s="42"/>
      <c r="E75" s="289"/>
      <c r="F75" s="289"/>
      <c r="G75" s="290"/>
    </row>
    <row r="76" spans="1:7" ht="20.399999999999999" x14ac:dyDescent="0.35">
      <c r="A76" s="39" t="s">
        <v>30</v>
      </c>
      <c r="B76" s="291" t="s">
        <v>378</v>
      </c>
      <c r="C76" s="292"/>
      <c r="D76" s="292"/>
      <c r="E76" s="292"/>
      <c r="F76" s="292"/>
      <c r="G76" s="293"/>
    </row>
    <row r="77" spans="1:7" ht="20.399999999999999" x14ac:dyDescent="0.35">
      <c r="A77" s="39" t="s">
        <v>46</v>
      </c>
      <c r="B77" s="291"/>
      <c r="C77" s="292"/>
      <c r="D77" s="292"/>
      <c r="E77" s="292"/>
      <c r="F77" s="292"/>
      <c r="G77" s="293"/>
    </row>
    <row r="78" spans="1:7" ht="20.399999999999999" x14ac:dyDescent="0.35">
      <c r="A78" s="39" t="s">
        <v>28</v>
      </c>
      <c r="B78" s="291" t="s">
        <v>72</v>
      </c>
      <c r="C78" s="292"/>
      <c r="D78" s="292"/>
      <c r="E78" s="292"/>
      <c r="F78" s="292"/>
      <c r="G78" s="293"/>
    </row>
    <row r="79" spans="1:7" ht="15" x14ac:dyDescent="0.3">
      <c r="A79" s="34" t="s">
        <v>26</v>
      </c>
      <c r="B79" s="34" t="s">
        <v>25</v>
      </c>
      <c r="C79" s="34" t="s">
        <v>24</v>
      </c>
      <c r="D79" s="34" t="s">
        <v>43</v>
      </c>
      <c r="E79" s="34" t="s">
        <v>42</v>
      </c>
      <c r="F79" s="34" t="s">
        <v>22</v>
      </c>
      <c r="G79" s="169" t="s">
        <v>21</v>
      </c>
    </row>
    <row r="80" spans="1:7" ht="15.6" x14ac:dyDescent="0.3">
      <c r="A80" s="33">
        <v>30</v>
      </c>
      <c r="B80" s="32" t="s">
        <v>375</v>
      </c>
      <c r="C80" s="32" t="s">
        <v>376</v>
      </c>
      <c r="D80" s="171"/>
      <c r="E80" s="75">
        <v>76</v>
      </c>
      <c r="F80" s="172">
        <f t="shared" ref="F80:F97" si="3">A80*E80</f>
        <v>2280</v>
      </c>
      <c r="G80" s="128"/>
    </row>
    <row r="81" spans="1:7" ht="15.6" x14ac:dyDescent="0.3">
      <c r="A81" s="29">
        <v>30</v>
      </c>
      <c r="B81" s="25" t="s">
        <v>375</v>
      </c>
      <c r="C81" s="95" t="s">
        <v>377</v>
      </c>
      <c r="D81" s="72"/>
      <c r="E81" s="71">
        <v>120</v>
      </c>
      <c r="F81" s="120">
        <f t="shared" si="3"/>
        <v>3600</v>
      </c>
      <c r="G81" s="70"/>
    </row>
    <row r="82" spans="1:7" ht="15.6" x14ac:dyDescent="0.3">
      <c r="A82" s="29">
        <v>20</v>
      </c>
      <c r="B82" s="25" t="s">
        <v>375</v>
      </c>
      <c r="C82" s="25" t="s">
        <v>379</v>
      </c>
      <c r="D82" s="72"/>
      <c r="E82" s="71">
        <v>230</v>
      </c>
      <c r="F82" s="120">
        <f t="shared" si="3"/>
        <v>4600</v>
      </c>
      <c r="G82" s="70"/>
    </row>
    <row r="83" spans="1:7" ht="15.6" x14ac:dyDescent="0.3">
      <c r="A83" s="29"/>
      <c r="B83" s="25"/>
      <c r="C83" s="25"/>
      <c r="D83" s="72"/>
      <c r="E83" s="71"/>
      <c r="F83" s="120">
        <f t="shared" si="3"/>
        <v>0</v>
      </c>
      <c r="G83" s="70"/>
    </row>
    <row r="84" spans="1:7" ht="15.6" x14ac:dyDescent="0.3">
      <c r="A84" s="29"/>
      <c r="B84" s="25"/>
      <c r="C84" s="25"/>
      <c r="D84" s="72"/>
      <c r="E84" s="71"/>
      <c r="F84" s="120">
        <f t="shared" si="3"/>
        <v>0</v>
      </c>
      <c r="G84" s="70"/>
    </row>
    <row r="85" spans="1:7" ht="15.6" x14ac:dyDescent="0.3">
      <c r="A85" s="29"/>
      <c r="B85" s="25"/>
      <c r="C85" s="25"/>
      <c r="D85" s="72"/>
      <c r="E85" s="71"/>
      <c r="F85" s="120">
        <f t="shared" si="3"/>
        <v>0</v>
      </c>
      <c r="G85" s="70"/>
    </row>
    <row r="86" spans="1:7" ht="15.6" x14ac:dyDescent="0.3">
      <c r="A86" s="29"/>
      <c r="B86" s="25"/>
      <c r="C86" s="25"/>
      <c r="D86" s="72"/>
      <c r="E86" s="71"/>
      <c r="F86" s="120">
        <f t="shared" si="3"/>
        <v>0</v>
      </c>
      <c r="G86" s="70"/>
    </row>
    <row r="87" spans="1:7" ht="15.6" x14ac:dyDescent="0.3">
      <c r="A87" s="29"/>
      <c r="B87" s="25"/>
      <c r="C87" s="25"/>
      <c r="D87" s="72"/>
      <c r="E87" s="71"/>
      <c r="F87" s="120">
        <f t="shared" si="3"/>
        <v>0</v>
      </c>
      <c r="G87" s="70"/>
    </row>
    <row r="88" spans="1:7" ht="15.6" x14ac:dyDescent="0.3">
      <c r="A88" s="29"/>
      <c r="B88" s="25"/>
      <c r="C88" s="25"/>
      <c r="D88" s="72"/>
      <c r="E88" s="71"/>
      <c r="F88" s="120">
        <f t="shared" si="3"/>
        <v>0</v>
      </c>
      <c r="G88" s="70"/>
    </row>
    <row r="89" spans="1:7" ht="15.6" x14ac:dyDescent="0.3">
      <c r="A89" s="29"/>
      <c r="B89" s="25"/>
      <c r="C89" s="25"/>
      <c r="D89" s="72"/>
      <c r="E89" s="71"/>
      <c r="F89" s="120">
        <f t="shared" si="3"/>
        <v>0</v>
      </c>
      <c r="G89" s="70"/>
    </row>
    <row r="90" spans="1:7" ht="15.6" x14ac:dyDescent="0.3">
      <c r="A90" s="29"/>
      <c r="B90" s="25"/>
      <c r="C90" s="25"/>
      <c r="D90" s="72"/>
      <c r="E90" s="71"/>
      <c r="F90" s="120">
        <f t="shared" si="3"/>
        <v>0</v>
      </c>
      <c r="G90" s="70"/>
    </row>
    <row r="91" spans="1:7" ht="15.6" x14ac:dyDescent="0.3">
      <c r="A91" s="29"/>
      <c r="B91" s="25"/>
      <c r="C91" s="25"/>
      <c r="D91" s="72"/>
      <c r="E91" s="71"/>
      <c r="F91" s="120">
        <f t="shared" si="3"/>
        <v>0</v>
      </c>
      <c r="G91" s="70"/>
    </row>
    <row r="92" spans="1:7" ht="15.6" x14ac:dyDescent="0.3">
      <c r="A92" s="29"/>
      <c r="B92" s="25"/>
      <c r="C92" s="25"/>
      <c r="D92" s="72"/>
      <c r="E92" s="71"/>
      <c r="F92" s="120">
        <f t="shared" si="3"/>
        <v>0</v>
      </c>
      <c r="G92" s="70"/>
    </row>
    <row r="93" spans="1:7" ht="15.6" x14ac:dyDescent="0.3">
      <c r="A93" s="173"/>
      <c r="B93" s="25"/>
      <c r="C93" s="25"/>
      <c r="D93" s="72"/>
      <c r="E93" s="71"/>
      <c r="F93" s="120">
        <f t="shared" si="3"/>
        <v>0</v>
      </c>
      <c r="G93" s="70"/>
    </row>
    <row r="94" spans="1:7" ht="15.6" x14ac:dyDescent="0.3">
      <c r="A94" s="26"/>
      <c r="B94" s="25"/>
      <c r="C94" s="25"/>
      <c r="D94" s="72"/>
      <c r="E94" s="71"/>
      <c r="F94" s="120">
        <f t="shared" si="3"/>
        <v>0</v>
      </c>
      <c r="G94" s="70"/>
    </row>
    <row r="95" spans="1:7" ht="15.6" x14ac:dyDescent="0.3">
      <c r="A95" s="26"/>
      <c r="B95" s="25"/>
      <c r="C95" s="25"/>
      <c r="D95" s="72"/>
      <c r="E95" s="71"/>
      <c r="F95" s="120">
        <f t="shared" si="3"/>
        <v>0</v>
      </c>
      <c r="G95" s="70"/>
    </row>
    <row r="96" spans="1:7" ht="15.6" x14ac:dyDescent="0.3">
      <c r="A96" s="26"/>
      <c r="B96" s="25"/>
      <c r="C96" s="25"/>
      <c r="D96" s="72"/>
      <c r="E96" s="71"/>
      <c r="F96" s="120">
        <f t="shared" si="3"/>
        <v>0</v>
      </c>
      <c r="G96" s="70"/>
    </row>
    <row r="97" spans="1:7" ht="15.6" x14ac:dyDescent="0.3">
      <c r="A97" s="21"/>
      <c r="B97" s="20"/>
      <c r="C97" s="20"/>
      <c r="D97" s="69"/>
      <c r="E97" s="68"/>
      <c r="F97" s="174">
        <f t="shared" si="3"/>
        <v>0</v>
      </c>
      <c r="G97" s="67"/>
    </row>
    <row r="98" spans="1:7" ht="17.399999999999999" x14ac:dyDescent="0.3">
      <c r="A98" s="17"/>
      <c r="B98" s="16"/>
      <c r="C98" s="294" t="s">
        <v>8</v>
      </c>
      <c r="D98" s="294"/>
      <c r="E98" s="66"/>
      <c r="F98" s="105">
        <f>SUM(F80:F96)</f>
        <v>10480</v>
      </c>
      <c r="G98" s="64"/>
    </row>
    <row r="99" spans="1:7" ht="17.399999999999999" x14ac:dyDescent="0.3">
      <c r="A99" s="11"/>
      <c r="B99" s="10"/>
      <c r="C99" s="270" t="s">
        <v>7</v>
      </c>
      <c r="D99" s="270"/>
      <c r="E99" s="62"/>
      <c r="F99" s="104">
        <f>F98*0.16</f>
        <v>1676.8</v>
      </c>
      <c r="G99" s="60"/>
    </row>
    <row r="100" spans="1:7" ht="17.399999999999999" x14ac:dyDescent="0.3">
      <c r="A100" s="11"/>
      <c r="B100" s="10"/>
      <c r="C100" s="295" t="s">
        <v>6</v>
      </c>
      <c r="D100" s="295"/>
      <c r="E100" s="58"/>
      <c r="F100" s="103">
        <f>F98+F99</f>
        <v>12156.8</v>
      </c>
      <c r="G100" s="56"/>
    </row>
    <row r="101" spans="1:7" ht="15.6" x14ac:dyDescent="0.3">
      <c r="A101" s="296" t="s">
        <v>5</v>
      </c>
      <c r="B101" s="297"/>
      <c r="C101" s="5" t="s">
        <v>4</v>
      </c>
      <c r="D101" s="5"/>
      <c r="E101" s="297" t="s">
        <v>3</v>
      </c>
      <c r="F101" s="297"/>
      <c r="G101" s="298"/>
    </row>
    <row r="102" spans="1:7" ht="15.6" x14ac:dyDescent="0.3">
      <c r="A102" s="299" t="s">
        <v>374</v>
      </c>
      <c r="B102" s="300"/>
      <c r="C102" s="2" t="s">
        <v>39</v>
      </c>
      <c r="D102" s="2"/>
      <c r="E102" s="300" t="s">
        <v>70</v>
      </c>
      <c r="F102" s="300"/>
      <c r="G102" s="301"/>
    </row>
    <row r="106" spans="1:7" ht="21" x14ac:dyDescent="0.4">
      <c r="A106" s="55"/>
      <c r="B106" s="271" t="s">
        <v>38</v>
      </c>
      <c r="C106" s="272"/>
      <c r="D106" s="277" t="s">
        <v>37</v>
      </c>
      <c r="E106" s="278"/>
      <c r="F106" s="278"/>
      <c r="G106" s="279"/>
    </row>
    <row r="107" spans="1:7" ht="21" x14ac:dyDescent="0.4">
      <c r="A107" s="53"/>
      <c r="B107" s="273"/>
      <c r="C107" s="274"/>
      <c r="D107" s="280" t="s">
        <v>36</v>
      </c>
      <c r="E107" s="281"/>
      <c r="F107" s="282" t="s">
        <v>385</v>
      </c>
      <c r="G107" s="283"/>
    </row>
    <row r="108" spans="1:7" ht="21" x14ac:dyDescent="0.4">
      <c r="A108" s="53"/>
      <c r="B108" s="273"/>
      <c r="C108" s="274"/>
      <c r="D108" s="135" t="s">
        <v>118</v>
      </c>
      <c r="E108" s="136"/>
      <c r="F108" s="90">
        <v>20</v>
      </c>
      <c r="G108" s="50"/>
    </row>
    <row r="109" spans="1:7" ht="30.6" customHeight="1" x14ac:dyDescent="0.4">
      <c r="A109" s="49"/>
      <c r="B109" s="275"/>
      <c r="C109" s="276"/>
      <c r="D109" s="285" t="s">
        <v>50</v>
      </c>
      <c r="E109" s="286"/>
      <c r="F109" s="287" t="s">
        <v>386</v>
      </c>
      <c r="G109" s="288"/>
    </row>
    <row r="110" spans="1:7" ht="20.399999999999999" x14ac:dyDescent="0.35">
      <c r="A110" s="39" t="s">
        <v>48</v>
      </c>
      <c r="B110" s="43" t="s">
        <v>70</v>
      </c>
      <c r="C110" s="42"/>
      <c r="D110" s="42"/>
      <c r="E110" s="289"/>
      <c r="F110" s="289"/>
      <c r="G110" s="290"/>
    </row>
    <row r="111" spans="1:7" ht="20.399999999999999" x14ac:dyDescent="0.35">
      <c r="A111" s="39" t="s">
        <v>30</v>
      </c>
      <c r="B111" s="291" t="s">
        <v>387</v>
      </c>
      <c r="C111" s="292"/>
      <c r="D111" s="292"/>
      <c r="E111" s="292"/>
      <c r="F111" s="292"/>
      <c r="G111" s="293"/>
    </row>
    <row r="112" spans="1:7" ht="20.399999999999999" x14ac:dyDescent="0.35">
      <c r="A112" s="39" t="s">
        <v>46</v>
      </c>
      <c r="B112" s="291"/>
      <c r="C112" s="292"/>
      <c r="D112" s="292"/>
      <c r="E112" s="292"/>
      <c r="F112" s="292"/>
      <c r="G112" s="293"/>
    </row>
    <row r="113" spans="1:7" ht="20.399999999999999" x14ac:dyDescent="0.35">
      <c r="A113" s="39" t="s">
        <v>28</v>
      </c>
      <c r="B113" s="291" t="s">
        <v>55</v>
      </c>
      <c r="C113" s="292"/>
      <c r="D113" s="292"/>
      <c r="E113" s="292"/>
      <c r="F113" s="292"/>
      <c r="G113" s="293"/>
    </row>
    <row r="114" spans="1:7" ht="15" x14ac:dyDescent="0.3">
      <c r="A114" s="34" t="s">
        <v>26</v>
      </c>
      <c r="B114" s="34" t="s">
        <v>25</v>
      </c>
      <c r="C114" s="34" t="s">
        <v>24</v>
      </c>
      <c r="D114" s="34" t="s">
        <v>43</v>
      </c>
      <c r="E114" s="34" t="s">
        <v>42</v>
      </c>
      <c r="F114" s="34" t="s">
        <v>22</v>
      </c>
      <c r="G114" s="169" t="s">
        <v>21</v>
      </c>
    </row>
    <row r="115" spans="1:7" ht="31.2" x14ac:dyDescent="0.3">
      <c r="A115" s="33">
        <v>30</v>
      </c>
      <c r="B115" s="32" t="s">
        <v>10</v>
      </c>
      <c r="C115" s="32" t="s">
        <v>388</v>
      </c>
      <c r="D115" s="171">
        <v>165175</v>
      </c>
      <c r="E115" s="75">
        <v>36.85</v>
      </c>
      <c r="F115" s="172">
        <f t="shared" ref="F115:F132" si="4">A115*E115</f>
        <v>1105.5</v>
      </c>
      <c r="G115" s="128"/>
    </row>
    <row r="116" spans="1:7" ht="15.6" x14ac:dyDescent="0.3">
      <c r="A116" s="29"/>
      <c r="B116" s="25"/>
      <c r="C116" s="95"/>
      <c r="D116" s="72"/>
      <c r="E116" s="71"/>
      <c r="F116" s="120">
        <f t="shared" si="4"/>
        <v>0</v>
      </c>
      <c r="G116" s="70"/>
    </row>
    <row r="117" spans="1:7" ht="15.6" x14ac:dyDescent="0.3">
      <c r="A117" s="29"/>
      <c r="B117" s="25"/>
      <c r="C117" s="25"/>
      <c r="D117" s="72"/>
      <c r="E117" s="71"/>
      <c r="F117" s="120">
        <f t="shared" si="4"/>
        <v>0</v>
      </c>
      <c r="G117" s="70"/>
    </row>
    <row r="118" spans="1:7" ht="15.6" x14ac:dyDescent="0.3">
      <c r="A118" s="29"/>
      <c r="B118" s="25"/>
      <c r="C118" s="25"/>
      <c r="D118" s="72"/>
      <c r="E118" s="71"/>
      <c r="F118" s="120">
        <f t="shared" si="4"/>
        <v>0</v>
      </c>
      <c r="G118" s="70"/>
    </row>
    <row r="119" spans="1:7" ht="15.6" x14ac:dyDescent="0.3">
      <c r="A119" s="29"/>
      <c r="B119" s="25"/>
      <c r="C119" s="25"/>
      <c r="D119" s="72"/>
      <c r="E119" s="71"/>
      <c r="F119" s="120">
        <f t="shared" si="4"/>
        <v>0</v>
      </c>
      <c r="G119" s="70"/>
    </row>
    <row r="120" spans="1:7" ht="15.6" x14ac:dyDescent="0.3">
      <c r="A120" s="29"/>
      <c r="B120" s="25"/>
      <c r="C120" s="25"/>
      <c r="D120" s="72"/>
      <c r="E120" s="71"/>
      <c r="F120" s="120">
        <f t="shared" si="4"/>
        <v>0</v>
      </c>
      <c r="G120" s="70"/>
    </row>
    <row r="121" spans="1:7" ht="15.6" x14ac:dyDescent="0.3">
      <c r="A121" s="29"/>
      <c r="B121" s="25"/>
      <c r="C121" s="25"/>
      <c r="D121" s="72"/>
      <c r="E121" s="71"/>
      <c r="F121" s="120">
        <f t="shared" si="4"/>
        <v>0</v>
      </c>
      <c r="G121" s="70"/>
    </row>
    <row r="122" spans="1:7" ht="15.6" x14ac:dyDescent="0.3">
      <c r="A122" s="29"/>
      <c r="B122" s="25"/>
      <c r="C122" s="25"/>
      <c r="D122" s="72"/>
      <c r="E122" s="71"/>
      <c r="F122" s="120">
        <f t="shared" si="4"/>
        <v>0</v>
      </c>
      <c r="G122" s="70"/>
    </row>
    <row r="123" spans="1:7" ht="15.6" x14ac:dyDescent="0.3">
      <c r="A123" s="29"/>
      <c r="B123" s="25"/>
      <c r="C123" s="25"/>
      <c r="D123" s="72"/>
      <c r="E123" s="71"/>
      <c r="F123" s="120">
        <f t="shared" si="4"/>
        <v>0</v>
      </c>
      <c r="G123" s="70"/>
    </row>
    <row r="124" spans="1:7" ht="15.6" x14ac:dyDescent="0.3">
      <c r="A124" s="29"/>
      <c r="B124" s="25"/>
      <c r="C124" s="25"/>
      <c r="D124" s="72"/>
      <c r="E124" s="71"/>
      <c r="F124" s="120">
        <f t="shared" si="4"/>
        <v>0</v>
      </c>
      <c r="G124" s="70"/>
    </row>
    <row r="125" spans="1:7" ht="15.6" x14ac:dyDescent="0.3">
      <c r="A125" s="29"/>
      <c r="B125" s="25"/>
      <c r="C125" s="25"/>
      <c r="D125" s="72"/>
      <c r="E125" s="71"/>
      <c r="F125" s="120">
        <f t="shared" si="4"/>
        <v>0</v>
      </c>
      <c r="G125" s="70"/>
    </row>
    <row r="126" spans="1:7" ht="15.6" x14ac:dyDescent="0.3">
      <c r="A126" s="29"/>
      <c r="B126" s="25"/>
      <c r="C126" s="25"/>
      <c r="D126" s="72"/>
      <c r="E126" s="71"/>
      <c r="F126" s="120">
        <f t="shared" si="4"/>
        <v>0</v>
      </c>
      <c r="G126" s="70"/>
    </row>
    <row r="127" spans="1:7" ht="15.6" x14ac:dyDescent="0.3">
      <c r="A127" s="29"/>
      <c r="B127" s="25"/>
      <c r="C127" s="25"/>
      <c r="D127" s="72"/>
      <c r="E127" s="71"/>
      <c r="F127" s="120">
        <f t="shared" si="4"/>
        <v>0</v>
      </c>
      <c r="G127" s="70"/>
    </row>
    <row r="128" spans="1:7" ht="15.6" x14ac:dyDescent="0.3">
      <c r="A128" s="173"/>
      <c r="B128" s="25"/>
      <c r="C128" s="25"/>
      <c r="D128" s="72"/>
      <c r="E128" s="71"/>
      <c r="F128" s="120">
        <f t="shared" si="4"/>
        <v>0</v>
      </c>
      <c r="G128" s="70"/>
    </row>
    <row r="129" spans="1:7" ht="15.6" x14ac:dyDescent="0.3">
      <c r="A129" s="26"/>
      <c r="B129" s="25"/>
      <c r="C129" s="25"/>
      <c r="D129" s="72"/>
      <c r="E129" s="71"/>
      <c r="F129" s="120">
        <f t="shared" si="4"/>
        <v>0</v>
      </c>
      <c r="G129" s="70"/>
    </row>
    <row r="130" spans="1:7" ht="15.6" x14ac:dyDescent="0.3">
      <c r="A130" s="26"/>
      <c r="B130" s="25"/>
      <c r="C130" s="25"/>
      <c r="D130" s="72"/>
      <c r="E130" s="71"/>
      <c r="F130" s="120">
        <f t="shared" si="4"/>
        <v>0</v>
      </c>
      <c r="G130" s="70"/>
    </row>
    <row r="131" spans="1:7" ht="15.6" x14ac:dyDescent="0.3">
      <c r="A131" s="26"/>
      <c r="B131" s="25"/>
      <c r="C131" s="25"/>
      <c r="D131" s="72"/>
      <c r="E131" s="71"/>
      <c r="F131" s="120">
        <f t="shared" si="4"/>
        <v>0</v>
      </c>
      <c r="G131" s="70"/>
    </row>
    <row r="132" spans="1:7" ht="15.6" x14ac:dyDescent="0.3">
      <c r="A132" s="21"/>
      <c r="B132" s="20"/>
      <c r="C132" s="20"/>
      <c r="D132" s="69"/>
      <c r="E132" s="68"/>
      <c r="F132" s="174">
        <f t="shared" si="4"/>
        <v>0</v>
      </c>
      <c r="G132" s="67"/>
    </row>
    <row r="133" spans="1:7" ht="17.399999999999999" x14ac:dyDescent="0.3">
      <c r="A133" s="17"/>
      <c r="B133" s="16"/>
      <c r="C133" s="294" t="s">
        <v>8</v>
      </c>
      <c r="D133" s="294"/>
      <c r="E133" s="66"/>
      <c r="F133" s="105">
        <f>SUM(F115:F131)</f>
        <v>1105.5</v>
      </c>
      <c r="G133" s="64"/>
    </row>
    <row r="134" spans="1:7" ht="17.399999999999999" x14ac:dyDescent="0.3">
      <c r="A134" s="11"/>
      <c r="B134" s="10"/>
      <c r="C134" s="270" t="s">
        <v>7</v>
      </c>
      <c r="D134" s="270"/>
      <c r="E134" s="62"/>
      <c r="F134" s="104">
        <f>F133*0.16</f>
        <v>176.88</v>
      </c>
      <c r="G134" s="60"/>
    </row>
    <row r="135" spans="1:7" ht="17.399999999999999" x14ac:dyDescent="0.3">
      <c r="A135" s="11"/>
      <c r="B135" s="10"/>
      <c r="C135" s="295" t="s">
        <v>6</v>
      </c>
      <c r="D135" s="295"/>
      <c r="E135" s="58"/>
      <c r="F135" s="103">
        <f>F133+F134</f>
        <v>1282.3800000000001</v>
      </c>
      <c r="G135" s="56"/>
    </row>
    <row r="136" spans="1:7" ht="15.6" x14ac:dyDescent="0.3">
      <c r="A136" s="296" t="s">
        <v>5</v>
      </c>
      <c r="B136" s="297"/>
      <c r="C136" s="5" t="s">
        <v>4</v>
      </c>
      <c r="D136" s="5"/>
      <c r="E136" s="297" t="s">
        <v>3</v>
      </c>
      <c r="F136" s="297"/>
      <c r="G136" s="298"/>
    </row>
    <row r="137" spans="1:7" ht="15.6" x14ac:dyDescent="0.3">
      <c r="A137" s="299" t="s">
        <v>374</v>
      </c>
      <c r="B137" s="300"/>
      <c r="C137" s="2" t="s">
        <v>39</v>
      </c>
      <c r="D137" s="2"/>
      <c r="E137" s="300" t="s">
        <v>70</v>
      </c>
      <c r="F137" s="300"/>
      <c r="G137" s="301"/>
    </row>
    <row r="140" spans="1:7" ht="21" x14ac:dyDescent="0.4">
      <c r="A140" s="55"/>
      <c r="B140" s="271" t="s">
        <v>38</v>
      </c>
      <c r="C140" s="272"/>
      <c r="D140" s="277" t="s">
        <v>37</v>
      </c>
      <c r="E140" s="278"/>
      <c r="F140" s="278"/>
      <c r="G140" s="279"/>
    </row>
    <row r="141" spans="1:7" ht="21" x14ac:dyDescent="0.4">
      <c r="A141" s="53"/>
      <c r="B141" s="273"/>
      <c r="C141" s="274"/>
      <c r="D141" s="280" t="s">
        <v>36</v>
      </c>
      <c r="E141" s="281"/>
      <c r="F141" s="282" t="s">
        <v>385</v>
      </c>
      <c r="G141" s="283"/>
    </row>
    <row r="142" spans="1:7" ht="21" x14ac:dyDescent="0.4">
      <c r="A142" s="53"/>
      <c r="B142" s="273"/>
      <c r="C142" s="274"/>
      <c r="D142" s="135" t="s">
        <v>118</v>
      </c>
      <c r="E142" s="136"/>
      <c r="F142" s="90">
        <v>20</v>
      </c>
      <c r="G142" s="50"/>
    </row>
    <row r="143" spans="1:7" ht="33.6" customHeight="1" x14ac:dyDescent="0.4">
      <c r="A143" s="49"/>
      <c r="B143" s="275"/>
      <c r="C143" s="276"/>
      <c r="D143" s="285" t="s">
        <v>50</v>
      </c>
      <c r="E143" s="286"/>
      <c r="F143" s="287" t="s">
        <v>390</v>
      </c>
      <c r="G143" s="288"/>
    </row>
    <row r="144" spans="1:7" ht="20.399999999999999" x14ac:dyDescent="0.35">
      <c r="A144" s="39" t="s">
        <v>48</v>
      </c>
      <c r="B144" s="43" t="s">
        <v>47</v>
      </c>
      <c r="C144" s="42"/>
      <c r="D144" s="42"/>
      <c r="E144" s="289"/>
      <c r="F144" s="289"/>
      <c r="G144" s="290"/>
    </row>
    <row r="145" spans="1:7" ht="20.399999999999999" x14ac:dyDescent="0.35">
      <c r="A145" s="39" t="s">
        <v>30</v>
      </c>
      <c r="B145" s="291" t="s">
        <v>389</v>
      </c>
      <c r="C145" s="292"/>
      <c r="D145" s="292"/>
      <c r="E145" s="292"/>
      <c r="F145" s="292"/>
      <c r="G145" s="293"/>
    </row>
    <row r="146" spans="1:7" ht="20.399999999999999" x14ac:dyDescent="0.35">
      <c r="A146" s="39" t="s">
        <v>46</v>
      </c>
      <c r="B146" s="291"/>
      <c r="C146" s="292"/>
      <c r="D146" s="292"/>
      <c r="E146" s="292"/>
      <c r="F146" s="292"/>
      <c r="G146" s="293"/>
    </row>
    <row r="147" spans="1:7" ht="20.399999999999999" x14ac:dyDescent="0.35">
      <c r="A147" s="39" t="s">
        <v>28</v>
      </c>
      <c r="B147" s="291" t="s">
        <v>77</v>
      </c>
      <c r="C147" s="292"/>
      <c r="D147" s="292"/>
      <c r="E147" s="292"/>
      <c r="F147" s="292"/>
      <c r="G147" s="293"/>
    </row>
    <row r="148" spans="1:7" ht="15" x14ac:dyDescent="0.3">
      <c r="A148" s="34" t="s">
        <v>26</v>
      </c>
      <c r="B148" s="34" t="s">
        <v>25</v>
      </c>
      <c r="C148" s="34" t="s">
        <v>24</v>
      </c>
      <c r="D148" s="34" t="s">
        <v>43</v>
      </c>
      <c r="E148" s="34" t="s">
        <v>42</v>
      </c>
      <c r="F148" s="34" t="s">
        <v>22</v>
      </c>
      <c r="G148" s="169" t="s">
        <v>21</v>
      </c>
    </row>
    <row r="149" spans="1:7" ht="46.8" x14ac:dyDescent="0.3">
      <c r="A149" s="33">
        <v>5</v>
      </c>
      <c r="B149" s="32" t="s">
        <v>19</v>
      </c>
      <c r="C149" s="32" t="s">
        <v>148</v>
      </c>
      <c r="D149" s="171"/>
      <c r="E149" s="75">
        <v>132.59</v>
      </c>
      <c r="F149" s="172">
        <f t="shared" ref="F149:F166" si="5">A149*E149</f>
        <v>662.95</v>
      </c>
      <c r="G149" s="128"/>
    </row>
    <row r="150" spans="1:7" ht="31.2" x14ac:dyDescent="0.3">
      <c r="A150" s="29">
        <v>20</v>
      </c>
      <c r="B150" s="25" t="s">
        <v>19</v>
      </c>
      <c r="C150" s="25" t="s">
        <v>152</v>
      </c>
      <c r="D150" s="72"/>
      <c r="E150" s="71">
        <v>320.14</v>
      </c>
      <c r="F150" s="120">
        <f t="shared" si="5"/>
        <v>6402.7999999999993</v>
      </c>
      <c r="G150" s="70"/>
    </row>
    <row r="151" spans="1:7" ht="15.6" x14ac:dyDescent="0.3">
      <c r="A151" s="29"/>
      <c r="B151" s="25"/>
      <c r="C151" s="25"/>
      <c r="D151" s="72"/>
      <c r="E151" s="71"/>
      <c r="F151" s="120">
        <f t="shared" si="5"/>
        <v>0</v>
      </c>
      <c r="G151" s="70"/>
    </row>
    <row r="152" spans="1:7" ht="15.6" x14ac:dyDescent="0.3">
      <c r="A152" s="29"/>
      <c r="B152" s="25"/>
      <c r="C152" s="25"/>
      <c r="D152" s="72"/>
      <c r="E152" s="71"/>
      <c r="F152" s="120">
        <f t="shared" si="5"/>
        <v>0</v>
      </c>
      <c r="G152" s="70"/>
    </row>
    <row r="153" spans="1:7" ht="15.6" x14ac:dyDescent="0.3">
      <c r="A153" s="29"/>
      <c r="B153" s="25"/>
      <c r="C153" s="25"/>
      <c r="D153" s="72"/>
      <c r="E153" s="71"/>
      <c r="F153" s="120">
        <f t="shared" si="5"/>
        <v>0</v>
      </c>
      <c r="G153" s="70"/>
    </row>
    <row r="154" spans="1:7" ht="15.6" x14ac:dyDescent="0.3">
      <c r="A154" s="29"/>
      <c r="B154" s="25"/>
      <c r="C154" s="25"/>
      <c r="D154" s="72"/>
      <c r="E154" s="71"/>
      <c r="F154" s="120">
        <f t="shared" si="5"/>
        <v>0</v>
      </c>
      <c r="G154" s="70"/>
    </row>
    <row r="155" spans="1:7" ht="15.6" x14ac:dyDescent="0.3">
      <c r="A155" s="29"/>
      <c r="B155" s="25"/>
      <c r="C155" s="25"/>
      <c r="D155" s="72"/>
      <c r="E155" s="71"/>
      <c r="F155" s="120">
        <f t="shared" si="5"/>
        <v>0</v>
      </c>
      <c r="G155" s="70"/>
    </row>
    <row r="156" spans="1:7" ht="15.6" x14ac:dyDescent="0.3">
      <c r="A156" s="29"/>
      <c r="B156" s="25"/>
      <c r="C156" s="25"/>
      <c r="D156" s="72"/>
      <c r="E156" s="71"/>
      <c r="F156" s="120">
        <f t="shared" si="5"/>
        <v>0</v>
      </c>
      <c r="G156" s="70"/>
    </row>
    <row r="157" spans="1:7" ht="15.6" x14ac:dyDescent="0.3">
      <c r="A157" s="29"/>
      <c r="B157" s="25"/>
      <c r="C157" s="25"/>
      <c r="D157" s="72"/>
      <c r="E157" s="71"/>
      <c r="F157" s="120">
        <f t="shared" si="5"/>
        <v>0</v>
      </c>
      <c r="G157" s="70"/>
    </row>
    <row r="158" spans="1:7" ht="15.6" x14ac:dyDescent="0.3">
      <c r="A158" s="29"/>
      <c r="B158" s="25"/>
      <c r="C158" s="25"/>
      <c r="D158" s="72"/>
      <c r="E158" s="71"/>
      <c r="F158" s="120">
        <f t="shared" si="5"/>
        <v>0</v>
      </c>
      <c r="G158" s="70"/>
    </row>
    <row r="159" spans="1:7" ht="15.6" x14ac:dyDescent="0.3">
      <c r="A159" s="29"/>
      <c r="B159" s="25"/>
      <c r="C159" s="25"/>
      <c r="D159" s="72"/>
      <c r="E159" s="71"/>
      <c r="F159" s="120">
        <f t="shared" si="5"/>
        <v>0</v>
      </c>
      <c r="G159" s="70"/>
    </row>
    <row r="160" spans="1:7" ht="15.6" x14ac:dyDescent="0.3">
      <c r="A160" s="29"/>
      <c r="B160" s="25"/>
      <c r="C160" s="25"/>
      <c r="D160" s="72"/>
      <c r="E160" s="71"/>
      <c r="F160" s="120">
        <f t="shared" si="5"/>
        <v>0</v>
      </c>
      <c r="G160" s="70"/>
    </row>
    <row r="161" spans="1:7" ht="15.6" x14ac:dyDescent="0.3">
      <c r="A161" s="29"/>
      <c r="B161" s="25"/>
      <c r="C161" s="25"/>
      <c r="D161" s="72"/>
      <c r="E161" s="71"/>
      <c r="F161" s="120">
        <f t="shared" si="5"/>
        <v>0</v>
      </c>
      <c r="G161" s="70"/>
    </row>
    <row r="162" spans="1:7" ht="15.6" x14ac:dyDescent="0.3">
      <c r="A162" s="173"/>
      <c r="B162" s="25"/>
      <c r="C162" s="25"/>
      <c r="D162" s="72"/>
      <c r="E162" s="71"/>
      <c r="F162" s="120">
        <f t="shared" si="5"/>
        <v>0</v>
      </c>
      <c r="G162" s="70"/>
    </row>
    <row r="163" spans="1:7" ht="15.6" x14ac:dyDescent="0.3">
      <c r="A163" s="26"/>
      <c r="B163" s="25"/>
      <c r="C163" s="25"/>
      <c r="D163" s="72"/>
      <c r="E163" s="71"/>
      <c r="F163" s="120">
        <f t="shared" si="5"/>
        <v>0</v>
      </c>
      <c r="G163" s="70"/>
    </row>
    <row r="164" spans="1:7" ht="15.6" x14ac:dyDescent="0.3">
      <c r="A164" s="26"/>
      <c r="B164" s="25"/>
      <c r="C164" s="25"/>
      <c r="D164" s="72"/>
      <c r="E164" s="71"/>
      <c r="F164" s="120">
        <f t="shared" si="5"/>
        <v>0</v>
      </c>
      <c r="G164" s="70"/>
    </row>
    <row r="165" spans="1:7" ht="15.6" x14ac:dyDescent="0.3">
      <c r="A165" s="26"/>
      <c r="B165" s="25"/>
      <c r="C165" s="25"/>
      <c r="D165" s="72"/>
      <c r="E165" s="71"/>
      <c r="F165" s="120">
        <f t="shared" si="5"/>
        <v>0</v>
      </c>
      <c r="G165" s="70"/>
    </row>
    <row r="166" spans="1:7" ht="15.6" x14ac:dyDescent="0.3">
      <c r="A166" s="21"/>
      <c r="B166" s="20"/>
      <c r="C166" s="20"/>
      <c r="D166" s="69"/>
      <c r="E166" s="68"/>
      <c r="F166" s="174">
        <f t="shared" si="5"/>
        <v>0</v>
      </c>
      <c r="G166" s="67"/>
    </row>
    <row r="167" spans="1:7" ht="17.399999999999999" x14ac:dyDescent="0.3">
      <c r="A167" s="17"/>
      <c r="B167" s="16"/>
      <c r="C167" s="294" t="s">
        <v>8</v>
      </c>
      <c r="D167" s="294"/>
      <c r="E167" s="66"/>
      <c r="F167" s="105">
        <f>SUM(F149:F165)</f>
        <v>7065.7499999999991</v>
      </c>
      <c r="G167" s="64"/>
    </row>
    <row r="168" spans="1:7" ht="17.399999999999999" x14ac:dyDescent="0.3">
      <c r="A168" s="11"/>
      <c r="B168" s="10"/>
      <c r="C168" s="270" t="s">
        <v>7</v>
      </c>
      <c r="D168" s="270"/>
      <c r="E168" s="62"/>
      <c r="F168" s="104">
        <f>F167*0.16</f>
        <v>1130.52</v>
      </c>
      <c r="G168" s="60"/>
    </row>
    <row r="169" spans="1:7" ht="17.399999999999999" x14ac:dyDescent="0.3">
      <c r="A169" s="11"/>
      <c r="B169" s="10"/>
      <c r="C169" s="295" t="s">
        <v>6</v>
      </c>
      <c r="D169" s="295"/>
      <c r="E169" s="58"/>
      <c r="F169" s="103">
        <f>F167+F168</f>
        <v>8196.2699999999986</v>
      </c>
      <c r="G169" s="56"/>
    </row>
    <row r="170" spans="1:7" ht="15.6" x14ac:dyDescent="0.3">
      <c r="A170" s="296" t="s">
        <v>5</v>
      </c>
      <c r="B170" s="297"/>
      <c r="C170" s="5" t="s">
        <v>4</v>
      </c>
      <c r="D170" s="5"/>
      <c r="E170" s="297" t="s">
        <v>3</v>
      </c>
      <c r="F170" s="297"/>
      <c r="G170" s="298"/>
    </row>
    <row r="171" spans="1:7" ht="15.6" x14ac:dyDescent="0.3">
      <c r="A171" s="299" t="s">
        <v>374</v>
      </c>
      <c r="B171" s="300"/>
      <c r="C171" s="2" t="s">
        <v>39</v>
      </c>
      <c r="D171" s="2"/>
      <c r="E171" s="300" t="s">
        <v>70</v>
      </c>
      <c r="F171" s="300"/>
      <c r="G171" s="301"/>
    </row>
    <row r="174" spans="1:7" ht="21" x14ac:dyDescent="0.4">
      <c r="A174" s="55"/>
      <c r="B174" s="271" t="s">
        <v>38</v>
      </c>
      <c r="C174" s="272"/>
      <c r="D174" s="277" t="s">
        <v>37</v>
      </c>
      <c r="E174" s="278"/>
      <c r="F174" s="278"/>
      <c r="G174" s="279"/>
    </row>
    <row r="175" spans="1:7" ht="21" x14ac:dyDescent="0.4">
      <c r="A175" s="53"/>
      <c r="B175" s="273"/>
      <c r="C175" s="274"/>
      <c r="D175" s="280" t="s">
        <v>36</v>
      </c>
      <c r="E175" s="281"/>
      <c r="F175" s="282" t="s">
        <v>385</v>
      </c>
      <c r="G175" s="283"/>
    </row>
    <row r="176" spans="1:7" ht="21" x14ac:dyDescent="0.4">
      <c r="A176" s="53"/>
      <c r="B176" s="273"/>
      <c r="C176" s="274"/>
      <c r="D176" s="135" t="s">
        <v>118</v>
      </c>
      <c r="E176" s="136"/>
      <c r="F176" s="90">
        <v>20</v>
      </c>
      <c r="G176" s="50"/>
    </row>
    <row r="177" spans="1:7" ht="36.6" customHeight="1" x14ac:dyDescent="0.4">
      <c r="A177" s="49"/>
      <c r="B177" s="275"/>
      <c r="C177" s="276"/>
      <c r="D177" s="285" t="s">
        <v>50</v>
      </c>
      <c r="E177" s="286"/>
      <c r="F177" s="287" t="s">
        <v>404</v>
      </c>
      <c r="G177" s="288"/>
    </row>
    <row r="178" spans="1:7" ht="20.399999999999999" x14ac:dyDescent="0.35">
      <c r="A178" s="39" t="s">
        <v>48</v>
      </c>
      <c r="B178" s="43" t="s">
        <v>47</v>
      </c>
      <c r="C178" s="42"/>
      <c r="D178" s="42"/>
      <c r="E178" s="289"/>
      <c r="F178" s="289"/>
      <c r="G178" s="290"/>
    </row>
    <row r="179" spans="1:7" ht="20.399999999999999" x14ac:dyDescent="0.35">
      <c r="A179" s="39" t="s">
        <v>30</v>
      </c>
      <c r="B179" s="291" t="s">
        <v>405</v>
      </c>
      <c r="C179" s="292"/>
      <c r="D179" s="292"/>
      <c r="E179" s="292"/>
      <c r="F179" s="292"/>
      <c r="G179" s="293"/>
    </row>
    <row r="180" spans="1:7" ht="20.399999999999999" x14ac:dyDescent="0.35">
      <c r="A180" s="39" t="s">
        <v>46</v>
      </c>
      <c r="B180" s="291"/>
      <c r="C180" s="292"/>
      <c r="D180" s="292"/>
      <c r="E180" s="292"/>
      <c r="F180" s="292"/>
      <c r="G180" s="293"/>
    </row>
    <row r="181" spans="1:7" ht="20.399999999999999" x14ac:dyDescent="0.35">
      <c r="A181" s="39" t="s">
        <v>28</v>
      </c>
      <c r="B181" s="291" t="s">
        <v>55</v>
      </c>
      <c r="C181" s="292"/>
      <c r="D181" s="292"/>
      <c r="E181" s="292"/>
      <c r="F181" s="292"/>
      <c r="G181" s="293"/>
    </row>
    <row r="182" spans="1:7" ht="15" x14ac:dyDescent="0.3">
      <c r="A182" s="34" t="s">
        <v>26</v>
      </c>
      <c r="B182" s="34" t="s">
        <v>25</v>
      </c>
      <c r="C182" s="34" t="s">
        <v>24</v>
      </c>
      <c r="D182" s="34" t="s">
        <v>43</v>
      </c>
      <c r="E182" s="34" t="s">
        <v>42</v>
      </c>
      <c r="F182" s="34" t="s">
        <v>22</v>
      </c>
      <c r="G182" s="169" t="s">
        <v>21</v>
      </c>
    </row>
    <row r="183" spans="1:7" ht="15.6" x14ac:dyDescent="0.3">
      <c r="A183" s="33">
        <v>4</v>
      </c>
      <c r="B183" s="32" t="s">
        <v>135</v>
      </c>
      <c r="C183" s="32" t="s">
        <v>406</v>
      </c>
      <c r="D183" s="171">
        <v>170451</v>
      </c>
      <c r="E183" s="75">
        <v>482.65</v>
      </c>
      <c r="F183" s="172">
        <f t="shared" ref="F183:F200" si="6">A183*E183</f>
        <v>1930.6</v>
      </c>
      <c r="G183" s="128"/>
    </row>
    <row r="184" spans="1:7" ht="15.6" x14ac:dyDescent="0.3">
      <c r="A184" s="29"/>
      <c r="B184" s="25"/>
      <c r="C184" s="95"/>
      <c r="D184" s="72"/>
      <c r="E184" s="71"/>
      <c r="F184" s="120">
        <f t="shared" si="6"/>
        <v>0</v>
      </c>
      <c r="G184" s="70"/>
    </row>
    <row r="185" spans="1:7" ht="15.6" x14ac:dyDescent="0.3">
      <c r="A185" s="29"/>
      <c r="B185" s="25"/>
      <c r="C185" s="25"/>
      <c r="D185" s="72"/>
      <c r="E185" s="71"/>
      <c r="F185" s="120">
        <f t="shared" si="6"/>
        <v>0</v>
      </c>
      <c r="G185" s="70"/>
    </row>
    <row r="186" spans="1:7" ht="15.6" x14ac:dyDescent="0.3">
      <c r="A186" s="29"/>
      <c r="B186" s="25"/>
      <c r="C186" s="25"/>
      <c r="D186" s="72"/>
      <c r="E186" s="71"/>
      <c r="F186" s="120">
        <f t="shared" si="6"/>
        <v>0</v>
      </c>
      <c r="G186" s="70"/>
    </row>
    <row r="187" spans="1:7" ht="15.6" x14ac:dyDescent="0.3">
      <c r="A187" s="29"/>
      <c r="B187" s="25"/>
      <c r="C187" s="25"/>
      <c r="D187" s="72"/>
      <c r="E187" s="71"/>
      <c r="F187" s="120">
        <f t="shared" si="6"/>
        <v>0</v>
      </c>
      <c r="G187" s="70"/>
    </row>
    <row r="188" spans="1:7" ht="15.6" x14ac:dyDescent="0.3">
      <c r="A188" s="29"/>
      <c r="B188" s="25"/>
      <c r="C188" s="25"/>
      <c r="D188" s="72"/>
      <c r="E188" s="71"/>
      <c r="F188" s="120">
        <f t="shared" si="6"/>
        <v>0</v>
      </c>
      <c r="G188" s="70"/>
    </row>
    <row r="189" spans="1:7" ht="15.6" x14ac:dyDescent="0.3">
      <c r="A189" s="29"/>
      <c r="B189" s="25"/>
      <c r="C189" s="25"/>
      <c r="D189" s="72"/>
      <c r="E189" s="71"/>
      <c r="F189" s="120">
        <f t="shared" si="6"/>
        <v>0</v>
      </c>
      <c r="G189" s="70"/>
    </row>
    <row r="190" spans="1:7" ht="15.6" x14ac:dyDescent="0.3">
      <c r="A190" s="29"/>
      <c r="B190" s="25"/>
      <c r="C190" s="25"/>
      <c r="D190" s="72"/>
      <c r="E190" s="71"/>
      <c r="F190" s="120">
        <f t="shared" si="6"/>
        <v>0</v>
      </c>
      <c r="G190" s="70"/>
    </row>
    <row r="191" spans="1:7" ht="15.6" x14ac:dyDescent="0.3">
      <c r="A191" s="29"/>
      <c r="B191" s="25"/>
      <c r="C191" s="25"/>
      <c r="D191" s="72"/>
      <c r="E191" s="71"/>
      <c r="F191" s="120">
        <f t="shared" si="6"/>
        <v>0</v>
      </c>
      <c r="G191" s="70"/>
    </row>
    <row r="192" spans="1:7" ht="15.6" x14ac:dyDescent="0.3">
      <c r="A192" s="29"/>
      <c r="B192" s="25"/>
      <c r="C192" s="25"/>
      <c r="D192" s="72"/>
      <c r="E192" s="71"/>
      <c r="F192" s="120">
        <f t="shared" si="6"/>
        <v>0</v>
      </c>
      <c r="G192" s="70"/>
    </row>
    <row r="193" spans="1:7" ht="15.6" x14ac:dyDescent="0.3">
      <c r="A193" s="29"/>
      <c r="B193" s="25"/>
      <c r="C193" s="25"/>
      <c r="D193" s="72"/>
      <c r="E193" s="71"/>
      <c r="F193" s="120">
        <f t="shared" si="6"/>
        <v>0</v>
      </c>
      <c r="G193" s="70"/>
    </row>
    <row r="194" spans="1:7" ht="15.6" x14ac:dyDescent="0.3">
      <c r="A194" s="29"/>
      <c r="B194" s="25"/>
      <c r="C194" s="25"/>
      <c r="D194" s="72"/>
      <c r="E194" s="71"/>
      <c r="F194" s="120">
        <f t="shared" si="6"/>
        <v>0</v>
      </c>
      <c r="G194" s="70"/>
    </row>
    <row r="195" spans="1:7" ht="15.6" x14ac:dyDescent="0.3">
      <c r="A195" s="29"/>
      <c r="B195" s="25"/>
      <c r="C195" s="25"/>
      <c r="D195" s="72"/>
      <c r="E195" s="71"/>
      <c r="F195" s="120">
        <f t="shared" si="6"/>
        <v>0</v>
      </c>
      <c r="G195" s="70"/>
    </row>
    <row r="196" spans="1:7" ht="15.6" x14ac:dyDescent="0.3">
      <c r="A196" s="173"/>
      <c r="B196" s="25"/>
      <c r="C196" s="25"/>
      <c r="D196" s="72"/>
      <c r="E196" s="71"/>
      <c r="F196" s="120">
        <f t="shared" si="6"/>
        <v>0</v>
      </c>
      <c r="G196" s="70"/>
    </row>
    <row r="197" spans="1:7" ht="15.6" x14ac:dyDescent="0.3">
      <c r="A197" s="26"/>
      <c r="B197" s="25"/>
      <c r="C197" s="25"/>
      <c r="D197" s="72"/>
      <c r="E197" s="71"/>
      <c r="F197" s="120">
        <f t="shared" si="6"/>
        <v>0</v>
      </c>
      <c r="G197" s="70"/>
    </row>
    <row r="198" spans="1:7" ht="15.6" x14ac:dyDescent="0.3">
      <c r="A198" s="26"/>
      <c r="B198" s="25"/>
      <c r="C198" s="25"/>
      <c r="D198" s="72"/>
      <c r="E198" s="71"/>
      <c r="F198" s="120">
        <f t="shared" si="6"/>
        <v>0</v>
      </c>
      <c r="G198" s="70"/>
    </row>
    <row r="199" spans="1:7" ht="15.6" x14ac:dyDescent="0.3">
      <c r="A199" s="26"/>
      <c r="B199" s="25"/>
      <c r="C199" s="25"/>
      <c r="D199" s="72"/>
      <c r="E199" s="71"/>
      <c r="F199" s="120">
        <f t="shared" si="6"/>
        <v>0</v>
      </c>
      <c r="G199" s="70"/>
    </row>
    <row r="200" spans="1:7" ht="15.6" x14ac:dyDescent="0.3">
      <c r="A200" s="21"/>
      <c r="B200" s="20"/>
      <c r="C200" s="20"/>
      <c r="D200" s="69"/>
      <c r="E200" s="68"/>
      <c r="F200" s="174">
        <f t="shared" si="6"/>
        <v>0</v>
      </c>
      <c r="G200" s="67"/>
    </row>
    <row r="201" spans="1:7" ht="17.399999999999999" x14ac:dyDescent="0.3">
      <c r="A201" s="17"/>
      <c r="B201" s="16"/>
      <c r="C201" s="294" t="s">
        <v>8</v>
      </c>
      <c r="D201" s="294"/>
      <c r="E201" s="66"/>
      <c r="F201" s="105">
        <f>SUM(F183:F199)</f>
        <v>1930.6</v>
      </c>
      <c r="G201" s="64"/>
    </row>
    <row r="202" spans="1:7" ht="17.399999999999999" x14ac:dyDescent="0.3">
      <c r="A202" s="11"/>
      <c r="B202" s="10"/>
      <c r="C202" s="270" t="s">
        <v>7</v>
      </c>
      <c r="D202" s="270"/>
      <c r="E202" s="62"/>
      <c r="F202" s="104">
        <f>F201*0.16</f>
        <v>308.89600000000002</v>
      </c>
      <c r="G202" s="60"/>
    </row>
    <row r="203" spans="1:7" ht="17.399999999999999" x14ac:dyDescent="0.3">
      <c r="A203" s="11"/>
      <c r="B203" s="10"/>
      <c r="C203" s="295" t="s">
        <v>6</v>
      </c>
      <c r="D203" s="295"/>
      <c r="E203" s="58"/>
      <c r="F203" s="103">
        <f>F201+F202</f>
        <v>2239.4960000000001</v>
      </c>
      <c r="G203" s="56"/>
    </row>
    <row r="204" spans="1:7" ht="15.6" x14ac:dyDescent="0.3">
      <c r="A204" s="296" t="s">
        <v>5</v>
      </c>
      <c r="B204" s="297"/>
      <c r="C204" s="5" t="s">
        <v>4</v>
      </c>
      <c r="D204" s="5"/>
      <c r="E204" s="297" t="s">
        <v>3</v>
      </c>
      <c r="F204" s="297"/>
      <c r="G204" s="298"/>
    </row>
    <row r="205" spans="1:7" ht="15.6" x14ac:dyDescent="0.3">
      <c r="A205" s="299" t="s">
        <v>374</v>
      </c>
      <c r="B205" s="300"/>
      <c r="C205" s="2" t="s">
        <v>39</v>
      </c>
      <c r="D205" s="2"/>
      <c r="E205" s="300" t="s">
        <v>70</v>
      </c>
      <c r="F205" s="300"/>
      <c r="G205" s="301"/>
    </row>
    <row r="208" spans="1:7" ht="24.6" customHeight="1" x14ac:dyDescent="0.4">
      <c r="A208" s="55"/>
      <c r="B208" s="271" t="s">
        <v>38</v>
      </c>
      <c r="C208" s="272"/>
      <c r="D208" s="277" t="s">
        <v>37</v>
      </c>
      <c r="E208" s="278"/>
      <c r="F208" s="278"/>
      <c r="G208" s="279"/>
    </row>
    <row r="209" spans="1:7" ht="21" customHeight="1" x14ac:dyDescent="0.4">
      <c r="A209" s="53"/>
      <c r="B209" s="273"/>
      <c r="C209" s="274"/>
      <c r="D209" s="280" t="s">
        <v>36</v>
      </c>
      <c r="E209" s="281"/>
      <c r="F209" s="282" t="s">
        <v>415</v>
      </c>
      <c r="G209" s="283"/>
    </row>
    <row r="210" spans="1:7" ht="21" customHeight="1" x14ac:dyDescent="0.4">
      <c r="A210" s="53"/>
      <c r="B210" s="273"/>
      <c r="C210" s="274"/>
      <c r="D210" s="135" t="s">
        <v>118</v>
      </c>
      <c r="E210" s="136"/>
      <c r="F210" s="90">
        <v>20</v>
      </c>
      <c r="G210" s="50"/>
    </row>
    <row r="211" spans="1:7" ht="33.6" customHeight="1" x14ac:dyDescent="0.4">
      <c r="A211" s="49"/>
      <c r="B211" s="275"/>
      <c r="C211" s="276"/>
      <c r="D211" s="285" t="s">
        <v>50</v>
      </c>
      <c r="E211" s="286"/>
      <c r="F211" s="287" t="s">
        <v>414</v>
      </c>
      <c r="G211" s="288"/>
    </row>
    <row r="212" spans="1:7" ht="20.399999999999999" x14ac:dyDescent="0.35">
      <c r="A212" s="39" t="s">
        <v>48</v>
      </c>
      <c r="B212" s="43" t="s">
        <v>0</v>
      </c>
      <c r="C212" s="42"/>
      <c r="D212" s="42"/>
      <c r="E212" s="42"/>
      <c r="F212" s="42"/>
      <c r="G212" s="106"/>
    </row>
    <row r="213" spans="1:7" ht="20.399999999999999" x14ac:dyDescent="0.35">
      <c r="A213" s="39" t="s">
        <v>30</v>
      </c>
      <c r="B213" s="38"/>
      <c r="C213" s="37"/>
      <c r="D213" s="37"/>
      <c r="E213" s="37"/>
      <c r="F213" s="37"/>
      <c r="G213" s="77"/>
    </row>
    <row r="214" spans="1:7" ht="20.399999999999999" x14ac:dyDescent="0.35">
      <c r="A214" s="39" t="s">
        <v>46</v>
      </c>
      <c r="B214" s="291" t="s">
        <v>410</v>
      </c>
      <c r="C214" s="292"/>
      <c r="D214" s="292"/>
      <c r="E214" s="292"/>
      <c r="F214" s="292"/>
      <c r="G214" s="293"/>
    </row>
    <row r="215" spans="1:7" ht="20.399999999999999" x14ac:dyDescent="0.35">
      <c r="A215" s="39" t="s">
        <v>28</v>
      </c>
      <c r="B215" s="38" t="s">
        <v>97</v>
      </c>
      <c r="C215" s="37"/>
      <c r="D215" s="37"/>
      <c r="E215" s="37"/>
      <c r="F215" s="37"/>
      <c r="G215" s="77"/>
    </row>
    <row r="216" spans="1:7" ht="15" x14ac:dyDescent="0.3">
      <c r="A216" s="34" t="s">
        <v>26</v>
      </c>
      <c r="B216" s="34" t="s">
        <v>25</v>
      </c>
      <c r="C216" s="34" t="s">
        <v>24</v>
      </c>
      <c r="D216" s="34" t="s">
        <v>43</v>
      </c>
      <c r="E216" s="34" t="s">
        <v>42</v>
      </c>
      <c r="F216" s="34" t="s">
        <v>22</v>
      </c>
      <c r="G216" s="34" t="s">
        <v>21</v>
      </c>
    </row>
    <row r="217" spans="1:7" ht="15.6" x14ac:dyDescent="0.3">
      <c r="A217" s="33"/>
      <c r="B217" s="32"/>
      <c r="C217" s="32"/>
      <c r="D217" s="76"/>
      <c r="E217" s="75"/>
      <c r="F217" s="75">
        <f t="shared" ref="F217:F231" si="7">A217*E217</f>
        <v>0</v>
      </c>
      <c r="G217" s="74"/>
    </row>
    <row r="218" spans="1:7" ht="15.6" x14ac:dyDescent="0.3">
      <c r="A218" s="29"/>
      <c r="B218" s="25"/>
      <c r="C218" s="25"/>
      <c r="D218" s="73"/>
      <c r="E218" s="71"/>
      <c r="F218" s="71">
        <f t="shared" si="7"/>
        <v>0</v>
      </c>
      <c r="G218" s="74"/>
    </row>
    <row r="219" spans="1:7" ht="15.6" x14ac:dyDescent="0.3">
      <c r="A219" s="29">
        <v>12</v>
      </c>
      <c r="B219" s="25" t="s">
        <v>94</v>
      </c>
      <c r="C219" s="25" t="s">
        <v>96</v>
      </c>
      <c r="D219" s="73" t="s">
        <v>95</v>
      </c>
      <c r="E219" s="71">
        <v>96.82</v>
      </c>
      <c r="F219" s="71">
        <f t="shared" si="7"/>
        <v>1161.8399999999999</v>
      </c>
      <c r="G219" s="74"/>
    </row>
    <row r="220" spans="1:7" ht="15.6" x14ac:dyDescent="0.3">
      <c r="A220" s="29">
        <v>12</v>
      </c>
      <c r="B220" s="27" t="s">
        <v>94</v>
      </c>
      <c r="C220" s="27" t="s">
        <v>93</v>
      </c>
      <c r="D220" s="73" t="s">
        <v>92</v>
      </c>
      <c r="E220" s="71">
        <v>219.26</v>
      </c>
      <c r="F220" s="71">
        <f t="shared" si="7"/>
        <v>2631.12</v>
      </c>
      <c r="G220" s="70"/>
    </row>
    <row r="221" spans="1:7" ht="15.6" x14ac:dyDescent="0.3">
      <c r="A221" s="29"/>
      <c r="B221" s="27"/>
      <c r="C221" s="27"/>
      <c r="D221" s="73"/>
      <c r="E221" s="71"/>
      <c r="F221" s="71">
        <f>A221*E221</f>
        <v>0</v>
      </c>
      <c r="G221" s="70"/>
    </row>
    <row r="222" spans="1:7" ht="46.8" x14ac:dyDescent="0.3">
      <c r="A222" s="29">
        <v>5</v>
      </c>
      <c r="B222" s="27" t="s">
        <v>94</v>
      </c>
      <c r="C222" s="27" t="s">
        <v>407</v>
      </c>
      <c r="D222" s="73" t="s">
        <v>409</v>
      </c>
      <c r="E222" s="71">
        <v>340.44</v>
      </c>
      <c r="F222" s="71">
        <f>A222*E222</f>
        <v>1702.2</v>
      </c>
      <c r="G222" s="70"/>
    </row>
    <row r="223" spans="1:7" ht="15.6" x14ac:dyDescent="0.3">
      <c r="A223" s="29">
        <v>8</v>
      </c>
      <c r="B223" s="27" t="s">
        <v>10</v>
      </c>
      <c r="C223" s="27" t="s">
        <v>411</v>
      </c>
      <c r="D223" s="73" t="s">
        <v>413</v>
      </c>
      <c r="E223" s="71">
        <v>71.25</v>
      </c>
      <c r="F223" s="71">
        <f t="shared" si="7"/>
        <v>570</v>
      </c>
      <c r="G223" s="70"/>
    </row>
    <row r="224" spans="1:7" ht="15.6" x14ac:dyDescent="0.3">
      <c r="A224" s="26"/>
      <c r="B224" s="27"/>
      <c r="C224" s="27"/>
      <c r="D224" s="73"/>
      <c r="E224" s="71"/>
      <c r="F224" s="71">
        <f t="shared" si="7"/>
        <v>0</v>
      </c>
      <c r="G224" s="70"/>
    </row>
    <row r="225" spans="1:7" ht="15.6" x14ac:dyDescent="0.3">
      <c r="A225" s="26"/>
      <c r="B225" s="27"/>
      <c r="C225" s="27"/>
      <c r="D225" s="99"/>
      <c r="E225" s="71"/>
      <c r="F225" s="71">
        <f t="shared" si="7"/>
        <v>0</v>
      </c>
      <c r="G225" s="70"/>
    </row>
    <row r="226" spans="1:7" ht="15.6" x14ac:dyDescent="0.3">
      <c r="A226" s="26"/>
      <c r="B226" s="25"/>
      <c r="C226" s="25"/>
      <c r="D226" s="72"/>
      <c r="E226" s="71"/>
      <c r="F226" s="71">
        <f t="shared" si="7"/>
        <v>0</v>
      </c>
      <c r="G226" s="70"/>
    </row>
    <row r="227" spans="1:7" ht="15.6" x14ac:dyDescent="0.3">
      <c r="A227" s="26"/>
      <c r="B227" s="25"/>
      <c r="C227" s="25"/>
      <c r="D227" s="72"/>
      <c r="E227" s="71"/>
      <c r="F227" s="71">
        <f t="shared" si="7"/>
        <v>0</v>
      </c>
      <c r="G227" s="70"/>
    </row>
    <row r="228" spans="1:7" ht="15.6" x14ac:dyDescent="0.3">
      <c r="A228" s="26"/>
      <c r="B228" s="25"/>
      <c r="C228" s="25"/>
      <c r="D228" s="72"/>
      <c r="E228" s="71"/>
      <c r="F228" s="71">
        <f t="shared" si="7"/>
        <v>0</v>
      </c>
      <c r="G228" s="70"/>
    </row>
    <row r="229" spans="1:7" ht="15.6" x14ac:dyDescent="0.3">
      <c r="A229" s="26"/>
      <c r="B229" s="25"/>
      <c r="C229" s="25"/>
      <c r="D229" s="72"/>
      <c r="E229" s="71"/>
      <c r="F229" s="71">
        <f t="shared" si="7"/>
        <v>0</v>
      </c>
      <c r="G229" s="70"/>
    </row>
    <row r="230" spans="1:7" ht="15.6" x14ac:dyDescent="0.3">
      <c r="A230" s="26"/>
      <c r="B230" s="25"/>
      <c r="C230" s="25"/>
      <c r="D230" s="72"/>
      <c r="E230" s="71"/>
      <c r="F230" s="71">
        <f t="shared" si="7"/>
        <v>0</v>
      </c>
      <c r="G230" s="70"/>
    </row>
    <row r="231" spans="1:7" ht="15.6" x14ac:dyDescent="0.3">
      <c r="A231" s="21"/>
      <c r="B231" s="20"/>
      <c r="C231" s="20"/>
      <c r="D231" s="69"/>
      <c r="E231" s="68"/>
      <c r="F231" s="68">
        <f t="shared" si="7"/>
        <v>0</v>
      </c>
      <c r="G231" s="67"/>
    </row>
    <row r="232" spans="1:7" ht="17.399999999999999" x14ac:dyDescent="0.3">
      <c r="A232" s="17"/>
      <c r="B232" s="16"/>
      <c r="C232" s="9" t="s">
        <v>8</v>
      </c>
      <c r="D232" s="9"/>
      <c r="E232" s="66"/>
      <c r="F232" s="105">
        <f>SUM(F217:F230)</f>
        <v>6065.16</v>
      </c>
      <c r="G232" s="64"/>
    </row>
    <row r="233" spans="1:7" ht="17.399999999999999" x14ac:dyDescent="0.3">
      <c r="A233" s="11"/>
      <c r="B233" s="10"/>
      <c r="C233" s="63" t="s">
        <v>7</v>
      </c>
      <c r="D233" s="63"/>
      <c r="E233" s="62"/>
      <c r="F233" s="104">
        <f>F232*0.16</f>
        <v>970.42560000000003</v>
      </c>
      <c r="G233" s="60"/>
    </row>
    <row r="234" spans="1:7" ht="17.399999999999999" x14ac:dyDescent="0.3">
      <c r="A234" s="11"/>
      <c r="B234" s="10"/>
      <c r="C234" s="59" t="s">
        <v>6</v>
      </c>
      <c r="D234" s="59"/>
      <c r="E234" s="58"/>
      <c r="F234" s="103">
        <f>F232+F233</f>
        <v>7035.5856000000003</v>
      </c>
      <c r="G234" s="56"/>
    </row>
    <row r="235" spans="1:7" ht="15.6" x14ac:dyDescent="0.3">
      <c r="A235" s="6" t="s">
        <v>5</v>
      </c>
      <c r="B235" s="5"/>
      <c r="C235" s="5" t="s">
        <v>4</v>
      </c>
      <c r="D235" s="5"/>
      <c r="E235" s="5" t="s">
        <v>3</v>
      </c>
      <c r="F235" s="5"/>
      <c r="G235" s="4"/>
    </row>
    <row r="236" spans="1:7" ht="15.6" x14ac:dyDescent="0.3">
      <c r="A236" s="3" t="s">
        <v>408</v>
      </c>
      <c r="B236" s="2"/>
      <c r="C236" s="2" t="s">
        <v>39</v>
      </c>
      <c r="D236" s="2"/>
      <c r="E236" s="2" t="s">
        <v>70</v>
      </c>
      <c r="F236" s="2"/>
      <c r="G236" s="1"/>
    </row>
    <row r="240" spans="1:7" ht="21" x14ac:dyDescent="0.4">
      <c r="A240" s="55"/>
      <c r="B240" s="271" t="s">
        <v>38</v>
      </c>
      <c r="C240" s="272"/>
      <c r="D240" s="277" t="s">
        <v>37</v>
      </c>
      <c r="E240" s="278"/>
      <c r="F240" s="278"/>
      <c r="G240" s="279"/>
    </row>
    <row r="241" spans="1:9" ht="21" x14ac:dyDescent="0.4">
      <c r="A241" s="53"/>
      <c r="B241" s="273"/>
      <c r="C241" s="274"/>
      <c r="D241" s="280" t="s">
        <v>36</v>
      </c>
      <c r="E241" s="281"/>
      <c r="F241" s="282" t="s">
        <v>415</v>
      </c>
      <c r="G241" s="283"/>
    </row>
    <row r="242" spans="1:9" ht="21" x14ac:dyDescent="0.4">
      <c r="A242" s="53"/>
      <c r="B242" s="273"/>
      <c r="C242" s="274"/>
      <c r="D242" s="135" t="s">
        <v>118</v>
      </c>
      <c r="E242" s="136"/>
      <c r="F242" s="90">
        <v>20</v>
      </c>
      <c r="G242" s="50"/>
    </row>
    <row r="243" spans="1:9" ht="33.6" customHeight="1" x14ac:dyDescent="0.4">
      <c r="A243" s="49"/>
      <c r="B243" s="275"/>
      <c r="C243" s="276"/>
      <c r="D243" s="285" t="s">
        <v>50</v>
      </c>
      <c r="E243" s="286"/>
      <c r="F243" s="287" t="s">
        <v>417</v>
      </c>
      <c r="G243" s="288"/>
    </row>
    <row r="244" spans="1:9" ht="20.399999999999999" x14ac:dyDescent="0.35">
      <c r="A244" s="39" t="s">
        <v>48</v>
      </c>
      <c r="B244" s="43" t="s">
        <v>418</v>
      </c>
      <c r="C244" s="42"/>
      <c r="D244" s="42"/>
      <c r="E244" s="42"/>
      <c r="F244" s="42"/>
      <c r="G244" s="106"/>
    </row>
    <row r="245" spans="1:9" ht="20.399999999999999" x14ac:dyDescent="0.35">
      <c r="A245" s="39" t="s">
        <v>30</v>
      </c>
      <c r="B245" s="38"/>
      <c r="C245" s="37"/>
      <c r="D245" s="37"/>
      <c r="E245" s="37"/>
      <c r="F245" s="37"/>
      <c r="G245" s="77"/>
    </row>
    <row r="246" spans="1:9" ht="20.399999999999999" x14ac:dyDescent="0.35">
      <c r="A246" s="39" t="s">
        <v>46</v>
      </c>
      <c r="B246" s="291" t="s">
        <v>419</v>
      </c>
      <c r="C246" s="292"/>
      <c r="D246" s="292"/>
      <c r="E246" s="292"/>
      <c r="F246" s="292"/>
      <c r="G246" s="293"/>
    </row>
    <row r="247" spans="1:9" ht="20.399999999999999" x14ac:dyDescent="0.35">
      <c r="A247" s="39" t="s">
        <v>28</v>
      </c>
      <c r="B247" s="38" t="s">
        <v>157</v>
      </c>
      <c r="C247" s="37"/>
      <c r="D247" s="37"/>
      <c r="E247" s="37"/>
      <c r="F247" s="37"/>
      <c r="G247" s="77"/>
    </row>
    <row r="248" spans="1:9" ht="15" x14ac:dyDescent="0.3">
      <c r="A248" s="34" t="s">
        <v>26</v>
      </c>
      <c r="B248" s="34" t="s">
        <v>25</v>
      </c>
      <c r="C248" s="34" t="s">
        <v>24</v>
      </c>
      <c r="D248" s="34" t="s">
        <v>43</v>
      </c>
      <c r="E248" s="34" t="s">
        <v>42</v>
      </c>
      <c r="F248" s="34" t="s">
        <v>22</v>
      </c>
      <c r="G248" s="34" t="s">
        <v>21</v>
      </c>
    </row>
    <row r="249" spans="1:9" ht="15.6" x14ac:dyDescent="0.3">
      <c r="A249" s="33">
        <v>8</v>
      </c>
      <c r="B249" s="32" t="s">
        <v>416</v>
      </c>
      <c r="C249" s="32" t="s">
        <v>156</v>
      </c>
      <c r="D249" s="76"/>
      <c r="E249" s="75">
        <v>360.3</v>
      </c>
      <c r="F249" s="75">
        <f t="shared" ref="F249:F252" si="8">A249*E249</f>
        <v>2882.4</v>
      </c>
      <c r="G249" s="74"/>
      <c r="I249">
        <f>13*8</f>
        <v>104</v>
      </c>
    </row>
    <row r="250" spans="1:9" ht="15.6" x14ac:dyDescent="0.3">
      <c r="A250" s="29"/>
      <c r="B250" s="25"/>
      <c r="C250" s="25"/>
      <c r="D250" s="73"/>
      <c r="E250" s="71"/>
      <c r="F250" s="71">
        <f t="shared" si="8"/>
        <v>0</v>
      </c>
      <c r="G250" s="74"/>
    </row>
    <row r="251" spans="1:9" ht="15.6" x14ac:dyDescent="0.3">
      <c r="A251" s="29"/>
      <c r="B251" s="25"/>
      <c r="C251" s="25"/>
      <c r="D251" s="73"/>
      <c r="E251" s="71"/>
      <c r="F251" s="71">
        <f t="shared" si="8"/>
        <v>0</v>
      </c>
      <c r="G251" s="74"/>
    </row>
    <row r="252" spans="1:9" ht="15.6" x14ac:dyDescent="0.3">
      <c r="A252" s="29"/>
      <c r="B252" s="27"/>
      <c r="C252" s="27"/>
      <c r="D252" s="73"/>
      <c r="E252" s="71"/>
      <c r="F252" s="71">
        <f t="shared" si="8"/>
        <v>0</v>
      </c>
      <c r="G252" s="70"/>
    </row>
    <row r="253" spans="1:9" ht="15.6" x14ac:dyDescent="0.3">
      <c r="A253" s="29"/>
      <c r="B253" s="27"/>
      <c r="C253" s="27"/>
      <c r="D253" s="73"/>
      <c r="E253" s="71"/>
      <c r="F253" s="71">
        <f>A253*E253</f>
        <v>0</v>
      </c>
      <c r="G253" s="70"/>
    </row>
    <row r="254" spans="1:9" ht="15.6" x14ac:dyDescent="0.3">
      <c r="A254" s="29"/>
      <c r="B254" s="27"/>
      <c r="C254" s="27"/>
      <c r="D254" s="73"/>
      <c r="E254" s="71"/>
      <c r="F254" s="71">
        <f>A254*E254</f>
        <v>0</v>
      </c>
      <c r="G254" s="70"/>
    </row>
    <row r="255" spans="1:9" ht="15.6" x14ac:dyDescent="0.3">
      <c r="A255" s="29"/>
      <c r="B255" s="27"/>
      <c r="C255" s="27"/>
      <c r="D255" s="73"/>
      <c r="E255" s="71"/>
      <c r="F255" s="71">
        <f t="shared" ref="F255:F263" si="9">A255*E255</f>
        <v>0</v>
      </c>
      <c r="G255" s="70"/>
    </row>
    <row r="256" spans="1:9" ht="15.6" x14ac:dyDescent="0.3">
      <c r="A256" s="26"/>
      <c r="B256" s="27"/>
      <c r="C256" s="27"/>
      <c r="D256" s="73"/>
      <c r="E256" s="71"/>
      <c r="F256" s="71">
        <f t="shared" si="9"/>
        <v>0</v>
      </c>
      <c r="G256" s="70"/>
    </row>
    <row r="257" spans="1:7" ht="15.6" x14ac:dyDescent="0.3">
      <c r="A257" s="26"/>
      <c r="B257" s="27"/>
      <c r="C257" s="27"/>
      <c r="D257" s="99"/>
      <c r="E257" s="71"/>
      <c r="F257" s="71">
        <f t="shared" si="9"/>
        <v>0</v>
      </c>
      <c r="G257" s="70"/>
    </row>
    <row r="258" spans="1:7" ht="15.6" x14ac:dyDescent="0.3">
      <c r="A258" s="26"/>
      <c r="B258" s="25"/>
      <c r="C258" s="25"/>
      <c r="D258" s="72"/>
      <c r="E258" s="71"/>
      <c r="F258" s="71">
        <f t="shared" si="9"/>
        <v>0</v>
      </c>
      <c r="G258" s="70"/>
    </row>
    <row r="259" spans="1:7" ht="15.6" x14ac:dyDescent="0.3">
      <c r="A259" s="26"/>
      <c r="B259" s="25"/>
      <c r="C259" s="25"/>
      <c r="D259" s="72"/>
      <c r="E259" s="71"/>
      <c r="F259" s="71">
        <f t="shared" si="9"/>
        <v>0</v>
      </c>
      <c r="G259" s="70"/>
    </row>
    <row r="260" spans="1:7" ht="15.6" x14ac:dyDescent="0.3">
      <c r="A260" s="26"/>
      <c r="B260" s="25"/>
      <c r="C260" s="25"/>
      <c r="D260" s="72"/>
      <c r="E260" s="71"/>
      <c r="F260" s="71">
        <f t="shared" si="9"/>
        <v>0</v>
      </c>
      <c r="G260" s="70"/>
    </row>
    <row r="261" spans="1:7" ht="15.6" x14ac:dyDescent="0.3">
      <c r="A261" s="26"/>
      <c r="B261" s="25"/>
      <c r="C261" s="25"/>
      <c r="D261" s="72"/>
      <c r="E261" s="71"/>
      <c r="F261" s="71">
        <f t="shared" si="9"/>
        <v>0</v>
      </c>
      <c r="G261" s="70"/>
    </row>
    <row r="262" spans="1:7" ht="15.6" x14ac:dyDescent="0.3">
      <c r="A262" s="26"/>
      <c r="B262" s="25"/>
      <c r="C262" s="25"/>
      <c r="D262" s="72"/>
      <c r="E262" s="71"/>
      <c r="F262" s="71">
        <f t="shared" si="9"/>
        <v>0</v>
      </c>
      <c r="G262" s="70"/>
    </row>
    <row r="263" spans="1:7" ht="15.6" x14ac:dyDescent="0.3">
      <c r="A263" s="21"/>
      <c r="B263" s="20"/>
      <c r="C263" s="20"/>
      <c r="D263" s="69"/>
      <c r="E263" s="68"/>
      <c r="F263" s="68">
        <f t="shared" si="9"/>
        <v>0</v>
      </c>
      <c r="G263" s="67"/>
    </row>
    <row r="264" spans="1:7" ht="17.399999999999999" x14ac:dyDescent="0.3">
      <c r="A264" s="17"/>
      <c r="B264" s="16"/>
      <c r="C264" s="9" t="s">
        <v>8</v>
      </c>
      <c r="D264" s="9"/>
      <c r="E264" s="66"/>
      <c r="F264" s="105">
        <f>SUM(F249:F262)</f>
        <v>2882.4</v>
      </c>
      <c r="G264" s="64"/>
    </row>
    <row r="265" spans="1:7" ht="17.399999999999999" x14ac:dyDescent="0.3">
      <c r="A265" s="11"/>
      <c r="B265" s="10"/>
      <c r="C265" s="63" t="s">
        <v>7</v>
      </c>
      <c r="D265" s="63"/>
      <c r="E265" s="62"/>
      <c r="F265" s="104">
        <f>F264*0.16</f>
        <v>461.18400000000003</v>
      </c>
      <c r="G265" s="60"/>
    </row>
    <row r="266" spans="1:7" ht="17.399999999999999" x14ac:dyDescent="0.3">
      <c r="A266" s="11"/>
      <c r="B266" s="10"/>
      <c r="C266" s="59" t="s">
        <v>6</v>
      </c>
      <c r="D266" s="59"/>
      <c r="E266" s="58"/>
      <c r="F266" s="103">
        <f>F264+F265</f>
        <v>3343.5840000000003</v>
      </c>
      <c r="G266" s="56"/>
    </row>
    <row r="267" spans="1:7" ht="15.6" x14ac:dyDescent="0.3">
      <c r="A267" s="6" t="s">
        <v>5</v>
      </c>
      <c r="B267" s="5"/>
      <c r="C267" s="5" t="s">
        <v>4</v>
      </c>
      <c r="D267" s="5"/>
      <c r="E267" s="5" t="s">
        <v>3</v>
      </c>
      <c r="F267" s="5"/>
      <c r="G267" s="4"/>
    </row>
    <row r="268" spans="1:7" ht="15.6" x14ac:dyDescent="0.3">
      <c r="A268" s="3" t="s">
        <v>2</v>
      </c>
      <c r="B268" s="2"/>
      <c r="C268" s="2" t="s">
        <v>39</v>
      </c>
      <c r="D268" s="2"/>
      <c r="E268" s="2" t="s">
        <v>70</v>
      </c>
      <c r="F268" s="2"/>
      <c r="G268" s="1"/>
    </row>
    <row r="273" spans="1:7" ht="21" x14ac:dyDescent="0.4">
      <c r="A273" s="55"/>
      <c r="B273" s="326" t="s">
        <v>38</v>
      </c>
      <c r="C273" s="327"/>
      <c r="D273" s="277" t="s">
        <v>37</v>
      </c>
      <c r="E273" s="278"/>
      <c r="F273" s="278"/>
      <c r="G273" s="279"/>
    </row>
    <row r="274" spans="1:7" ht="21" x14ac:dyDescent="0.4">
      <c r="A274" s="53"/>
      <c r="B274" s="328"/>
      <c r="C274" s="329"/>
      <c r="D274" s="280" t="s">
        <v>36</v>
      </c>
      <c r="E274" s="281"/>
      <c r="F274" s="282" t="s">
        <v>415</v>
      </c>
      <c r="G274" s="283"/>
    </row>
    <row r="275" spans="1:7" ht="21" x14ac:dyDescent="0.4">
      <c r="A275" s="53"/>
      <c r="B275" s="328"/>
      <c r="C275" s="329"/>
      <c r="D275" s="135" t="s">
        <v>118</v>
      </c>
      <c r="E275" s="136"/>
      <c r="F275" s="90">
        <v>20</v>
      </c>
      <c r="G275" s="50"/>
    </row>
    <row r="276" spans="1:7" ht="21" x14ac:dyDescent="0.4">
      <c r="A276" s="49"/>
      <c r="B276" s="330"/>
      <c r="C276" s="331"/>
      <c r="D276" s="338" t="s">
        <v>50</v>
      </c>
      <c r="E276" s="339"/>
      <c r="F276" s="340" t="s">
        <v>421</v>
      </c>
      <c r="G276" s="341"/>
    </row>
    <row r="277" spans="1:7" ht="20.399999999999999" x14ac:dyDescent="0.35">
      <c r="A277" s="39" t="s">
        <v>48</v>
      </c>
      <c r="B277" s="43" t="s">
        <v>70</v>
      </c>
      <c r="C277" s="42"/>
      <c r="D277" s="42"/>
      <c r="E277" s="289" t="s">
        <v>116</v>
      </c>
      <c r="F277" s="289"/>
      <c r="G277" s="290"/>
    </row>
    <row r="278" spans="1:7" ht="20.399999999999999" x14ac:dyDescent="0.35">
      <c r="A278" s="39" t="s">
        <v>30</v>
      </c>
      <c r="B278" s="291"/>
      <c r="C278" s="292"/>
      <c r="D278" s="292"/>
      <c r="E278" s="292"/>
      <c r="F278" s="292"/>
      <c r="G278" s="293"/>
    </row>
    <row r="279" spans="1:7" ht="20.399999999999999" x14ac:dyDescent="0.35">
      <c r="A279" s="39" t="s">
        <v>46</v>
      </c>
      <c r="B279" s="291" t="s">
        <v>420</v>
      </c>
      <c r="C279" s="292"/>
      <c r="D279" s="292"/>
      <c r="E279" s="292"/>
      <c r="F279" s="292"/>
      <c r="G279" s="293"/>
    </row>
    <row r="280" spans="1:7" ht="20.399999999999999" x14ac:dyDescent="0.35">
      <c r="A280" s="39" t="s">
        <v>28</v>
      </c>
      <c r="B280" s="291" t="s">
        <v>157</v>
      </c>
      <c r="C280" s="292"/>
      <c r="D280" s="292"/>
      <c r="E280" s="292"/>
      <c r="F280" s="292"/>
      <c r="G280" s="293"/>
    </row>
    <row r="281" spans="1:7" ht="15" x14ac:dyDescent="0.3">
      <c r="A281" s="34" t="s">
        <v>26</v>
      </c>
      <c r="B281" s="34" t="s">
        <v>25</v>
      </c>
      <c r="C281" s="34" t="s">
        <v>24</v>
      </c>
      <c r="D281" s="34" t="s">
        <v>43</v>
      </c>
      <c r="E281" s="34" t="s">
        <v>42</v>
      </c>
      <c r="F281" s="34" t="s">
        <v>22</v>
      </c>
      <c r="G281" s="34" t="s">
        <v>21</v>
      </c>
    </row>
    <row r="282" spans="1:7" ht="42" x14ac:dyDescent="0.3">
      <c r="A282" s="74">
        <v>62</v>
      </c>
      <c r="B282" s="74" t="s">
        <v>10</v>
      </c>
      <c r="C282" s="137" t="s">
        <v>264</v>
      </c>
      <c r="D282" s="94" t="s">
        <v>265</v>
      </c>
      <c r="E282" s="138">
        <v>16.11</v>
      </c>
      <c r="F282" s="138">
        <f>A282*E282</f>
        <v>998.81999999999994</v>
      </c>
      <c r="G282" s="139" t="s">
        <v>266</v>
      </c>
    </row>
    <row r="283" spans="1:7" ht="42" x14ac:dyDescent="0.3">
      <c r="A283" s="74">
        <v>25</v>
      </c>
      <c r="B283" s="74" t="s">
        <v>10</v>
      </c>
      <c r="C283" s="137" t="s">
        <v>267</v>
      </c>
      <c r="D283" s="94" t="s">
        <v>268</v>
      </c>
      <c r="E283" s="138">
        <v>16.11</v>
      </c>
      <c r="F283" s="138">
        <f t="shared" ref="F283:F301" si="10">A283*E283</f>
        <v>402.75</v>
      </c>
      <c r="G283" s="139" t="s">
        <v>266</v>
      </c>
    </row>
    <row r="284" spans="1:7" ht="42" x14ac:dyDescent="0.3">
      <c r="A284" s="74">
        <v>5</v>
      </c>
      <c r="B284" s="74" t="s">
        <v>10</v>
      </c>
      <c r="C284" s="137" t="s">
        <v>269</v>
      </c>
      <c r="D284" s="74" t="s">
        <v>270</v>
      </c>
      <c r="E284" s="138">
        <v>16.11</v>
      </c>
      <c r="F284" s="138">
        <f t="shared" si="10"/>
        <v>80.55</v>
      </c>
      <c r="G284" s="139" t="s">
        <v>266</v>
      </c>
    </row>
    <row r="285" spans="1:7" ht="42" x14ac:dyDescent="0.3">
      <c r="A285" s="74">
        <f>16+13</f>
        <v>29</v>
      </c>
      <c r="B285" s="74" t="s">
        <v>10</v>
      </c>
      <c r="C285" s="137" t="s">
        <v>271</v>
      </c>
      <c r="D285" s="74" t="s">
        <v>272</v>
      </c>
      <c r="E285" s="138">
        <v>15.98</v>
      </c>
      <c r="F285" s="138">
        <f t="shared" si="10"/>
        <v>463.42</v>
      </c>
      <c r="G285" s="139" t="s">
        <v>266</v>
      </c>
    </row>
    <row r="286" spans="1:7" ht="42" x14ac:dyDescent="0.3">
      <c r="A286" s="74">
        <f>26+2</f>
        <v>28</v>
      </c>
      <c r="B286" s="74" t="s">
        <v>10</v>
      </c>
      <c r="C286" s="137" t="s">
        <v>273</v>
      </c>
      <c r="D286" s="94" t="s">
        <v>274</v>
      </c>
      <c r="E286" s="138">
        <v>20.87</v>
      </c>
      <c r="F286" s="138">
        <f t="shared" si="10"/>
        <v>584.36</v>
      </c>
      <c r="G286" s="139" t="s">
        <v>266</v>
      </c>
    </row>
    <row r="287" spans="1:7" ht="42" x14ac:dyDescent="0.3">
      <c r="A287" s="74">
        <v>3</v>
      </c>
      <c r="B287" s="74" t="s">
        <v>10</v>
      </c>
      <c r="C287" s="137" t="s">
        <v>275</v>
      </c>
      <c r="D287" s="74" t="s">
        <v>276</v>
      </c>
      <c r="E287" s="138">
        <v>18.45</v>
      </c>
      <c r="F287" s="138">
        <f t="shared" si="10"/>
        <v>55.349999999999994</v>
      </c>
      <c r="G287" s="139" t="s">
        <v>266</v>
      </c>
    </row>
    <row r="288" spans="1:7" ht="55.2" x14ac:dyDescent="0.3">
      <c r="A288" s="74">
        <v>70</v>
      </c>
      <c r="B288" s="74" t="s">
        <v>10</v>
      </c>
      <c r="C288" s="137" t="s">
        <v>277</v>
      </c>
      <c r="D288" s="74" t="s">
        <v>278</v>
      </c>
      <c r="E288" s="138">
        <v>31.28</v>
      </c>
      <c r="F288" s="138">
        <f t="shared" si="10"/>
        <v>2189.6</v>
      </c>
      <c r="G288" s="139" t="s">
        <v>266</v>
      </c>
    </row>
    <row r="289" spans="1:7" ht="69" x14ac:dyDescent="0.3">
      <c r="A289" s="74">
        <v>21</v>
      </c>
      <c r="B289" s="74" t="s">
        <v>10</v>
      </c>
      <c r="C289" s="137" t="s">
        <v>279</v>
      </c>
      <c r="D289" s="74" t="s">
        <v>280</v>
      </c>
      <c r="E289" s="138">
        <v>203.44</v>
      </c>
      <c r="F289" s="138">
        <f t="shared" si="10"/>
        <v>4272.24</v>
      </c>
      <c r="G289" s="139" t="s">
        <v>266</v>
      </c>
    </row>
    <row r="290" spans="1:7" ht="42" x14ac:dyDescent="0.3">
      <c r="A290" s="74">
        <v>8</v>
      </c>
      <c r="B290" s="74" t="s">
        <v>10</v>
      </c>
      <c r="C290" s="137" t="s">
        <v>281</v>
      </c>
      <c r="D290" s="74" t="s">
        <v>282</v>
      </c>
      <c r="E290" s="138">
        <v>16.98</v>
      </c>
      <c r="F290" s="138">
        <f t="shared" si="10"/>
        <v>135.84</v>
      </c>
      <c r="G290" s="139" t="s">
        <v>266</v>
      </c>
    </row>
    <row r="291" spans="1:7" ht="42" x14ac:dyDescent="0.3">
      <c r="A291" s="74">
        <v>15</v>
      </c>
      <c r="B291" s="74" t="s">
        <v>10</v>
      </c>
      <c r="C291" s="137" t="s">
        <v>283</v>
      </c>
      <c r="D291" s="74" t="s">
        <v>284</v>
      </c>
      <c r="E291" s="138">
        <v>23.37</v>
      </c>
      <c r="F291" s="138">
        <f t="shared" si="10"/>
        <v>350.55</v>
      </c>
      <c r="G291" s="139" t="s">
        <v>266</v>
      </c>
    </row>
    <row r="292" spans="1:7" ht="42" x14ac:dyDescent="0.3">
      <c r="A292" s="74">
        <v>3</v>
      </c>
      <c r="B292" s="74" t="s">
        <v>10</v>
      </c>
      <c r="C292" s="137" t="s">
        <v>285</v>
      </c>
      <c r="D292" s="74" t="s">
        <v>286</v>
      </c>
      <c r="E292" s="138">
        <v>44.11</v>
      </c>
      <c r="F292" s="138">
        <f t="shared" si="10"/>
        <v>132.32999999999998</v>
      </c>
      <c r="G292" s="139" t="s">
        <v>266</v>
      </c>
    </row>
    <row r="293" spans="1:7" ht="42" x14ac:dyDescent="0.3">
      <c r="A293" s="74">
        <v>10</v>
      </c>
      <c r="B293" s="74" t="s">
        <v>10</v>
      </c>
      <c r="C293" s="137" t="s">
        <v>287</v>
      </c>
      <c r="D293" s="74" t="s">
        <v>288</v>
      </c>
      <c r="E293" s="138">
        <v>10.130000000000001</v>
      </c>
      <c r="F293" s="138">
        <f t="shared" si="10"/>
        <v>101.30000000000001</v>
      </c>
      <c r="G293" s="139" t="s">
        <v>266</v>
      </c>
    </row>
    <row r="294" spans="1:7" ht="42" x14ac:dyDescent="0.3">
      <c r="A294" s="74">
        <v>10</v>
      </c>
      <c r="B294" s="74" t="s">
        <v>10</v>
      </c>
      <c r="C294" s="137" t="s">
        <v>289</v>
      </c>
      <c r="D294" s="74" t="s">
        <v>296</v>
      </c>
      <c r="E294" s="138">
        <v>58.48</v>
      </c>
      <c r="F294" s="138">
        <f t="shared" si="10"/>
        <v>584.79999999999995</v>
      </c>
      <c r="G294" s="139" t="s">
        <v>266</v>
      </c>
    </row>
    <row r="295" spans="1:7" ht="42" x14ac:dyDescent="0.3">
      <c r="A295" s="74">
        <v>15</v>
      </c>
      <c r="B295" s="74" t="s">
        <v>10</v>
      </c>
      <c r="C295" s="137" t="s">
        <v>290</v>
      </c>
      <c r="D295" s="74" t="s">
        <v>291</v>
      </c>
      <c r="E295" s="138">
        <v>11.68</v>
      </c>
      <c r="F295" s="138">
        <f t="shared" si="10"/>
        <v>175.2</v>
      </c>
      <c r="G295" s="139" t="s">
        <v>266</v>
      </c>
    </row>
    <row r="296" spans="1:7" ht="42" x14ac:dyDescent="0.3">
      <c r="A296" s="74">
        <v>10</v>
      </c>
      <c r="B296" s="74" t="s">
        <v>10</v>
      </c>
      <c r="C296" s="137" t="s">
        <v>292</v>
      </c>
      <c r="D296" s="74" t="s">
        <v>293</v>
      </c>
      <c r="E296" s="138">
        <v>16.11</v>
      </c>
      <c r="F296" s="138">
        <f t="shared" si="10"/>
        <v>161.1</v>
      </c>
      <c r="G296" s="139" t="s">
        <v>266</v>
      </c>
    </row>
    <row r="297" spans="1:7" ht="41.4" x14ac:dyDescent="0.3">
      <c r="A297" s="74">
        <v>18</v>
      </c>
      <c r="B297" s="74" t="s">
        <v>10</v>
      </c>
      <c r="C297" s="137" t="s">
        <v>294</v>
      </c>
      <c r="D297" s="70"/>
      <c r="E297" s="138">
        <v>60.24</v>
      </c>
      <c r="F297" s="138">
        <f t="shared" si="10"/>
        <v>1084.32</v>
      </c>
      <c r="G297" s="70"/>
    </row>
    <row r="298" spans="1:7" ht="41.4" x14ac:dyDescent="0.3">
      <c r="A298" s="74">
        <v>11</v>
      </c>
      <c r="B298" s="74" t="s">
        <v>10</v>
      </c>
      <c r="C298" s="137" t="s">
        <v>295</v>
      </c>
      <c r="D298" s="70"/>
      <c r="E298" s="138">
        <v>60.24</v>
      </c>
      <c r="F298" s="138">
        <f t="shared" si="10"/>
        <v>662.64</v>
      </c>
      <c r="G298" s="70"/>
    </row>
    <row r="299" spans="1:7" x14ac:dyDescent="0.3">
      <c r="A299" s="74">
        <v>8</v>
      </c>
      <c r="B299" s="74" t="s">
        <v>10</v>
      </c>
      <c r="C299" s="140" t="s">
        <v>424</v>
      </c>
      <c r="D299" s="70"/>
      <c r="E299" s="138">
        <v>44.2</v>
      </c>
      <c r="F299" s="138">
        <f t="shared" si="10"/>
        <v>353.6</v>
      </c>
      <c r="G299" s="70"/>
    </row>
    <row r="300" spans="1:7" x14ac:dyDescent="0.3">
      <c r="A300" s="74">
        <v>8</v>
      </c>
      <c r="B300" s="74" t="s">
        <v>10</v>
      </c>
      <c r="C300" s="74" t="s">
        <v>425</v>
      </c>
      <c r="D300" s="70"/>
      <c r="E300" s="138">
        <v>9.4</v>
      </c>
      <c r="F300" s="138">
        <f t="shared" si="10"/>
        <v>75.2</v>
      </c>
      <c r="G300" s="70"/>
    </row>
    <row r="301" spans="1:7" x14ac:dyDescent="0.3">
      <c r="A301" s="141"/>
      <c r="B301" s="141"/>
      <c r="C301" s="141"/>
      <c r="D301" s="67"/>
      <c r="E301" s="142"/>
      <c r="F301" s="142">
        <f t="shared" si="10"/>
        <v>0</v>
      </c>
      <c r="G301" s="67"/>
    </row>
    <row r="302" spans="1:7" ht="15.6" x14ac:dyDescent="0.3">
      <c r="A302" s="143"/>
      <c r="B302" s="144"/>
      <c r="C302" s="145" t="s">
        <v>8</v>
      </c>
      <c r="D302" s="16"/>
      <c r="E302" s="146"/>
      <c r="F302" s="146">
        <f>SUM(F282:F300)</f>
        <v>12863.97</v>
      </c>
      <c r="G302" s="147"/>
    </row>
    <row r="303" spans="1:7" ht="15.6" x14ac:dyDescent="0.3">
      <c r="A303" s="148"/>
      <c r="B303" s="107"/>
      <c r="C303" s="149" t="s">
        <v>7</v>
      </c>
      <c r="D303" s="10"/>
      <c r="E303" s="150"/>
      <c r="F303" s="150">
        <f>F302*0.16</f>
        <v>2058.2352000000001</v>
      </c>
      <c r="G303" s="112"/>
    </row>
    <row r="304" spans="1:7" ht="15.6" x14ac:dyDescent="0.3">
      <c r="A304" s="148"/>
      <c r="B304" s="107"/>
      <c r="C304" s="151" t="s">
        <v>6</v>
      </c>
      <c r="D304" s="152"/>
      <c r="E304" s="153"/>
      <c r="F304" s="153">
        <f>F302+F303</f>
        <v>14922.2052</v>
      </c>
      <c r="G304" s="154"/>
    </row>
    <row r="305" spans="1:7" x14ac:dyDescent="0.3">
      <c r="A305" s="335" t="s">
        <v>5</v>
      </c>
      <c r="B305" s="336"/>
      <c r="C305" s="155" t="s">
        <v>4</v>
      </c>
      <c r="D305" s="155"/>
      <c r="E305" s="336" t="s">
        <v>3</v>
      </c>
      <c r="F305" s="336"/>
      <c r="G305" s="337"/>
    </row>
    <row r="306" spans="1:7" x14ac:dyDescent="0.3">
      <c r="A306" s="332" t="s">
        <v>2</v>
      </c>
      <c r="B306" s="333"/>
      <c r="C306" s="156" t="s">
        <v>39</v>
      </c>
      <c r="D306" s="156"/>
      <c r="E306" s="333" t="s">
        <v>70</v>
      </c>
      <c r="F306" s="333"/>
      <c r="G306" s="334"/>
    </row>
    <row r="307" spans="1:7" x14ac:dyDescent="0.3">
      <c r="A307" s="107"/>
      <c r="B307" s="107"/>
      <c r="C307" s="107"/>
      <c r="D307" s="107"/>
      <c r="E307" s="107"/>
      <c r="F307" s="107"/>
      <c r="G307" s="107"/>
    </row>
    <row r="311" spans="1:7" ht="24.6" x14ac:dyDescent="0.3">
      <c r="A311" s="271" t="s">
        <v>38</v>
      </c>
      <c r="B311" s="302"/>
      <c r="C311" s="272"/>
      <c r="D311" s="305" t="s">
        <v>37</v>
      </c>
      <c r="E311" s="306"/>
      <c r="F311" s="306"/>
      <c r="G311" s="307"/>
    </row>
    <row r="312" spans="1:7" ht="21" x14ac:dyDescent="0.4">
      <c r="A312" s="273"/>
      <c r="B312" s="303"/>
      <c r="C312" s="274"/>
      <c r="D312" s="51" t="s">
        <v>36</v>
      </c>
      <c r="E312" s="308" t="s">
        <v>415</v>
      </c>
      <c r="F312" s="282"/>
      <c r="G312" s="50"/>
    </row>
    <row r="313" spans="1:7" ht="21" x14ac:dyDescent="0.4">
      <c r="A313" s="273"/>
      <c r="B313" s="303"/>
      <c r="C313" s="274"/>
      <c r="D313" s="51" t="s">
        <v>51</v>
      </c>
      <c r="E313" s="284">
        <v>20</v>
      </c>
      <c r="F313" s="282"/>
      <c r="G313" s="50"/>
    </row>
    <row r="314" spans="1:7" ht="30" x14ac:dyDescent="0.3">
      <c r="A314" s="275"/>
      <c r="B314" s="304"/>
      <c r="C314" s="276"/>
      <c r="D314" s="47" t="s">
        <v>50</v>
      </c>
      <c r="E314" s="287" t="s">
        <v>422</v>
      </c>
      <c r="F314" s="287"/>
      <c r="G314" s="87"/>
    </row>
    <row r="315" spans="1:7" ht="20.399999999999999" x14ac:dyDescent="0.35">
      <c r="A315" s="39" t="s">
        <v>48</v>
      </c>
      <c r="B315" s="43" t="s">
        <v>0</v>
      </c>
      <c r="C315" s="42"/>
      <c r="D315" s="42"/>
      <c r="E315" s="86"/>
      <c r="F315" s="85"/>
      <c r="G315" s="84"/>
    </row>
    <row r="316" spans="1:7" ht="20.399999999999999" x14ac:dyDescent="0.35">
      <c r="A316" s="39" t="s">
        <v>30</v>
      </c>
      <c r="B316" s="38"/>
      <c r="C316" s="37"/>
      <c r="D316" s="37"/>
      <c r="E316" s="83"/>
      <c r="F316" s="82"/>
      <c r="G316" s="81"/>
    </row>
    <row r="317" spans="1:7" ht="20.399999999999999" x14ac:dyDescent="0.35">
      <c r="A317" s="39" t="s">
        <v>46</v>
      </c>
      <c r="B317" s="38" t="s">
        <v>423</v>
      </c>
      <c r="C317" s="37"/>
      <c r="D317" s="37"/>
      <c r="E317" s="80"/>
      <c r="F317" s="79"/>
      <c r="G317" s="78"/>
    </row>
    <row r="318" spans="1:7" ht="20.399999999999999" x14ac:dyDescent="0.35">
      <c r="A318" s="39" t="s">
        <v>28</v>
      </c>
      <c r="B318" s="38" t="s">
        <v>258</v>
      </c>
      <c r="C318" s="37"/>
      <c r="D318" s="37"/>
      <c r="E318" s="37"/>
      <c r="F318" s="37"/>
      <c r="G318" s="77"/>
    </row>
    <row r="319" spans="1:7" ht="15" x14ac:dyDescent="0.3">
      <c r="A319" s="34" t="s">
        <v>26</v>
      </c>
      <c r="B319" s="34" t="s">
        <v>25</v>
      </c>
      <c r="C319" s="34" t="s">
        <v>24</v>
      </c>
      <c r="D319" s="34" t="s">
        <v>43</v>
      </c>
      <c r="E319" s="34" t="s">
        <v>42</v>
      </c>
      <c r="F319" s="34" t="s">
        <v>22</v>
      </c>
      <c r="G319" s="34" t="s">
        <v>21</v>
      </c>
    </row>
    <row r="320" spans="1:7" ht="46.8" x14ac:dyDescent="0.3">
      <c r="A320" s="33">
        <f>19*3</f>
        <v>57</v>
      </c>
      <c r="B320" s="32" t="s">
        <v>53</v>
      </c>
      <c r="C320" s="32" t="s">
        <v>259</v>
      </c>
      <c r="D320" s="76"/>
      <c r="E320" s="75">
        <v>236.68</v>
      </c>
      <c r="F320" s="75">
        <f t="shared" ref="F320:F334" si="11">A320*E320</f>
        <v>13490.76</v>
      </c>
      <c r="G320" s="74"/>
    </row>
    <row r="321" spans="1:7" ht="15.6" x14ac:dyDescent="0.3">
      <c r="A321" s="29"/>
      <c r="B321" s="25"/>
      <c r="C321" s="25"/>
      <c r="D321" s="73"/>
      <c r="E321" s="71"/>
      <c r="F321" s="71">
        <f t="shared" si="11"/>
        <v>0</v>
      </c>
      <c r="G321" s="74"/>
    </row>
    <row r="322" spans="1:7" ht="15.6" x14ac:dyDescent="0.3">
      <c r="A322" s="29"/>
      <c r="B322" s="25"/>
      <c r="C322" s="25"/>
      <c r="D322" s="73"/>
      <c r="E322" s="71"/>
      <c r="F322" s="71">
        <f t="shared" si="11"/>
        <v>0</v>
      </c>
      <c r="G322" s="74"/>
    </row>
    <row r="323" spans="1:7" ht="15.6" x14ac:dyDescent="0.3">
      <c r="A323" s="29"/>
      <c r="B323" s="27"/>
      <c r="C323" s="27"/>
      <c r="D323" s="73"/>
      <c r="E323" s="71"/>
      <c r="F323" s="71">
        <f t="shared" si="11"/>
        <v>0</v>
      </c>
      <c r="G323" s="70"/>
    </row>
    <row r="324" spans="1:7" ht="15.6" x14ac:dyDescent="0.3">
      <c r="A324" s="29"/>
      <c r="B324" s="27"/>
      <c r="C324" s="27"/>
      <c r="D324" s="73"/>
      <c r="E324" s="71"/>
      <c r="F324" s="71">
        <f t="shared" si="11"/>
        <v>0</v>
      </c>
      <c r="G324" s="70"/>
    </row>
    <row r="325" spans="1:7" ht="15.6" x14ac:dyDescent="0.3">
      <c r="A325" s="29"/>
      <c r="B325" s="27"/>
      <c r="C325" s="27"/>
      <c r="D325" s="73"/>
      <c r="E325" s="71"/>
      <c r="F325" s="71">
        <f t="shared" si="11"/>
        <v>0</v>
      </c>
      <c r="G325" s="70"/>
    </row>
    <row r="326" spans="1:7" ht="15.6" x14ac:dyDescent="0.3">
      <c r="A326" s="29"/>
      <c r="B326" s="27"/>
      <c r="C326" s="27"/>
      <c r="D326" s="73"/>
      <c r="E326" s="71"/>
      <c r="F326" s="71">
        <f t="shared" si="11"/>
        <v>0</v>
      </c>
      <c r="G326" s="70"/>
    </row>
    <row r="327" spans="1:7" ht="15.6" x14ac:dyDescent="0.3">
      <c r="A327" s="26"/>
      <c r="B327" s="27"/>
      <c r="C327" s="27"/>
      <c r="D327" s="73"/>
      <c r="E327" s="71"/>
      <c r="F327" s="71">
        <f t="shared" si="11"/>
        <v>0</v>
      </c>
      <c r="G327" s="70"/>
    </row>
    <row r="328" spans="1:7" ht="15.6" x14ac:dyDescent="0.3">
      <c r="A328" s="26"/>
      <c r="B328" s="27"/>
      <c r="C328" s="27"/>
      <c r="D328" s="73"/>
      <c r="E328" s="71"/>
      <c r="F328" s="71">
        <f t="shared" si="11"/>
        <v>0</v>
      </c>
      <c r="G328" s="70"/>
    </row>
    <row r="329" spans="1:7" ht="15.6" x14ac:dyDescent="0.3">
      <c r="A329" s="26"/>
      <c r="B329" s="25"/>
      <c r="C329" s="27"/>
      <c r="D329" s="73"/>
      <c r="E329" s="71"/>
      <c r="F329" s="71">
        <f t="shared" si="11"/>
        <v>0</v>
      </c>
      <c r="G329" s="70"/>
    </row>
    <row r="330" spans="1:7" ht="15.6" x14ac:dyDescent="0.3">
      <c r="A330" s="26"/>
      <c r="B330" s="25"/>
      <c r="C330" s="25"/>
      <c r="D330" s="72"/>
      <c r="E330" s="71"/>
      <c r="F330" s="71">
        <f t="shared" si="11"/>
        <v>0</v>
      </c>
      <c r="G330" s="70"/>
    </row>
    <row r="331" spans="1:7" ht="15.6" x14ac:dyDescent="0.3">
      <c r="A331" s="26"/>
      <c r="B331" s="25"/>
      <c r="C331" s="25"/>
      <c r="D331" s="72"/>
      <c r="E331" s="71"/>
      <c r="F331" s="71">
        <f t="shared" si="11"/>
        <v>0</v>
      </c>
      <c r="G331" s="70"/>
    </row>
    <row r="332" spans="1:7" ht="15.6" x14ac:dyDescent="0.3">
      <c r="A332" s="26"/>
      <c r="B332" s="25"/>
      <c r="C332" s="25"/>
      <c r="D332" s="72"/>
      <c r="E332" s="71"/>
      <c r="F332" s="71">
        <f t="shared" si="11"/>
        <v>0</v>
      </c>
      <c r="G332" s="70"/>
    </row>
    <row r="333" spans="1:7" ht="15.6" x14ac:dyDescent="0.3">
      <c r="A333" s="26"/>
      <c r="B333" s="25"/>
      <c r="C333" s="25"/>
      <c r="D333" s="72"/>
      <c r="E333" s="71"/>
      <c r="F333" s="71">
        <f t="shared" si="11"/>
        <v>0</v>
      </c>
      <c r="G333" s="70"/>
    </row>
    <row r="334" spans="1:7" ht="15.6" x14ac:dyDescent="0.3">
      <c r="A334" s="21"/>
      <c r="B334" s="20"/>
      <c r="C334" s="20"/>
      <c r="D334" s="69"/>
      <c r="E334" s="68"/>
      <c r="F334" s="68">
        <f t="shared" si="11"/>
        <v>0</v>
      </c>
      <c r="G334" s="67"/>
    </row>
    <row r="335" spans="1:7" ht="17.399999999999999" x14ac:dyDescent="0.3">
      <c r="A335" s="17"/>
      <c r="B335" s="16"/>
      <c r="C335" s="9" t="s">
        <v>8</v>
      </c>
      <c r="D335" s="9"/>
      <c r="E335" s="66"/>
      <c r="F335" s="65">
        <f>SUM(F320:F333)</f>
        <v>13490.76</v>
      </c>
      <c r="G335" s="64"/>
    </row>
    <row r="336" spans="1:7" ht="17.399999999999999" x14ac:dyDescent="0.3">
      <c r="A336" s="11"/>
      <c r="B336" s="10"/>
      <c r="C336" s="63" t="s">
        <v>7</v>
      </c>
      <c r="D336" s="63"/>
      <c r="E336" s="62"/>
      <c r="F336" s="61">
        <f>F335*0.16</f>
        <v>2158.5216</v>
      </c>
      <c r="G336" s="60"/>
    </row>
    <row r="337" spans="1:7" ht="17.399999999999999" x14ac:dyDescent="0.3">
      <c r="A337" s="11"/>
      <c r="B337" s="10"/>
      <c r="C337" s="59" t="s">
        <v>6</v>
      </c>
      <c r="D337" s="59"/>
      <c r="E337" s="58"/>
      <c r="F337" s="57">
        <f>F335+F336</f>
        <v>15649.2816</v>
      </c>
      <c r="G337" s="56"/>
    </row>
    <row r="338" spans="1:7" ht="15.6" x14ac:dyDescent="0.3">
      <c r="A338" s="6" t="s">
        <v>5</v>
      </c>
      <c r="B338" s="5"/>
      <c r="C338" s="5" t="s">
        <v>4</v>
      </c>
      <c r="D338" s="5"/>
      <c r="E338" s="5" t="s">
        <v>3</v>
      </c>
      <c r="F338" s="5"/>
      <c r="G338" s="4"/>
    </row>
    <row r="339" spans="1:7" ht="15.6" x14ac:dyDescent="0.3">
      <c r="A339" s="3" t="s">
        <v>2</v>
      </c>
      <c r="B339" s="2"/>
      <c r="C339" s="2" t="s">
        <v>39</v>
      </c>
      <c r="D339" s="2"/>
      <c r="E339" s="2" t="s">
        <v>0</v>
      </c>
      <c r="F339" s="2"/>
      <c r="G339" s="1"/>
    </row>
    <row r="343" spans="1:7" ht="24.6" x14ac:dyDescent="0.3">
      <c r="A343" s="271" t="s">
        <v>38</v>
      </c>
      <c r="B343" s="302"/>
      <c r="C343" s="272"/>
      <c r="D343" s="305" t="s">
        <v>37</v>
      </c>
      <c r="E343" s="306"/>
      <c r="F343" s="306"/>
      <c r="G343" s="307"/>
    </row>
    <row r="344" spans="1:7" ht="21" x14ac:dyDescent="0.4">
      <c r="A344" s="273"/>
      <c r="B344" s="303"/>
      <c r="C344" s="274"/>
      <c r="D344" s="51" t="s">
        <v>36</v>
      </c>
      <c r="E344" s="308" t="s">
        <v>415</v>
      </c>
      <c r="F344" s="282"/>
      <c r="G344" s="50"/>
    </row>
    <row r="345" spans="1:7" ht="21" x14ac:dyDescent="0.4">
      <c r="A345" s="273"/>
      <c r="B345" s="303"/>
      <c r="C345" s="274"/>
      <c r="D345" s="51" t="s">
        <v>51</v>
      </c>
      <c r="E345" s="284">
        <v>20</v>
      </c>
      <c r="F345" s="282"/>
      <c r="G345" s="50"/>
    </row>
    <row r="346" spans="1:7" ht="30" x14ac:dyDescent="0.3">
      <c r="A346" s="275"/>
      <c r="B346" s="304"/>
      <c r="C346" s="276"/>
      <c r="D346" s="47" t="s">
        <v>50</v>
      </c>
      <c r="E346" s="287" t="s">
        <v>428</v>
      </c>
      <c r="F346" s="287"/>
      <c r="G346" s="87"/>
    </row>
    <row r="347" spans="1:7" ht="20.399999999999999" x14ac:dyDescent="0.35">
      <c r="A347" s="39" t="s">
        <v>48</v>
      </c>
      <c r="B347" s="43" t="s">
        <v>47</v>
      </c>
      <c r="C347" s="42"/>
      <c r="D347" s="42"/>
      <c r="E347" s="86"/>
      <c r="F347" s="85"/>
      <c r="G347" s="84"/>
    </row>
    <row r="348" spans="1:7" ht="20.399999999999999" x14ac:dyDescent="0.35">
      <c r="A348" s="39" t="s">
        <v>30</v>
      </c>
      <c r="B348" s="38"/>
      <c r="C348" s="37"/>
      <c r="D348" s="37"/>
      <c r="E348" s="83"/>
      <c r="F348" s="82"/>
      <c r="G348" s="81"/>
    </row>
    <row r="349" spans="1:7" ht="20.399999999999999" x14ac:dyDescent="0.35">
      <c r="A349" s="39" t="s">
        <v>46</v>
      </c>
      <c r="B349" s="38" t="s">
        <v>426</v>
      </c>
      <c r="C349" s="37"/>
      <c r="D349" s="37"/>
      <c r="E349" s="80"/>
      <c r="F349" s="79"/>
      <c r="G349" s="78"/>
    </row>
    <row r="350" spans="1:7" ht="20.399999999999999" x14ac:dyDescent="0.35">
      <c r="A350" s="39" t="s">
        <v>28</v>
      </c>
      <c r="B350" s="38" t="s">
        <v>44</v>
      </c>
      <c r="C350" s="37"/>
      <c r="D350" s="37"/>
      <c r="E350" s="37"/>
      <c r="F350" s="37"/>
      <c r="G350" s="77"/>
    </row>
    <row r="351" spans="1:7" ht="15" x14ac:dyDescent="0.3">
      <c r="A351" s="34" t="s">
        <v>26</v>
      </c>
      <c r="B351" s="34" t="s">
        <v>25</v>
      </c>
      <c r="C351" s="34" t="s">
        <v>24</v>
      </c>
      <c r="D351" s="34" t="s">
        <v>43</v>
      </c>
      <c r="E351" s="34" t="s">
        <v>42</v>
      </c>
      <c r="F351" s="34" t="s">
        <v>22</v>
      </c>
      <c r="G351" s="34" t="s">
        <v>21</v>
      </c>
    </row>
    <row r="352" spans="1:7" ht="15.6" x14ac:dyDescent="0.3">
      <c r="A352" s="33">
        <v>3</v>
      </c>
      <c r="B352" s="32" t="s">
        <v>10</v>
      </c>
      <c r="C352" s="32" t="s">
        <v>427</v>
      </c>
      <c r="D352" s="76"/>
      <c r="E352" s="178">
        <v>4036</v>
      </c>
      <c r="F352" s="178">
        <f t="shared" ref="F352:F366" si="12">A352*E352</f>
        <v>12108</v>
      </c>
      <c r="G352" s="74"/>
    </row>
    <row r="353" spans="1:7" ht="15.6" x14ac:dyDescent="0.3">
      <c r="A353" s="29"/>
      <c r="B353" s="25"/>
      <c r="C353" s="25"/>
      <c r="D353" s="73"/>
      <c r="E353" s="179"/>
      <c r="F353" s="179">
        <f t="shared" si="12"/>
        <v>0</v>
      </c>
      <c r="G353" s="74"/>
    </row>
    <row r="354" spans="1:7" ht="15.6" x14ac:dyDescent="0.3">
      <c r="A354" s="29"/>
      <c r="B354" s="25"/>
      <c r="C354" s="25"/>
      <c r="D354" s="73"/>
      <c r="E354" s="179"/>
      <c r="F354" s="179">
        <f t="shared" si="12"/>
        <v>0</v>
      </c>
      <c r="G354" s="74"/>
    </row>
    <row r="355" spans="1:7" ht="15.6" x14ac:dyDescent="0.3">
      <c r="A355" s="29"/>
      <c r="B355" s="27"/>
      <c r="C355" s="27"/>
      <c r="D355" s="73"/>
      <c r="E355" s="179"/>
      <c r="F355" s="179">
        <f t="shared" si="12"/>
        <v>0</v>
      </c>
      <c r="G355" s="70"/>
    </row>
    <row r="356" spans="1:7" ht="15.6" x14ac:dyDescent="0.3">
      <c r="A356" s="29"/>
      <c r="B356" s="27"/>
      <c r="C356" s="27"/>
      <c r="D356" s="73"/>
      <c r="E356" s="179"/>
      <c r="F356" s="179">
        <f t="shared" si="12"/>
        <v>0</v>
      </c>
      <c r="G356" s="70"/>
    </row>
    <row r="357" spans="1:7" ht="15.6" x14ac:dyDescent="0.3">
      <c r="A357" s="29"/>
      <c r="B357" s="27"/>
      <c r="C357" s="27"/>
      <c r="D357" s="73"/>
      <c r="E357" s="179"/>
      <c r="F357" s="179">
        <f t="shared" si="12"/>
        <v>0</v>
      </c>
      <c r="G357" s="70"/>
    </row>
    <row r="358" spans="1:7" ht="15.6" x14ac:dyDescent="0.3">
      <c r="A358" s="29"/>
      <c r="B358" s="27"/>
      <c r="C358" s="27"/>
      <c r="D358" s="73"/>
      <c r="E358" s="179"/>
      <c r="F358" s="179">
        <f t="shared" si="12"/>
        <v>0</v>
      </c>
      <c r="G358" s="70"/>
    </row>
    <row r="359" spans="1:7" ht="15.6" x14ac:dyDescent="0.3">
      <c r="A359" s="26"/>
      <c r="B359" s="27"/>
      <c r="C359" s="27"/>
      <c r="D359" s="73"/>
      <c r="E359" s="179"/>
      <c r="F359" s="179">
        <f t="shared" si="12"/>
        <v>0</v>
      </c>
      <c r="G359" s="70"/>
    </row>
    <row r="360" spans="1:7" ht="15.6" x14ac:dyDescent="0.3">
      <c r="A360" s="26"/>
      <c r="B360" s="27"/>
      <c r="C360" s="27"/>
      <c r="D360" s="73"/>
      <c r="E360" s="179"/>
      <c r="F360" s="179">
        <f t="shared" si="12"/>
        <v>0</v>
      </c>
      <c r="G360" s="70"/>
    </row>
    <row r="361" spans="1:7" ht="15.6" x14ac:dyDescent="0.3">
      <c r="A361" s="26"/>
      <c r="B361" s="25"/>
      <c r="C361" s="27"/>
      <c r="D361" s="73"/>
      <c r="E361" s="179"/>
      <c r="F361" s="179">
        <f t="shared" si="12"/>
        <v>0</v>
      </c>
      <c r="G361" s="70"/>
    </row>
    <row r="362" spans="1:7" ht="15.6" x14ac:dyDescent="0.3">
      <c r="A362" s="26"/>
      <c r="B362" s="25"/>
      <c r="C362" s="25"/>
      <c r="D362" s="72"/>
      <c r="E362" s="179"/>
      <c r="F362" s="179">
        <f t="shared" si="12"/>
        <v>0</v>
      </c>
      <c r="G362" s="70"/>
    </row>
    <row r="363" spans="1:7" ht="15.6" x14ac:dyDescent="0.3">
      <c r="A363" s="26"/>
      <c r="B363" s="25"/>
      <c r="C363" s="25"/>
      <c r="D363" s="72"/>
      <c r="E363" s="179"/>
      <c r="F363" s="179">
        <f t="shared" si="12"/>
        <v>0</v>
      </c>
      <c r="G363" s="70"/>
    </row>
    <row r="364" spans="1:7" ht="15.6" x14ac:dyDescent="0.3">
      <c r="A364" s="26"/>
      <c r="B364" s="25"/>
      <c r="C364" s="25"/>
      <c r="D364" s="72"/>
      <c r="E364" s="179"/>
      <c r="F364" s="179">
        <f t="shared" si="12"/>
        <v>0</v>
      </c>
      <c r="G364" s="70"/>
    </row>
    <row r="365" spans="1:7" ht="15.6" x14ac:dyDescent="0.3">
      <c r="A365" s="26"/>
      <c r="B365" s="25"/>
      <c r="C365" s="25"/>
      <c r="D365" s="72"/>
      <c r="E365" s="179"/>
      <c r="F365" s="179">
        <f t="shared" si="12"/>
        <v>0</v>
      </c>
      <c r="G365" s="70"/>
    </row>
    <row r="366" spans="1:7" ht="15.6" x14ac:dyDescent="0.3">
      <c r="A366" s="21"/>
      <c r="B366" s="20"/>
      <c r="C366" s="20"/>
      <c r="D366" s="69"/>
      <c r="E366" s="180"/>
      <c r="F366" s="180">
        <f t="shared" si="12"/>
        <v>0</v>
      </c>
      <c r="G366" s="67"/>
    </row>
    <row r="367" spans="1:7" ht="17.399999999999999" x14ac:dyDescent="0.3">
      <c r="A367" s="17"/>
      <c r="B367" s="16"/>
      <c r="C367" s="9" t="s">
        <v>8</v>
      </c>
      <c r="D367" s="9"/>
      <c r="E367" s="181"/>
      <c r="F367" s="182">
        <f>SUM(F352:F365)</f>
        <v>12108</v>
      </c>
      <c r="G367" s="64"/>
    </row>
    <row r="368" spans="1:7" ht="17.399999999999999" x14ac:dyDescent="0.3">
      <c r="A368" s="11"/>
      <c r="B368" s="10"/>
      <c r="C368" s="63" t="s">
        <v>7</v>
      </c>
      <c r="D368" s="63"/>
      <c r="E368" s="183"/>
      <c r="F368" s="184">
        <f>F367*0.16</f>
        <v>1937.28</v>
      </c>
      <c r="G368" s="60"/>
    </row>
    <row r="369" spans="1:7" ht="17.399999999999999" x14ac:dyDescent="0.3">
      <c r="A369" s="11"/>
      <c r="B369" s="10"/>
      <c r="C369" s="59" t="s">
        <v>6</v>
      </c>
      <c r="D369" s="59"/>
      <c r="E369" s="185"/>
      <c r="F369" s="186">
        <f>F367+F368</f>
        <v>14045.28</v>
      </c>
      <c r="G369" s="56"/>
    </row>
    <row r="370" spans="1:7" ht="15.6" x14ac:dyDescent="0.3">
      <c r="A370" s="6" t="s">
        <v>5</v>
      </c>
      <c r="B370" s="5"/>
      <c r="C370" s="5" t="s">
        <v>4</v>
      </c>
      <c r="D370" s="5"/>
      <c r="E370" s="5" t="s">
        <v>3</v>
      </c>
      <c r="F370" s="5"/>
      <c r="G370" s="4"/>
    </row>
    <row r="371" spans="1:7" ht="15.6" x14ac:dyDescent="0.3">
      <c r="A371" s="3" t="s">
        <v>408</v>
      </c>
      <c r="B371" s="2"/>
      <c r="C371" s="2" t="s">
        <v>39</v>
      </c>
      <c r="D371" s="2"/>
      <c r="E371" s="2" t="s">
        <v>0</v>
      </c>
      <c r="F371" s="2"/>
      <c r="G371" s="1"/>
    </row>
    <row r="375" spans="1:7" ht="24.6" x14ac:dyDescent="0.3">
      <c r="A375" s="271" t="s">
        <v>38</v>
      </c>
      <c r="B375" s="302"/>
      <c r="C375" s="272"/>
      <c r="D375" s="305" t="s">
        <v>37</v>
      </c>
      <c r="E375" s="306"/>
      <c r="F375" s="306"/>
      <c r="G375" s="307"/>
    </row>
    <row r="376" spans="1:7" ht="21" x14ac:dyDescent="0.4">
      <c r="A376" s="273"/>
      <c r="B376" s="303"/>
      <c r="C376" s="274"/>
      <c r="D376" s="51" t="s">
        <v>36</v>
      </c>
      <c r="E376" s="308" t="s">
        <v>468</v>
      </c>
      <c r="F376" s="282"/>
      <c r="G376" s="50"/>
    </row>
    <row r="377" spans="1:7" ht="21" x14ac:dyDescent="0.4">
      <c r="A377" s="273"/>
      <c r="B377" s="303"/>
      <c r="C377" s="274"/>
      <c r="D377" s="51" t="s">
        <v>51</v>
      </c>
      <c r="E377" s="284">
        <v>20</v>
      </c>
      <c r="F377" s="282"/>
      <c r="G377" s="50"/>
    </row>
    <row r="378" spans="1:7" ht="30" x14ac:dyDescent="0.3">
      <c r="A378" s="275"/>
      <c r="B378" s="304"/>
      <c r="C378" s="276"/>
      <c r="D378" s="47" t="s">
        <v>50</v>
      </c>
      <c r="E378" s="287" t="s">
        <v>469</v>
      </c>
      <c r="F378" s="287"/>
      <c r="G378" s="87"/>
    </row>
    <row r="379" spans="1:7" ht="20.399999999999999" x14ac:dyDescent="0.35">
      <c r="A379" s="39" t="s">
        <v>48</v>
      </c>
      <c r="B379" s="43" t="s">
        <v>47</v>
      </c>
      <c r="C379" s="42"/>
      <c r="D379" s="42"/>
      <c r="E379" s="86"/>
      <c r="F379" s="85"/>
      <c r="G379" s="84"/>
    </row>
    <row r="380" spans="1:7" ht="20.399999999999999" x14ac:dyDescent="0.35">
      <c r="A380" s="39" t="s">
        <v>30</v>
      </c>
      <c r="B380" s="38" t="s">
        <v>466</v>
      </c>
      <c r="C380" s="37"/>
      <c r="D380" s="37"/>
      <c r="E380" s="83"/>
      <c r="F380" s="82"/>
      <c r="G380" s="81"/>
    </row>
    <row r="381" spans="1:7" ht="20.399999999999999" x14ac:dyDescent="0.35">
      <c r="A381" s="39" t="s">
        <v>46</v>
      </c>
      <c r="B381" s="38" t="s">
        <v>158</v>
      </c>
      <c r="C381" s="37"/>
      <c r="D381" s="37"/>
      <c r="E381" s="80"/>
      <c r="F381" s="79"/>
      <c r="G381" s="78"/>
    </row>
    <row r="382" spans="1:7" ht="20.399999999999999" x14ac:dyDescent="0.35">
      <c r="A382" s="39" t="s">
        <v>28</v>
      </c>
      <c r="B382" s="38" t="s">
        <v>198</v>
      </c>
      <c r="C382" s="37"/>
      <c r="D382" s="37"/>
      <c r="E382" s="37"/>
      <c r="F382" s="37"/>
      <c r="G382" s="77"/>
    </row>
    <row r="383" spans="1:7" ht="15" x14ac:dyDescent="0.3">
      <c r="A383" s="34" t="s">
        <v>26</v>
      </c>
      <c r="B383" s="34" t="s">
        <v>25</v>
      </c>
      <c r="C383" s="34" t="s">
        <v>24</v>
      </c>
      <c r="D383" s="34" t="s">
        <v>43</v>
      </c>
      <c r="E383" s="34" t="s">
        <v>42</v>
      </c>
      <c r="F383" s="34" t="s">
        <v>22</v>
      </c>
      <c r="G383" s="34" t="s">
        <v>21</v>
      </c>
    </row>
    <row r="384" spans="1:7" ht="15.6" x14ac:dyDescent="0.3">
      <c r="A384" s="33">
        <v>6</v>
      </c>
      <c r="B384" s="32" t="s">
        <v>177</v>
      </c>
      <c r="C384" s="32" t="s">
        <v>450</v>
      </c>
      <c r="D384" s="76" t="s">
        <v>461</v>
      </c>
      <c r="E384" s="178">
        <v>378</v>
      </c>
      <c r="F384" s="178">
        <f t="shared" ref="F384:F398" si="13">A384*E384</f>
        <v>2268</v>
      </c>
      <c r="G384" s="74"/>
    </row>
    <row r="385" spans="1:7" ht="15.6" x14ac:dyDescent="0.3">
      <c r="A385" s="29">
        <v>9</v>
      </c>
      <c r="B385" s="25" t="s">
        <v>177</v>
      </c>
      <c r="C385" s="25" t="s">
        <v>451</v>
      </c>
      <c r="D385" s="73" t="s">
        <v>461</v>
      </c>
      <c r="E385" s="179">
        <v>509</v>
      </c>
      <c r="F385" s="179">
        <f t="shared" si="13"/>
        <v>4581</v>
      </c>
      <c r="G385" s="74"/>
    </row>
    <row r="386" spans="1:7" ht="15.6" x14ac:dyDescent="0.3">
      <c r="A386" s="29">
        <v>15</v>
      </c>
      <c r="B386" s="25" t="s">
        <v>10</v>
      </c>
      <c r="C386" s="25" t="s">
        <v>452</v>
      </c>
      <c r="D386" s="73" t="s">
        <v>461</v>
      </c>
      <c r="E386" s="179">
        <v>8.64</v>
      </c>
      <c r="F386" s="179">
        <f t="shared" si="13"/>
        <v>129.60000000000002</v>
      </c>
      <c r="G386" s="74"/>
    </row>
    <row r="387" spans="1:7" ht="15.6" x14ac:dyDescent="0.3">
      <c r="A387" s="29">
        <v>25</v>
      </c>
      <c r="B387" s="27" t="s">
        <v>10</v>
      </c>
      <c r="C387" s="27" t="s">
        <v>453</v>
      </c>
      <c r="D387" s="73" t="s">
        <v>461</v>
      </c>
      <c r="E387" s="179">
        <v>5.59</v>
      </c>
      <c r="F387" s="179">
        <f t="shared" si="13"/>
        <v>139.75</v>
      </c>
      <c r="G387" s="70"/>
    </row>
    <row r="388" spans="1:7" ht="15.6" x14ac:dyDescent="0.3">
      <c r="A388" s="29">
        <v>10</v>
      </c>
      <c r="B388" s="27" t="s">
        <v>10</v>
      </c>
      <c r="C388" s="27" t="s">
        <v>454</v>
      </c>
      <c r="D388" s="73" t="s">
        <v>461</v>
      </c>
      <c r="E388" s="179">
        <v>10.130000000000001</v>
      </c>
      <c r="F388" s="179">
        <f t="shared" si="13"/>
        <v>101.30000000000001</v>
      </c>
      <c r="G388" s="70"/>
    </row>
    <row r="389" spans="1:7" ht="15.6" x14ac:dyDescent="0.3">
      <c r="A389" s="29">
        <v>10</v>
      </c>
      <c r="B389" s="27" t="s">
        <v>10</v>
      </c>
      <c r="C389" s="27" t="s">
        <v>455</v>
      </c>
      <c r="D389" s="73" t="s">
        <v>461</v>
      </c>
      <c r="E389" s="179">
        <v>9.19</v>
      </c>
      <c r="F389" s="179">
        <f t="shared" si="13"/>
        <v>91.899999999999991</v>
      </c>
      <c r="G389" s="70"/>
    </row>
    <row r="390" spans="1:7" ht="31.2" x14ac:dyDescent="0.3">
      <c r="A390" s="29">
        <v>15</v>
      </c>
      <c r="B390" s="27" t="s">
        <v>10</v>
      </c>
      <c r="C390" s="27" t="s">
        <v>456</v>
      </c>
      <c r="D390" s="73" t="s">
        <v>461</v>
      </c>
      <c r="E390" s="179">
        <v>0.82</v>
      </c>
      <c r="F390" s="179">
        <f t="shared" si="13"/>
        <v>12.299999999999999</v>
      </c>
      <c r="G390" s="70"/>
    </row>
    <row r="391" spans="1:7" ht="15.6" x14ac:dyDescent="0.3">
      <c r="A391" s="26">
        <v>10</v>
      </c>
      <c r="B391" s="27" t="s">
        <v>10</v>
      </c>
      <c r="C391" s="27" t="s">
        <v>457</v>
      </c>
      <c r="D391" s="73" t="s">
        <v>461</v>
      </c>
      <c r="E391" s="179">
        <v>7.73</v>
      </c>
      <c r="F391" s="179">
        <f t="shared" si="13"/>
        <v>77.300000000000011</v>
      </c>
      <c r="G391" s="70"/>
    </row>
    <row r="392" spans="1:7" ht="15.6" x14ac:dyDescent="0.3">
      <c r="A392" s="26">
        <v>15</v>
      </c>
      <c r="B392" s="27" t="s">
        <v>10</v>
      </c>
      <c r="C392" s="27" t="s">
        <v>458</v>
      </c>
      <c r="D392" s="73" t="s">
        <v>461</v>
      </c>
      <c r="E392" s="179">
        <v>5.38</v>
      </c>
      <c r="F392" s="179">
        <f t="shared" si="13"/>
        <v>80.7</v>
      </c>
      <c r="G392" s="70"/>
    </row>
    <row r="393" spans="1:7" ht="15.6" x14ac:dyDescent="0.3">
      <c r="A393" s="26">
        <v>10</v>
      </c>
      <c r="B393" s="25"/>
      <c r="C393" s="27" t="s">
        <v>467</v>
      </c>
      <c r="D393" s="73"/>
      <c r="E393" s="179">
        <v>43.04</v>
      </c>
      <c r="F393" s="179">
        <f t="shared" si="13"/>
        <v>430.4</v>
      </c>
      <c r="G393" s="70"/>
    </row>
    <row r="394" spans="1:7" ht="15.6" x14ac:dyDescent="0.3">
      <c r="A394" s="26">
        <v>3</v>
      </c>
      <c r="B394" s="25"/>
      <c r="C394" s="25" t="s">
        <v>459</v>
      </c>
      <c r="D394" s="72"/>
      <c r="E394" s="179">
        <v>66.459999999999994</v>
      </c>
      <c r="F394" s="179">
        <f t="shared" si="13"/>
        <v>199.38</v>
      </c>
      <c r="G394" s="70"/>
    </row>
    <row r="395" spans="1:7" ht="15.6" x14ac:dyDescent="0.3">
      <c r="A395" s="26">
        <v>6</v>
      </c>
      <c r="B395" s="25" t="s">
        <v>10</v>
      </c>
      <c r="C395" s="25" t="s">
        <v>460</v>
      </c>
      <c r="D395" s="72"/>
      <c r="E395" s="179">
        <v>155.57</v>
      </c>
      <c r="F395" s="179">
        <f t="shared" si="13"/>
        <v>933.42</v>
      </c>
      <c r="G395" s="70"/>
    </row>
    <row r="396" spans="1:7" ht="15.6" x14ac:dyDescent="0.3">
      <c r="A396" s="26"/>
      <c r="B396" s="25"/>
      <c r="C396" s="25"/>
      <c r="D396" s="72"/>
      <c r="E396" s="179"/>
      <c r="F396" s="179">
        <f t="shared" si="13"/>
        <v>0</v>
      </c>
      <c r="G396" s="70"/>
    </row>
    <row r="397" spans="1:7" ht="15.6" x14ac:dyDescent="0.3">
      <c r="A397" s="26"/>
      <c r="B397" s="25"/>
      <c r="C397" s="25"/>
      <c r="D397" s="72"/>
      <c r="E397" s="179"/>
      <c r="F397" s="179">
        <f t="shared" si="13"/>
        <v>0</v>
      </c>
      <c r="G397" s="70"/>
    </row>
    <row r="398" spans="1:7" ht="15.6" x14ac:dyDescent="0.3">
      <c r="A398" s="21"/>
      <c r="B398" s="20"/>
      <c r="C398" s="20"/>
      <c r="D398" s="69"/>
      <c r="E398" s="180"/>
      <c r="F398" s="180">
        <f t="shared" si="13"/>
        <v>0</v>
      </c>
      <c r="G398" s="67"/>
    </row>
    <row r="399" spans="1:7" ht="17.399999999999999" x14ac:dyDescent="0.3">
      <c r="A399" s="17"/>
      <c r="B399" s="16"/>
      <c r="C399" s="9" t="s">
        <v>8</v>
      </c>
      <c r="D399" s="9"/>
      <c r="E399" s="181"/>
      <c r="F399" s="182">
        <f>SUM(F384:F397)</f>
        <v>9045.0499999999993</v>
      </c>
      <c r="G399" s="64"/>
    </row>
    <row r="400" spans="1:7" ht="17.399999999999999" x14ac:dyDescent="0.3">
      <c r="A400" s="11"/>
      <c r="B400" s="10"/>
      <c r="C400" s="63" t="s">
        <v>7</v>
      </c>
      <c r="D400" s="63"/>
      <c r="E400" s="183"/>
      <c r="F400" s="184">
        <f>F399*0.16</f>
        <v>1447.2079999999999</v>
      </c>
      <c r="G400" s="60"/>
    </row>
    <row r="401" spans="1:7" ht="17.399999999999999" x14ac:dyDescent="0.3">
      <c r="A401" s="11"/>
      <c r="B401" s="10"/>
      <c r="C401" s="59" t="s">
        <v>6</v>
      </c>
      <c r="D401" s="59"/>
      <c r="E401" s="185"/>
      <c r="F401" s="186">
        <f>F399+F400</f>
        <v>10492.258</v>
      </c>
      <c r="G401" s="56"/>
    </row>
    <row r="402" spans="1:7" ht="15.6" x14ac:dyDescent="0.3">
      <c r="A402" s="6" t="s">
        <v>5</v>
      </c>
      <c r="B402" s="5"/>
      <c r="C402" s="5" t="s">
        <v>4</v>
      </c>
      <c r="D402" s="5"/>
      <c r="E402" s="5" t="s">
        <v>3</v>
      </c>
      <c r="F402" s="5"/>
      <c r="G402" s="4"/>
    </row>
    <row r="403" spans="1:7" ht="15.6" x14ac:dyDescent="0.3">
      <c r="A403" s="3" t="s">
        <v>374</v>
      </c>
      <c r="B403" s="2"/>
      <c r="C403" s="2" t="s">
        <v>39</v>
      </c>
      <c r="D403" s="2"/>
      <c r="E403" s="2" t="s">
        <v>0</v>
      </c>
      <c r="F403" s="2"/>
      <c r="G403" s="1"/>
    </row>
    <row r="406" spans="1:7" ht="24.6" x14ac:dyDescent="0.3">
      <c r="A406" s="271" t="s">
        <v>38</v>
      </c>
      <c r="B406" s="302"/>
      <c r="C406" s="272"/>
      <c r="D406" s="305" t="s">
        <v>37</v>
      </c>
      <c r="E406" s="306"/>
      <c r="F406" s="306"/>
      <c r="G406" s="307"/>
    </row>
    <row r="407" spans="1:7" ht="21" x14ac:dyDescent="0.4">
      <c r="A407" s="273"/>
      <c r="B407" s="303"/>
      <c r="C407" s="274"/>
      <c r="D407" s="51" t="s">
        <v>36</v>
      </c>
      <c r="E407" s="308" t="s">
        <v>415</v>
      </c>
      <c r="F407" s="282"/>
      <c r="G407" s="50"/>
    </row>
    <row r="408" spans="1:7" ht="21" x14ac:dyDescent="0.4">
      <c r="A408" s="273"/>
      <c r="B408" s="303"/>
      <c r="C408" s="274"/>
      <c r="D408" s="51" t="s">
        <v>51</v>
      </c>
      <c r="E408" s="284">
        <v>20</v>
      </c>
      <c r="F408" s="282"/>
      <c r="G408" s="50"/>
    </row>
    <row r="409" spans="1:7" ht="30" x14ac:dyDescent="0.3">
      <c r="A409" s="275"/>
      <c r="B409" s="304"/>
      <c r="C409" s="276"/>
      <c r="D409" s="47" t="s">
        <v>50</v>
      </c>
      <c r="E409" s="287" t="s">
        <v>463</v>
      </c>
      <c r="F409" s="287"/>
      <c r="G409" s="87"/>
    </row>
    <row r="410" spans="1:7" ht="20.399999999999999" x14ac:dyDescent="0.35">
      <c r="A410" s="39" t="s">
        <v>48</v>
      </c>
      <c r="B410" s="43" t="s">
        <v>0</v>
      </c>
      <c r="C410" s="42"/>
      <c r="D410" s="42"/>
      <c r="E410" s="86"/>
      <c r="F410" s="85"/>
      <c r="G410" s="84"/>
    </row>
    <row r="411" spans="1:7" ht="20.399999999999999" x14ac:dyDescent="0.35">
      <c r="A411" s="39" t="s">
        <v>30</v>
      </c>
      <c r="B411" s="38" t="s">
        <v>464</v>
      </c>
      <c r="C411" s="37"/>
      <c r="D411" s="37"/>
      <c r="E411" s="83"/>
      <c r="F411" s="82"/>
      <c r="G411" s="81"/>
    </row>
    <row r="412" spans="1:7" ht="20.399999999999999" x14ac:dyDescent="0.35">
      <c r="A412" s="39" t="s">
        <v>46</v>
      </c>
      <c r="B412" s="38" t="s">
        <v>158</v>
      </c>
      <c r="C412" s="37"/>
      <c r="D412" s="37"/>
      <c r="E412" s="80"/>
      <c r="F412" s="79"/>
      <c r="G412" s="78"/>
    </row>
    <row r="413" spans="1:7" ht="20.399999999999999" x14ac:dyDescent="0.35">
      <c r="A413" s="39" t="s">
        <v>28</v>
      </c>
      <c r="B413" s="38" t="s">
        <v>462</v>
      </c>
      <c r="C413" s="37"/>
      <c r="D413" s="37"/>
      <c r="E413" s="37"/>
      <c r="F413" s="37"/>
      <c r="G413" s="77"/>
    </row>
    <row r="414" spans="1:7" ht="15" x14ac:dyDescent="0.3">
      <c r="A414" s="34" t="s">
        <v>26</v>
      </c>
      <c r="B414" s="34" t="s">
        <v>25</v>
      </c>
      <c r="C414" s="34" t="s">
        <v>24</v>
      </c>
      <c r="D414" s="34" t="s">
        <v>43</v>
      </c>
      <c r="E414" s="34" t="s">
        <v>42</v>
      </c>
      <c r="F414" s="34" t="s">
        <v>22</v>
      </c>
      <c r="G414" s="34" t="s">
        <v>21</v>
      </c>
    </row>
    <row r="415" spans="1:7" ht="15.6" x14ac:dyDescent="0.3">
      <c r="A415" s="33">
        <v>20</v>
      </c>
      <c r="B415" s="32" t="s">
        <v>10</v>
      </c>
      <c r="C415" s="32" t="s">
        <v>377</v>
      </c>
      <c r="D415" s="76"/>
      <c r="E415" s="178">
        <v>120</v>
      </c>
      <c r="F415" s="178">
        <f t="shared" ref="F415:F429" si="14">A415*E415</f>
        <v>2400</v>
      </c>
      <c r="G415" s="74"/>
    </row>
    <row r="416" spans="1:7" ht="15.6" x14ac:dyDescent="0.3">
      <c r="A416" s="29">
        <v>15</v>
      </c>
      <c r="B416" s="25" t="s">
        <v>10</v>
      </c>
      <c r="C416" s="25" t="s">
        <v>71</v>
      </c>
      <c r="D416" s="73"/>
      <c r="E416" s="179">
        <v>787.07</v>
      </c>
      <c r="F416" s="179">
        <f t="shared" si="14"/>
        <v>11806.050000000001</v>
      </c>
      <c r="G416" s="74"/>
    </row>
    <row r="417" spans="1:7" ht="15.6" x14ac:dyDescent="0.3">
      <c r="A417" s="29"/>
      <c r="B417" s="25"/>
      <c r="C417" s="25"/>
      <c r="D417" s="73"/>
      <c r="E417" s="179"/>
      <c r="F417" s="179">
        <f t="shared" si="14"/>
        <v>0</v>
      </c>
      <c r="G417" s="74"/>
    </row>
    <row r="418" spans="1:7" ht="15.6" x14ac:dyDescent="0.3">
      <c r="A418" s="29"/>
      <c r="B418" s="27"/>
      <c r="C418" s="27"/>
      <c r="D418" s="73"/>
      <c r="E418" s="179"/>
      <c r="F418" s="179">
        <f t="shared" si="14"/>
        <v>0</v>
      </c>
      <c r="G418" s="70"/>
    </row>
    <row r="419" spans="1:7" ht="15.6" x14ac:dyDescent="0.3">
      <c r="A419" s="29"/>
      <c r="B419" s="27"/>
      <c r="C419" s="27"/>
      <c r="D419" s="73"/>
      <c r="E419" s="179"/>
      <c r="F419" s="179">
        <f t="shared" si="14"/>
        <v>0</v>
      </c>
      <c r="G419" s="70"/>
    </row>
    <row r="420" spans="1:7" ht="15.6" x14ac:dyDescent="0.3">
      <c r="A420" s="29"/>
      <c r="B420" s="27"/>
      <c r="C420" s="27"/>
      <c r="D420" s="73"/>
      <c r="E420" s="179"/>
      <c r="F420" s="179">
        <f t="shared" si="14"/>
        <v>0</v>
      </c>
      <c r="G420" s="70"/>
    </row>
    <row r="421" spans="1:7" ht="15.6" x14ac:dyDescent="0.3">
      <c r="A421" s="29"/>
      <c r="B421" s="27"/>
      <c r="C421" s="27"/>
      <c r="D421" s="73"/>
      <c r="E421" s="179"/>
      <c r="F421" s="179">
        <f t="shared" si="14"/>
        <v>0</v>
      </c>
      <c r="G421" s="70"/>
    </row>
    <row r="422" spans="1:7" ht="15.6" x14ac:dyDescent="0.3">
      <c r="A422" s="26"/>
      <c r="B422" s="27"/>
      <c r="C422" s="27"/>
      <c r="D422" s="73"/>
      <c r="E422" s="179"/>
      <c r="F422" s="179">
        <f t="shared" si="14"/>
        <v>0</v>
      </c>
      <c r="G422" s="70"/>
    </row>
    <row r="423" spans="1:7" ht="15.6" x14ac:dyDescent="0.3">
      <c r="A423" s="26"/>
      <c r="B423" s="27"/>
      <c r="C423" s="27"/>
      <c r="D423" s="73"/>
      <c r="E423" s="179"/>
      <c r="F423" s="179">
        <f t="shared" si="14"/>
        <v>0</v>
      </c>
      <c r="G423" s="70"/>
    </row>
    <row r="424" spans="1:7" ht="15.6" x14ac:dyDescent="0.3">
      <c r="A424" s="26"/>
      <c r="B424" s="25"/>
      <c r="C424" s="27"/>
      <c r="D424" s="73"/>
      <c r="E424" s="179"/>
      <c r="F424" s="179">
        <f t="shared" si="14"/>
        <v>0</v>
      </c>
      <c r="G424" s="70"/>
    </row>
    <row r="425" spans="1:7" ht="15.6" x14ac:dyDescent="0.3">
      <c r="A425" s="26"/>
      <c r="B425" s="25"/>
      <c r="C425" s="25"/>
      <c r="D425" s="72"/>
      <c r="E425" s="179"/>
      <c r="F425" s="179">
        <f t="shared" si="14"/>
        <v>0</v>
      </c>
      <c r="G425" s="70"/>
    </row>
    <row r="426" spans="1:7" ht="15.6" x14ac:dyDescent="0.3">
      <c r="A426" s="26"/>
      <c r="B426" s="25"/>
      <c r="C426" s="25"/>
      <c r="D426" s="72"/>
      <c r="E426" s="179"/>
      <c r="F426" s="179">
        <f t="shared" si="14"/>
        <v>0</v>
      </c>
      <c r="G426" s="70"/>
    </row>
    <row r="427" spans="1:7" ht="15.6" x14ac:dyDescent="0.3">
      <c r="A427" s="26"/>
      <c r="B427" s="25"/>
      <c r="C427" s="25"/>
      <c r="D427" s="72"/>
      <c r="E427" s="179"/>
      <c r="F427" s="179">
        <f t="shared" si="14"/>
        <v>0</v>
      </c>
      <c r="G427" s="70"/>
    </row>
    <row r="428" spans="1:7" ht="15.6" x14ac:dyDescent="0.3">
      <c r="A428" s="26"/>
      <c r="B428" s="25"/>
      <c r="C428" s="25"/>
      <c r="D428" s="72"/>
      <c r="E428" s="179"/>
      <c r="F428" s="179">
        <f t="shared" si="14"/>
        <v>0</v>
      </c>
      <c r="G428" s="70"/>
    </row>
    <row r="429" spans="1:7" ht="15.6" x14ac:dyDescent="0.3">
      <c r="A429" s="21"/>
      <c r="B429" s="20"/>
      <c r="C429" s="20"/>
      <c r="D429" s="69"/>
      <c r="E429" s="180"/>
      <c r="F429" s="180">
        <f t="shared" si="14"/>
        <v>0</v>
      </c>
      <c r="G429" s="67"/>
    </row>
    <row r="430" spans="1:7" ht="17.399999999999999" x14ac:dyDescent="0.3">
      <c r="A430" s="17"/>
      <c r="B430" s="16"/>
      <c r="C430" s="9" t="s">
        <v>8</v>
      </c>
      <c r="D430" s="9"/>
      <c r="E430" s="181"/>
      <c r="F430" s="182">
        <f>SUM(F415:F428)</f>
        <v>14206.050000000001</v>
      </c>
      <c r="G430" s="64"/>
    </row>
    <row r="431" spans="1:7" ht="17.399999999999999" x14ac:dyDescent="0.3">
      <c r="A431" s="11"/>
      <c r="B431" s="10"/>
      <c r="C431" s="63" t="s">
        <v>7</v>
      </c>
      <c r="D431" s="63"/>
      <c r="E431" s="183"/>
      <c r="F431" s="184">
        <f>F430*0.16</f>
        <v>2272.9680000000003</v>
      </c>
      <c r="G431" s="60"/>
    </row>
    <row r="432" spans="1:7" ht="17.399999999999999" x14ac:dyDescent="0.3">
      <c r="A432" s="11"/>
      <c r="B432" s="10"/>
      <c r="C432" s="59" t="s">
        <v>6</v>
      </c>
      <c r="D432" s="59"/>
      <c r="E432" s="185"/>
      <c r="F432" s="186">
        <f>F430+F431</f>
        <v>16479.018</v>
      </c>
      <c r="G432" s="56"/>
    </row>
    <row r="433" spans="1:7" ht="15.6" x14ac:dyDescent="0.3">
      <c r="A433" s="6" t="s">
        <v>5</v>
      </c>
      <c r="B433" s="5"/>
      <c r="C433" s="5" t="s">
        <v>4</v>
      </c>
      <c r="D433" s="5"/>
      <c r="E433" s="5" t="s">
        <v>3</v>
      </c>
      <c r="F433" s="5"/>
      <c r="G433" s="4"/>
    </row>
    <row r="434" spans="1:7" ht="15.6" x14ac:dyDescent="0.3">
      <c r="A434" s="3" t="s">
        <v>374</v>
      </c>
      <c r="B434" s="2"/>
      <c r="C434" s="2" t="s">
        <v>39</v>
      </c>
      <c r="D434" s="2"/>
      <c r="E434" s="2" t="s">
        <v>0</v>
      </c>
      <c r="F434" s="2"/>
      <c r="G434" s="1"/>
    </row>
    <row r="437" spans="1:7" ht="24.6" x14ac:dyDescent="0.3">
      <c r="A437" s="271" t="s">
        <v>38</v>
      </c>
      <c r="B437" s="302"/>
      <c r="C437" s="272"/>
      <c r="D437" s="305" t="s">
        <v>37</v>
      </c>
      <c r="E437" s="306"/>
      <c r="F437" s="306"/>
      <c r="G437" s="307"/>
    </row>
    <row r="438" spans="1:7" ht="21" x14ac:dyDescent="0.4">
      <c r="A438" s="273"/>
      <c r="B438" s="303"/>
      <c r="C438" s="274"/>
      <c r="D438" s="51" t="s">
        <v>36</v>
      </c>
      <c r="E438" s="308" t="s">
        <v>80</v>
      </c>
      <c r="F438" s="282"/>
      <c r="G438" s="50"/>
    </row>
    <row r="439" spans="1:7" ht="21" x14ac:dyDescent="0.4">
      <c r="A439" s="273"/>
      <c r="B439" s="303"/>
      <c r="C439" s="274"/>
      <c r="D439" s="51" t="s">
        <v>51</v>
      </c>
      <c r="E439" s="284">
        <v>19</v>
      </c>
      <c r="F439" s="282"/>
      <c r="G439" s="50"/>
    </row>
    <row r="440" spans="1:7" ht="30" x14ac:dyDescent="0.3">
      <c r="A440" s="275"/>
      <c r="B440" s="304"/>
      <c r="C440" s="276"/>
      <c r="D440" s="47" t="s">
        <v>50</v>
      </c>
      <c r="E440" s="287" t="s">
        <v>79</v>
      </c>
      <c r="F440" s="287"/>
      <c r="G440" s="87"/>
    </row>
    <row r="441" spans="1:7" ht="20.399999999999999" x14ac:dyDescent="0.35">
      <c r="A441" s="39" t="s">
        <v>48</v>
      </c>
      <c r="B441" s="43" t="s">
        <v>47</v>
      </c>
      <c r="C441" s="42"/>
      <c r="D441" s="42"/>
      <c r="E441" s="309"/>
      <c r="F441" s="310"/>
      <c r="G441" s="311"/>
    </row>
    <row r="442" spans="1:7" ht="20.399999999999999" x14ac:dyDescent="0.35">
      <c r="A442" s="39" t="s">
        <v>30</v>
      </c>
      <c r="B442" s="38"/>
      <c r="C442" s="37"/>
      <c r="D442" s="37"/>
      <c r="E442" s="312"/>
      <c r="F442" s="313"/>
      <c r="G442" s="314"/>
    </row>
    <row r="443" spans="1:7" ht="20.399999999999999" x14ac:dyDescent="0.35">
      <c r="A443" s="39" t="s">
        <v>46</v>
      </c>
      <c r="B443" s="38" t="s">
        <v>78</v>
      </c>
      <c r="C443" s="37"/>
      <c r="D443" s="37"/>
      <c r="E443" s="315"/>
      <c r="F443" s="316"/>
      <c r="G443" s="317"/>
    </row>
    <row r="444" spans="1:7" ht="20.399999999999999" x14ac:dyDescent="0.35">
      <c r="A444" s="39" t="s">
        <v>28</v>
      </c>
      <c r="B444" s="38" t="s">
        <v>77</v>
      </c>
      <c r="C444" s="37"/>
      <c r="D444" s="37"/>
      <c r="E444" s="37"/>
      <c r="F444" s="37"/>
      <c r="G444" s="77"/>
    </row>
    <row r="445" spans="1:7" ht="15" x14ac:dyDescent="0.3">
      <c r="A445" s="34" t="s">
        <v>26</v>
      </c>
      <c r="B445" s="34" t="s">
        <v>25</v>
      </c>
      <c r="C445" s="34" t="s">
        <v>24</v>
      </c>
      <c r="D445" s="34" t="s">
        <v>43</v>
      </c>
      <c r="E445" s="34" t="s">
        <v>42</v>
      </c>
      <c r="F445" s="34" t="s">
        <v>22</v>
      </c>
      <c r="G445" s="34" t="s">
        <v>21</v>
      </c>
    </row>
    <row r="446" spans="1:7" ht="15.6" x14ac:dyDescent="0.3">
      <c r="A446" s="33">
        <v>10</v>
      </c>
      <c r="B446" s="32" t="s">
        <v>19</v>
      </c>
      <c r="C446" s="32" t="s">
        <v>76</v>
      </c>
      <c r="D446" s="76"/>
      <c r="E446" s="75">
        <v>168.54</v>
      </c>
      <c r="F446" s="75">
        <f t="shared" ref="F446:F460" si="15">A446*E446</f>
        <v>1685.3999999999999</v>
      </c>
      <c r="G446" s="74"/>
    </row>
    <row r="447" spans="1:7" ht="15.6" x14ac:dyDescent="0.3">
      <c r="A447" s="29"/>
      <c r="B447" s="25"/>
      <c r="C447" s="25"/>
      <c r="D447" s="73"/>
      <c r="E447" s="71"/>
      <c r="F447" s="71">
        <f t="shared" si="15"/>
        <v>0</v>
      </c>
      <c r="G447" s="74"/>
    </row>
    <row r="448" spans="1:7" ht="15.6" x14ac:dyDescent="0.3">
      <c r="A448" s="29"/>
      <c r="B448" s="25"/>
      <c r="C448" s="25"/>
      <c r="D448" s="73"/>
      <c r="E448" s="71"/>
      <c r="F448" s="71">
        <f t="shared" si="15"/>
        <v>0</v>
      </c>
      <c r="G448" s="74"/>
    </row>
    <row r="449" spans="1:7" ht="15.6" x14ac:dyDescent="0.3">
      <c r="A449" s="29"/>
      <c r="B449" s="27"/>
      <c r="C449" s="27"/>
      <c r="D449" s="73"/>
      <c r="E449" s="71"/>
      <c r="F449" s="71">
        <f t="shared" si="15"/>
        <v>0</v>
      </c>
      <c r="G449" s="70"/>
    </row>
    <row r="450" spans="1:7" ht="15.6" x14ac:dyDescent="0.3">
      <c r="A450" s="29"/>
      <c r="B450" s="27"/>
      <c r="C450" s="27"/>
      <c r="D450" s="73"/>
      <c r="E450" s="71"/>
      <c r="F450" s="71">
        <f t="shared" si="15"/>
        <v>0</v>
      </c>
      <c r="G450" s="70"/>
    </row>
    <row r="451" spans="1:7" ht="15.6" x14ac:dyDescent="0.3">
      <c r="A451" s="29"/>
      <c r="B451" s="27"/>
      <c r="C451" s="27"/>
      <c r="D451" s="73"/>
      <c r="E451" s="71"/>
      <c r="F451" s="71">
        <f t="shared" si="15"/>
        <v>0</v>
      </c>
      <c r="G451" s="70"/>
    </row>
    <row r="452" spans="1:7" ht="15.6" x14ac:dyDescent="0.3">
      <c r="A452" s="29"/>
      <c r="B452" s="27"/>
      <c r="C452" s="27"/>
      <c r="D452" s="73"/>
      <c r="E452" s="71"/>
      <c r="F452" s="71">
        <f t="shared" si="15"/>
        <v>0</v>
      </c>
      <c r="G452" s="70"/>
    </row>
    <row r="453" spans="1:7" ht="15.6" x14ac:dyDescent="0.3">
      <c r="A453" s="26"/>
      <c r="B453" s="27"/>
      <c r="C453" s="27"/>
      <c r="D453" s="73"/>
      <c r="E453" s="71"/>
      <c r="F453" s="71">
        <f t="shared" si="15"/>
        <v>0</v>
      </c>
      <c r="G453" s="70"/>
    </row>
    <row r="454" spans="1:7" ht="15.6" x14ac:dyDescent="0.3">
      <c r="A454" s="26"/>
      <c r="B454" s="27"/>
      <c r="C454" s="27"/>
      <c r="D454" s="99"/>
      <c r="E454" s="71"/>
      <c r="F454" s="71">
        <f t="shared" si="15"/>
        <v>0</v>
      </c>
      <c r="G454" s="70"/>
    </row>
    <row r="455" spans="1:7" ht="15.6" x14ac:dyDescent="0.3">
      <c r="A455" s="26"/>
      <c r="B455" s="25"/>
      <c r="C455" s="25"/>
      <c r="D455" s="72"/>
      <c r="E455" s="71"/>
      <c r="F455" s="71">
        <f t="shared" si="15"/>
        <v>0</v>
      </c>
      <c r="G455" s="70"/>
    </row>
    <row r="456" spans="1:7" ht="15.6" x14ac:dyDescent="0.3">
      <c r="A456" s="26"/>
      <c r="B456" s="25"/>
      <c r="C456" s="25"/>
      <c r="D456" s="72"/>
      <c r="E456" s="71"/>
      <c r="F456" s="71">
        <f t="shared" si="15"/>
        <v>0</v>
      </c>
      <c r="G456" s="70"/>
    </row>
    <row r="457" spans="1:7" ht="15.6" x14ac:dyDescent="0.3">
      <c r="A457" s="26"/>
      <c r="B457" s="25"/>
      <c r="C457" s="25"/>
      <c r="D457" s="72"/>
      <c r="E457" s="71"/>
      <c r="F457" s="71">
        <f t="shared" si="15"/>
        <v>0</v>
      </c>
      <c r="G457" s="70"/>
    </row>
    <row r="458" spans="1:7" ht="15.6" x14ac:dyDescent="0.3">
      <c r="A458" s="26"/>
      <c r="B458" s="25"/>
      <c r="C458" s="25"/>
      <c r="D458" s="72"/>
      <c r="E458" s="71"/>
      <c r="F458" s="71">
        <f t="shared" si="15"/>
        <v>0</v>
      </c>
      <c r="G458" s="70"/>
    </row>
    <row r="459" spans="1:7" ht="15.6" x14ac:dyDescent="0.3">
      <c r="A459" s="26"/>
      <c r="B459" s="25"/>
      <c r="C459" s="25"/>
      <c r="D459" s="72"/>
      <c r="E459" s="71"/>
      <c r="F459" s="71">
        <f t="shared" si="15"/>
        <v>0</v>
      </c>
      <c r="G459" s="70"/>
    </row>
    <row r="460" spans="1:7" ht="15.6" x14ac:dyDescent="0.3">
      <c r="A460" s="21"/>
      <c r="B460" s="20"/>
      <c r="C460" s="20"/>
      <c r="D460" s="69"/>
      <c r="E460" s="68"/>
      <c r="F460" s="68">
        <f t="shared" si="15"/>
        <v>0</v>
      </c>
      <c r="G460" s="67"/>
    </row>
    <row r="461" spans="1:7" ht="17.399999999999999" x14ac:dyDescent="0.3">
      <c r="A461" s="17"/>
      <c r="B461" s="16"/>
      <c r="C461" s="9" t="s">
        <v>8</v>
      </c>
      <c r="D461" s="9"/>
      <c r="E461" s="66"/>
      <c r="F461" s="65">
        <f>SUM(F446:F459)</f>
        <v>1685.3999999999999</v>
      </c>
      <c r="G461" s="64"/>
    </row>
    <row r="462" spans="1:7" ht="17.399999999999999" x14ac:dyDescent="0.3">
      <c r="A462" s="11"/>
      <c r="B462" s="10"/>
      <c r="C462" s="63" t="s">
        <v>7</v>
      </c>
      <c r="D462" s="63"/>
      <c r="E462" s="62"/>
      <c r="F462" s="61">
        <f>F461*0.16</f>
        <v>269.66399999999999</v>
      </c>
      <c r="G462" s="60"/>
    </row>
    <row r="463" spans="1:7" ht="17.399999999999999" x14ac:dyDescent="0.3">
      <c r="A463" s="11"/>
      <c r="B463" s="10"/>
      <c r="C463" s="59" t="s">
        <v>6</v>
      </c>
      <c r="D463" s="59"/>
      <c r="E463" s="58"/>
      <c r="F463" s="57">
        <f>F461+F462</f>
        <v>1955.0639999999999</v>
      </c>
      <c r="G463" s="56"/>
    </row>
    <row r="464" spans="1:7" ht="15.6" x14ac:dyDescent="0.3">
      <c r="A464" s="6" t="s">
        <v>5</v>
      </c>
      <c r="B464" s="5"/>
      <c r="C464" s="5" t="s">
        <v>4</v>
      </c>
      <c r="D464" s="5"/>
      <c r="E464" s="5" t="s">
        <v>3</v>
      </c>
      <c r="F464" s="5"/>
      <c r="G464" s="4"/>
    </row>
    <row r="465" spans="1:9" ht="15.6" x14ac:dyDescent="0.3">
      <c r="A465" s="3" t="s">
        <v>75</v>
      </c>
      <c r="B465" s="2"/>
      <c r="C465" s="2" t="s">
        <v>39</v>
      </c>
      <c r="D465" s="2"/>
      <c r="E465" s="2" t="s">
        <v>70</v>
      </c>
      <c r="F465" s="2"/>
      <c r="G465" s="1"/>
    </row>
    <row r="468" spans="1:9" ht="24.6" x14ac:dyDescent="0.3">
      <c r="A468" s="271" t="s">
        <v>38</v>
      </c>
      <c r="B468" s="302"/>
      <c r="C468" s="272"/>
      <c r="D468" s="305" t="s">
        <v>37</v>
      </c>
      <c r="E468" s="306"/>
      <c r="F468" s="306"/>
      <c r="G468" s="307"/>
    </row>
    <row r="469" spans="1:9" ht="21" x14ac:dyDescent="0.4">
      <c r="A469" s="273"/>
      <c r="B469" s="303"/>
      <c r="C469" s="274"/>
      <c r="D469" s="51" t="s">
        <v>36</v>
      </c>
      <c r="E469" s="308" t="s">
        <v>619</v>
      </c>
      <c r="F469" s="282"/>
      <c r="G469" s="50"/>
    </row>
    <row r="470" spans="1:9" ht="21" x14ac:dyDescent="0.4">
      <c r="A470" s="273"/>
      <c r="B470" s="303"/>
      <c r="C470" s="274"/>
      <c r="D470" s="51" t="s">
        <v>51</v>
      </c>
      <c r="E470" s="284">
        <v>22</v>
      </c>
      <c r="F470" s="282"/>
      <c r="G470" s="50"/>
    </row>
    <row r="471" spans="1:9" ht="30" x14ac:dyDescent="0.3">
      <c r="A471" s="275"/>
      <c r="B471" s="304"/>
      <c r="C471" s="276"/>
      <c r="D471" s="47" t="s">
        <v>50</v>
      </c>
      <c r="E471" s="287" t="s">
        <v>469</v>
      </c>
      <c r="F471" s="287"/>
      <c r="G471" s="87"/>
    </row>
    <row r="472" spans="1:9" ht="20.399999999999999" x14ac:dyDescent="0.35">
      <c r="A472" s="39" t="s">
        <v>48</v>
      </c>
      <c r="B472" s="43" t="s">
        <v>47</v>
      </c>
      <c r="C472" s="42"/>
      <c r="D472" s="42"/>
      <c r="E472" s="86"/>
      <c r="F472" s="85"/>
      <c r="G472" s="84"/>
    </row>
    <row r="473" spans="1:9" ht="20.399999999999999" x14ac:dyDescent="0.35">
      <c r="A473" s="39" t="s">
        <v>30</v>
      </c>
      <c r="B473" s="38" t="s">
        <v>626</v>
      </c>
      <c r="C473" s="37"/>
      <c r="D473" s="37"/>
      <c r="E473" s="83"/>
      <c r="F473" s="82"/>
      <c r="G473" s="81"/>
    </row>
    <row r="474" spans="1:9" ht="20.399999999999999" x14ac:dyDescent="0.35">
      <c r="A474" s="39" t="s">
        <v>46</v>
      </c>
      <c r="B474" s="38" t="s">
        <v>627</v>
      </c>
      <c r="C474" s="37"/>
      <c r="D474" s="37"/>
      <c r="E474" s="80"/>
      <c r="F474" s="79"/>
      <c r="G474" s="78"/>
    </row>
    <row r="475" spans="1:9" ht="20.399999999999999" x14ac:dyDescent="0.35">
      <c r="A475" s="39" t="s">
        <v>28</v>
      </c>
      <c r="B475" s="38" t="s">
        <v>198</v>
      </c>
      <c r="C475" s="37"/>
      <c r="D475" s="37"/>
      <c r="E475" s="37"/>
      <c r="F475" s="37"/>
      <c r="G475" s="77"/>
    </row>
    <row r="476" spans="1:9" ht="15" x14ac:dyDescent="0.3">
      <c r="A476" s="34" t="s">
        <v>26</v>
      </c>
      <c r="B476" s="34" t="s">
        <v>25</v>
      </c>
      <c r="C476" s="34" t="s">
        <v>24</v>
      </c>
      <c r="D476" s="34" t="s">
        <v>43</v>
      </c>
      <c r="E476" s="34" t="s">
        <v>42</v>
      </c>
      <c r="F476" s="34" t="s">
        <v>22</v>
      </c>
      <c r="G476" s="34" t="s">
        <v>21</v>
      </c>
    </row>
    <row r="477" spans="1:9" ht="15.6" x14ac:dyDescent="0.3">
      <c r="A477" s="33"/>
      <c r="B477" s="32"/>
      <c r="C477" s="32"/>
      <c r="D477" s="76"/>
      <c r="E477" s="246"/>
      <c r="F477" s="246">
        <f t="shared" ref="F477:F487" si="16">A477*E477</f>
        <v>0</v>
      </c>
      <c r="G477" s="74"/>
      <c r="I477" s="261"/>
    </row>
    <row r="478" spans="1:9" ht="31.2" x14ac:dyDescent="0.3">
      <c r="A478" s="29">
        <v>15</v>
      </c>
      <c r="B478" s="25" t="s">
        <v>10</v>
      </c>
      <c r="C478" s="25" t="s">
        <v>470</v>
      </c>
      <c r="D478" s="73" t="s">
        <v>624</v>
      </c>
      <c r="E478" s="247">
        <v>35.99</v>
      </c>
      <c r="F478" s="247">
        <f t="shared" si="16"/>
        <v>539.85</v>
      </c>
      <c r="G478" s="74"/>
      <c r="I478">
        <v>12.82</v>
      </c>
    </row>
    <row r="479" spans="1:9" ht="31.2" x14ac:dyDescent="0.3">
      <c r="A479" s="29">
        <v>15</v>
      </c>
      <c r="B479" s="25" t="s">
        <v>10</v>
      </c>
      <c r="C479" s="25" t="s">
        <v>471</v>
      </c>
      <c r="D479" s="73" t="s">
        <v>624</v>
      </c>
      <c r="E479" s="247">
        <v>40.450000000000003</v>
      </c>
      <c r="F479" s="247">
        <f t="shared" si="16"/>
        <v>606.75</v>
      </c>
      <c r="G479" s="74"/>
      <c r="I479">
        <v>13.99</v>
      </c>
    </row>
    <row r="480" spans="1:9" ht="15.6" x14ac:dyDescent="0.3">
      <c r="A480" s="29">
        <v>10</v>
      </c>
      <c r="B480" s="27" t="s">
        <v>10</v>
      </c>
      <c r="C480" s="27" t="s">
        <v>472</v>
      </c>
      <c r="D480" s="73" t="s">
        <v>624</v>
      </c>
      <c r="E480" s="247">
        <v>27</v>
      </c>
      <c r="F480" s="247">
        <f t="shared" si="16"/>
        <v>270</v>
      </c>
      <c r="G480" s="70"/>
      <c r="I480">
        <v>10.5</v>
      </c>
    </row>
    <row r="481" spans="1:9" ht="15.6" x14ac:dyDescent="0.3">
      <c r="A481" s="29">
        <v>10</v>
      </c>
      <c r="B481" s="27" t="s">
        <v>10</v>
      </c>
      <c r="C481" s="27" t="s">
        <v>473</v>
      </c>
      <c r="D481" s="73" t="s">
        <v>624</v>
      </c>
      <c r="E481" s="247">
        <v>49.55</v>
      </c>
      <c r="F481" s="247">
        <f t="shared" si="16"/>
        <v>495.5</v>
      </c>
      <c r="G481" s="70"/>
    </row>
    <row r="482" spans="1:9" ht="31.2" x14ac:dyDescent="0.3">
      <c r="A482" s="26">
        <v>10</v>
      </c>
      <c r="B482" s="27" t="s">
        <v>10</v>
      </c>
      <c r="C482" s="27" t="s">
        <v>480</v>
      </c>
      <c r="D482" s="73"/>
      <c r="E482" s="247">
        <v>104.8</v>
      </c>
      <c r="F482" s="247">
        <f t="shared" si="16"/>
        <v>1048</v>
      </c>
      <c r="G482" s="70"/>
      <c r="I482">
        <v>93.14</v>
      </c>
    </row>
    <row r="483" spans="1:9" ht="15.6" x14ac:dyDescent="0.3">
      <c r="A483" s="26">
        <v>15</v>
      </c>
      <c r="B483" s="25" t="s">
        <v>10</v>
      </c>
      <c r="C483" s="25" t="s">
        <v>478</v>
      </c>
      <c r="D483" s="72" t="s">
        <v>461</v>
      </c>
      <c r="E483" s="247">
        <v>5.59</v>
      </c>
      <c r="F483" s="247">
        <f t="shared" si="16"/>
        <v>83.85</v>
      </c>
      <c r="G483" s="70"/>
    </row>
    <row r="484" spans="1:9" ht="46.8" x14ac:dyDescent="0.3">
      <c r="A484" s="26">
        <v>6</v>
      </c>
      <c r="B484" s="25" t="s">
        <v>10</v>
      </c>
      <c r="C484" s="25" t="s">
        <v>474</v>
      </c>
      <c r="D484" s="73"/>
      <c r="E484" s="247">
        <v>70.3</v>
      </c>
      <c r="F484" s="247">
        <f t="shared" si="16"/>
        <v>421.79999999999995</v>
      </c>
      <c r="G484" s="70"/>
    </row>
    <row r="485" spans="1:9" ht="15.6" x14ac:dyDescent="0.3">
      <c r="A485" s="26"/>
      <c r="B485" s="25"/>
      <c r="C485" s="25"/>
      <c r="D485" s="72"/>
      <c r="E485" s="247"/>
      <c r="F485" s="247">
        <f t="shared" si="16"/>
        <v>0</v>
      </c>
      <c r="G485" s="70"/>
    </row>
    <row r="486" spans="1:9" ht="15.6" x14ac:dyDescent="0.3">
      <c r="A486" s="26">
        <v>1</v>
      </c>
      <c r="B486" s="25" t="s">
        <v>479</v>
      </c>
      <c r="C486" s="25" t="s">
        <v>481</v>
      </c>
      <c r="D486" s="73"/>
      <c r="E486" s="247">
        <v>1619.56</v>
      </c>
      <c r="F486" s="247">
        <f t="shared" si="16"/>
        <v>1619.56</v>
      </c>
      <c r="G486" s="70"/>
    </row>
    <row r="487" spans="1:9" ht="15.6" x14ac:dyDescent="0.3">
      <c r="A487" s="21"/>
      <c r="B487" s="20"/>
      <c r="C487" s="20"/>
      <c r="D487" s="69"/>
      <c r="E487" s="248"/>
      <c r="F487" s="248">
        <f t="shared" si="16"/>
        <v>0</v>
      </c>
      <c r="G487" s="67"/>
    </row>
    <row r="488" spans="1:9" ht="17.399999999999999" x14ac:dyDescent="0.3">
      <c r="A488" s="17"/>
      <c r="B488" s="16"/>
      <c r="C488" s="9" t="s">
        <v>8</v>
      </c>
      <c r="D488" s="259"/>
      <c r="E488" s="249"/>
      <c r="F488" s="252">
        <f>SUM(F477:F486)</f>
        <v>5085.3099999999995</v>
      </c>
      <c r="G488" s="64"/>
    </row>
    <row r="489" spans="1:9" ht="17.399999999999999" x14ac:dyDescent="0.3">
      <c r="A489" s="11"/>
      <c r="B489" s="10"/>
      <c r="C489" s="63" t="s">
        <v>7</v>
      </c>
      <c r="D489" s="237"/>
      <c r="E489" s="250"/>
      <c r="F489" s="253">
        <f>F488*0.16</f>
        <v>813.64959999999996</v>
      </c>
      <c r="G489" s="60"/>
    </row>
    <row r="490" spans="1:9" ht="17.399999999999999" x14ac:dyDescent="0.3">
      <c r="A490" s="11"/>
      <c r="B490" s="10"/>
      <c r="C490" s="59" t="s">
        <v>6</v>
      </c>
      <c r="D490" s="260"/>
      <c r="E490" s="251"/>
      <c r="F490" s="254">
        <f>F488+F489</f>
        <v>5898.9595999999992</v>
      </c>
      <c r="G490" s="56"/>
    </row>
    <row r="491" spans="1:9" ht="15.6" x14ac:dyDescent="0.3">
      <c r="A491" s="6" t="s">
        <v>5</v>
      </c>
      <c r="B491" s="5"/>
      <c r="C491" s="5" t="s">
        <v>4</v>
      </c>
      <c r="D491" s="259"/>
      <c r="E491" s="5" t="s">
        <v>3</v>
      </c>
      <c r="F491" s="5"/>
      <c r="G491" s="4"/>
    </row>
    <row r="492" spans="1:9" ht="15.6" x14ac:dyDescent="0.3">
      <c r="A492" s="3" t="s">
        <v>625</v>
      </c>
      <c r="B492" s="2"/>
      <c r="C492" s="2" t="s">
        <v>39</v>
      </c>
      <c r="D492" s="260"/>
      <c r="E492" s="2" t="s">
        <v>0</v>
      </c>
      <c r="F492" s="2"/>
      <c r="G492" s="1"/>
    </row>
    <row r="496" spans="1:9" ht="24.6" x14ac:dyDescent="0.3">
      <c r="A496" s="271" t="s">
        <v>38</v>
      </c>
      <c r="B496" s="302"/>
      <c r="C496" s="272"/>
      <c r="D496" s="305" t="s">
        <v>37</v>
      </c>
      <c r="E496" s="306"/>
      <c r="F496" s="306"/>
      <c r="G496" s="307"/>
    </row>
    <row r="497" spans="1:7" ht="21" x14ac:dyDescent="0.4">
      <c r="A497" s="273"/>
      <c r="B497" s="303"/>
      <c r="C497" s="274"/>
      <c r="D497" s="51" t="s">
        <v>36</v>
      </c>
      <c r="E497" s="308" t="s">
        <v>485</v>
      </c>
      <c r="F497" s="282"/>
      <c r="G497" s="50"/>
    </row>
    <row r="498" spans="1:7" ht="21" x14ac:dyDescent="0.4">
      <c r="A498" s="273"/>
      <c r="B498" s="303"/>
      <c r="C498" s="274"/>
      <c r="D498" s="51" t="s">
        <v>51</v>
      </c>
      <c r="E498" s="284">
        <v>20</v>
      </c>
      <c r="F498" s="282"/>
      <c r="G498" s="50"/>
    </row>
    <row r="499" spans="1:7" ht="30" x14ac:dyDescent="0.3">
      <c r="A499" s="275"/>
      <c r="B499" s="304"/>
      <c r="C499" s="276"/>
      <c r="D499" s="47" t="s">
        <v>50</v>
      </c>
      <c r="E499" s="287" t="s">
        <v>486</v>
      </c>
      <c r="F499" s="287"/>
      <c r="G499" s="87"/>
    </row>
    <row r="500" spans="1:7" ht="20.399999999999999" x14ac:dyDescent="0.35">
      <c r="A500" s="39" t="s">
        <v>48</v>
      </c>
      <c r="B500" s="43" t="s">
        <v>47</v>
      </c>
      <c r="C500" s="42"/>
      <c r="D500" s="42"/>
      <c r="E500" s="86"/>
      <c r="F500" s="85"/>
      <c r="G500" s="84"/>
    </row>
    <row r="501" spans="1:7" ht="20.399999999999999" x14ac:dyDescent="0.35">
      <c r="A501" s="39" t="s">
        <v>487</v>
      </c>
      <c r="B501" s="38" t="s">
        <v>341</v>
      </c>
      <c r="C501" s="37"/>
      <c r="D501" s="37"/>
      <c r="E501" s="83"/>
      <c r="F501" s="82"/>
      <c r="G501" s="81"/>
    </row>
    <row r="502" spans="1:7" ht="20.399999999999999" x14ac:dyDescent="0.35">
      <c r="A502" s="39" t="s">
        <v>46</v>
      </c>
      <c r="B502" s="38" t="s">
        <v>484</v>
      </c>
      <c r="C502" s="37"/>
      <c r="D502" s="37"/>
      <c r="E502" s="80"/>
      <c r="F502" s="79"/>
      <c r="G502" s="78"/>
    </row>
    <row r="503" spans="1:7" ht="20.399999999999999" x14ac:dyDescent="0.35">
      <c r="A503" s="39" t="s">
        <v>28</v>
      </c>
      <c r="B503" s="38" t="s">
        <v>488</v>
      </c>
      <c r="C503" s="37"/>
      <c r="D503" s="37"/>
      <c r="E503" s="37"/>
      <c r="F503" s="37"/>
      <c r="G503" s="77"/>
    </row>
    <row r="504" spans="1:7" ht="15" x14ac:dyDescent="0.3">
      <c r="A504" s="34" t="s">
        <v>26</v>
      </c>
      <c r="B504" s="34" t="s">
        <v>25</v>
      </c>
      <c r="C504" s="34" t="s">
        <v>24</v>
      </c>
      <c r="D504" s="34" t="s">
        <v>43</v>
      </c>
      <c r="E504" s="34" t="s">
        <v>42</v>
      </c>
      <c r="F504" s="34" t="s">
        <v>22</v>
      </c>
      <c r="G504" s="34" t="s">
        <v>21</v>
      </c>
    </row>
    <row r="505" spans="1:7" ht="15.6" x14ac:dyDescent="0.3">
      <c r="A505" s="33">
        <v>65</v>
      </c>
      <c r="B505" s="32" t="s">
        <v>235</v>
      </c>
      <c r="C505" s="32" t="s">
        <v>489</v>
      </c>
      <c r="D505" s="76"/>
      <c r="E505" s="178">
        <v>105</v>
      </c>
      <c r="F505" s="178">
        <f t="shared" ref="F505:F519" si="17">A505*E505</f>
        <v>6825</v>
      </c>
      <c r="G505" s="74"/>
    </row>
    <row r="506" spans="1:7" ht="15.6" x14ac:dyDescent="0.3">
      <c r="A506" s="29"/>
      <c r="B506" s="25"/>
      <c r="C506" s="25"/>
      <c r="D506" s="73"/>
      <c r="E506" s="179"/>
      <c r="F506" s="179">
        <f t="shared" si="17"/>
        <v>0</v>
      </c>
      <c r="G506" s="74"/>
    </row>
    <row r="507" spans="1:7" ht="15.6" x14ac:dyDescent="0.3">
      <c r="A507" s="29"/>
      <c r="B507" s="25"/>
      <c r="C507" s="25"/>
      <c r="D507" s="73"/>
      <c r="E507" s="179"/>
      <c r="F507" s="179">
        <f t="shared" si="17"/>
        <v>0</v>
      </c>
      <c r="G507" s="74"/>
    </row>
    <row r="508" spans="1:7" ht="15.6" x14ac:dyDescent="0.3">
      <c r="A508" s="29"/>
      <c r="B508" s="27"/>
      <c r="C508" s="27"/>
      <c r="D508" s="73"/>
      <c r="E508" s="179"/>
      <c r="F508" s="179">
        <f t="shared" si="17"/>
        <v>0</v>
      </c>
      <c r="G508" s="70"/>
    </row>
    <row r="509" spans="1:7" ht="15.6" x14ac:dyDescent="0.3">
      <c r="A509" s="29"/>
      <c r="B509" s="27"/>
      <c r="C509" s="27"/>
      <c r="D509" s="73"/>
      <c r="E509" s="179"/>
      <c r="F509" s="179">
        <f t="shared" si="17"/>
        <v>0</v>
      </c>
      <c r="G509" s="70"/>
    </row>
    <row r="510" spans="1:7" ht="15.6" x14ac:dyDescent="0.3">
      <c r="A510" s="29"/>
      <c r="B510" s="27"/>
      <c r="C510" s="27"/>
      <c r="D510" s="73"/>
      <c r="E510" s="179"/>
      <c r="F510" s="179">
        <f t="shared" si="17"/>
        <v>0</v>
      </c>
      <c r="G510" s="70"/>
    </row>
    <row r="511" spans="1:7" ht="15.6" x14ac:dyDescent="0.3">
      <c r="A511" s="29"/>
      <c r="B511" s="27"/>
      <c r="C511" s="27"/>
      <c r="D511" s="73"/>
      <c r="E511" s="179"/>
      <c r="F511" s="179">
        <f t="shared" si="17"/>
        <v>0</v>
      </c>
      <c r="G511" s="70"/>
    </row>
    <row r="512" spans="1:7" ht="15.6" x14ac:dyDescent="0.3">
      <c r="A512" s="26"/>
      <c r="B512" s="27"/>
      <c r="C512" s="27"/>
      <c r="D512" s="73"/>
      <c r="E512" s="179"/>
      <c r="F512" s="179">
        <f t="shared" si="17"/>
        <v>0</v>
      </c>
      <c r="G512" s="70"/>
    </row>
    <row r="513" spans="1:7" ht="15.6" x14ac:dyDescent="0.3">
      <c r="A513" s="26"/>
      <c r="B513" s="27"/>
      <c r="C513" s="27"/>
      <c r="D513" s="73"/>
      <c r="E513" s="179"/>
      <c r="F513" s="179">
        <f t="shared" si="17"/>
        <v>0</v>
      </c>
      <c r="G513" s="70"/>
    </row>
    <row r="514" spans="1:7" ht="15.6" x14ac:dyDescent="0.3">
      <c r="A514" s="26"/>
      <c r="B514" s="25"/>
      <c r="C514" s="27"/>
      <c r="D514" s="73"/>
      <c r="E514" s="179"/>
      <c r="F514" s="179">
        <f t="shared" si="17"/>
        <v>0</v>
      </c>
      <c r="G514" s="70"/>
    </row>
    <row r="515" spans="1:7" ht="15.6" x14ac:dyDescent="0.3">
      <c r="A515" s="26"/>
      <c r="B515" s="25"/>
      <c r="C515" s="25"/>
      <c r="D515" s="72"/>
      <c r="E515" s="179"/>
      <c r="F515" s="179">
        <f t="shared" si="17"/>
        <v>0</v>
      </c>
      <c r="G515" s="70"/>
    </row>
    <row r="516" spans="1:7" ht="15.6" x14ac:dyDescent="0.3">
      <c r="A516" s="26"/>
      <c r="B516" s="25"/>
      <c r="C516" s="25"/>
      <c r="D516" s="72"/>
      <c r="E516" s="179"/>
      <c r="F516" s="179">
        <f t="shared" si="17"/>
        <v>0</v>
      </c>
      <c r="G516" s="70"/>
    </row>
    <row r="517" spans="1:7" ht="15.6" x14ac:dyDescent="0.3">
      <c r="A517" s="26"/>
      <c r="B517" s="25"/>
      <c r="C517" s="25"/>
      <c r="D517" s="72"/>
      <c r="E517" s="179"/>
      <c r="F517" s="179">
        <f t="shared" si="17"/>
        <v>0</v>
      </c>
      <c r="G517" s="70"/>
    </row>
    <row r="518" spans="1:7" ht="15.6" x14ac:dyDescent="0.3">
      <c r="A518" s="26"/>
      <c r="B518" s="25"/>
      <c r="C518" s="25"/>
      <c r="D518" s="72"/>
      <c r="E518" s="179"/>
      <c r="F518" s="179">
        <f t="shared" si="17"/>
        <v>0</v>
      </c>
      <c r="G518" s="70"/>
    </row>
    <row r="519" spans="1:7" ht="15.6" x14ac:dyDescent="0.3">
      <c r="A519" s="21"/>
      <c r="B519" s="20"/>
      <c r="C519" s="20"/>
      <c r="D519" s="69"/>
      <c r="E519" s="180"/>
      <c r="F519" s="180">
        <f t="shared" si="17"/>
        <v>0</v>
      </c>
      <c r="G519" s="67"/>
    </row>
    <row r="520" spans="1:7" ht="17.399999999999999" x14ac:dyDescent="0.3">
      <c r="A520" s="17"/>
      <c r="B520" s="16"/>
      <c r="C520" s="9" t="s">
        <v>8</v>
      </c>
      <c r="D520" s="9"/>
      <c r="E520" s="181"/>
      <c r="F520" s="182">
        <f>SUM(F505:F518)</f>
        <v>6825</v>
      </c>
      <c r="G520" s="64"/>
    </row>
    <row r="521" spans="1:7" ht="17.399999999999999" x14ac:dyDescent="0.3">
      <c r="A521" s="11"/>
      <c r="B521" s="10"/>
      <c r="C521" s="63" t="s">
        <v>7</v>
      </c>
      <c r="D521" s="63"/>
      <c r="E521" s="183"/>
      <c r="F521" s="184">
        <f>F520*0.16</f>
        <v>1092</v>
      </c>
      <c r="G521" s="60"/>
    </row>
    <row r="522" spans="1:7" ht="17.399999999999999" x14ac:dyDescent="0.3">
      <c r="A522" s="11"/>
      <c r="B522" s="10"/>
      <c r="C522" s="59" t="s">
        <v>6</v>
      </c>
      <c r="D522" s="59"/>
      <c r="E522" s="185"/>
      <c r="F522" s="186">
        <f>F520+F521</f>
        <v>7917</v>
      </c>
      <c r="G522" s="56"/>
    </row>
    <row r="523" spans="1:7" ht="15.6" x14ac:dyDescent="0.3">
      <c r="A523" s="6" t="s">
        <v>5</v>
      </c>
      <c r="B523" s="5"/>
      <c r="C523" s="5" t="s">
        <v>4</v>
      </c>
      <c r="D523" s="5"/>
      <c r="E523" s="5" t="s">
        <v>3</v>
      </c>
      <c r="F523" s="5"/>
      <c r="G523" s="4"/>
    </row>
    <row r="524" spans="1:7" ht="15.6" x14ac:dyDescent="0.3">
      <c r="A524" s="3" t="s">
        <v>374</v>
      </c>
      <c r="B524" s="2"/>
      <c r="C524" s="2" t="s">
        <v>39</v>
      </c>
      <c r="D524" s="2"/>
      <c r="E524" s="2" t="s">
        <v>0</v>
      </c>
      <c r="F524" s="2"/>
      <c r="G524" s="1"/>
    </row>
  </sheetData>
  <mergeCells count="166">
    <mergeCell ref="A406:C409"/>
    <mergeCell ref="D406:G406"/>
    <mergeCell ref="E407:F407"/>
    <mergeCell ref="E408:F408"/>
    <mergeCell ref="E409:F409"/>
    <mergeCell ref="A343:C346"/>
    <mergeCell ref="D343:G343"/>
    <mergeCell ref="E344:F344"/>
    <mergeCell ref="E345:F345"/>
    <mergeCell ref="E346:F346"/>
    <mergeCell ref="A375:C378"/>
    <mergeCell ref="D375:G375"/>
    <mergeCell ref="E376:F376"/>
    <mergeCell ref="E377:F377"/>
    <mergeCell ref="E378:F378"/>
    <mergeCell ref="B280:G280"/>
    <mergeCell ref="A305:B305"/>
    <mergeCell ref="E305:G305"/>
    <mergeCell ref="A306:B306"/>
    <mergeCell ref="E306:G306"/>
    <mergeCell ref="A311:C314"/>
    <mergeCell ref="D311:G311"/>
    <mergeCell ref="E312:F312"/>
    <mergeCell ref="E313:F313"/>
    <mergeCell ref="E314:F314"/>
    <mergeCell ref="B273:C276"/>
    <mergeCell ref="D273:G273"/>
    <mergeCell ref="D274:E274"/>
    <mergeCell ref="F274:G274"/>
    <mergeCell ref="D276:E276"/>
    <mergeCell ref="F276:G276"/>
    <mergeCell ref="E277:G277"/>
    <mergeCell ref="B278:G278"/>
    <mergeCell ref="B279:G279"/>
    <mergeCell ref="B240:C243"/>
    <mergeCell ref="D240:G240"/>
    <mergeCell ref="D241:E241"/>
    <mergeCell ref="F241:G241"/>
    <mergeCell ref="D243:E243"/>
    <mergeCell ref="F243:G243"/>
    <mergeCell ref="B246:G246"/>
    <mergeCell ref="C99:D99"/>
    <mergeCell ref="C100:D100"/>
    <mergeCell ref="A101:B101"/>
    <mergeCell ref="E101:G101"/>
    <mergeCell ref="A102:B102"/>
    <mergeCell ref="E102:G102"/>
    <mergeCell ref="E110:G110"/>
    <mergeCell ref="B111:G111"/>
    <mergeCell ref="B112:G112"/>
    <mergeCell ref="B113:G113"/>
    <mergeCell ref="C133:D133"/>
    <mergeCell ref="B106:C109"/>
    <mergeCell ref="D106:G106"/>
    <mergeCell ref="D107:E107"/>
    <mergeCell ref="F107:G107"/>
    <mergeCell ref="D109:E109"/>
    <mergeCell ref="F109:G109"/>
    <mergeCell ref="C98:D98"/>
    <mergeCell ref="B71:C74"/>
    <mergeCell ref="D71:G71"/>
    <mergeCell ref="D72:E72"/>
    <mergeCell ref="F72:G72"/>
    <mergeCell ref="D74:E74"/>
    <mergeCell ref="F74:G74"/>
    <mergeCell ref="E75:G75"/>
    <mergeCell ref="B76:G76"/>
    <mergeCell ref="B77:G77"/>
    <mergeCell ref="B78:G78"/>
    <mergeCell ref="C32:D32"/>
    <mergeCell ref="A33:B33"/>
    <mergeCell ref="E33:G33"/>
    <mergeCell ref="A34:B34"/>
    <mergeCell ref="E34:G34"/>
    <mergeCell ref="A69:B69"/>
    <mergeCell ref="E69:G69"/>
    <mergeCell ref="F39:G39"/>
    <mergeCell ref="D41:E41"/>
    <mergeCell ref="F41:G41"/>
    <mergeCell ref="E42:G42"/>
    <mergeCell ref="B43:G43"/>
    <mergeCell ref="B44:G44"/>
    <mergeCell ref="C65:D65"/>
    <mergeCell ref="B38:C41"/>
    <mergeCell ref="D38:G38"/>
    <mergeCell ref="D39:E39"/>
    <mergeCell ref="B45:G45"/>
    <mergeCell ref="C66:D66"/>
    <mergeCell ref="C67:D67"/>
    <mergeCell ref="A68:B68"/>
    <mergeCell ref="E68:G68"/>
    <mergeCell ref="C31:D31"/>
    <mergeCell ref="B3:C6"/>
    <mergeCell ref="D3:G3"/>
    <mergeCell ref="D4:E4"/>
    <mergeCell ref="F4:G4"/>
    <mergeCell ref="D6:E6"/>
    <mergeCell ref="F6:G6"/>
    <mergeCell ref="E7:G7"/>
    <mergeCell ref="B8:G8"/>
    <mergeCell ref="B9:G9"/>
    <mergeCell ref="B10:G10"/>
    <mergeCell ref="C30:D30"/>
    <mergeCell ref="B140:C143"/>
    <mergeCell ref="D140:G140"/>
    <mergeCell ref="D141:E141"/>
    <mergeCell ref="F141:G141"/>
    <mergeCell ref="D143:E143"/>
    <mergeCell ref="F143:G143"/>
    <mergeCell ref="C134:D134"/>
    <mergeCell ref="C135:D135"/>
    <mergeCell ref="A136:B136"/>
    <mergeCell ref="E136:G136"/>
    <mergeCell ref="A137:B137"/>
    <mergeCell ref="E137:G137"/>
    <mergeCell ref="C168:D168"/>
    <mergeCell ref="C169:D169"/>
    <mergeCell ref="A170:B170"/>
    <mergeCell ref="E170:G170"/>
    <mergeCell ref="A171:B171"/>
    <mergeCell ref="E171:G171"/>
    <mergeCell ref="E144:G144"/>
    <mergeCell ref="B145:G145"/>
    <mergeCell ref="B146:G146"/>
    <mergeCell ref="B147:G147"/>
    <mergeCell ref="C167:D167"/>
    <mergeCell ref="C201:D201"/>
    <mergeCell ref="C202:D202"/>
    <mergeCell ref="C203:D203"/>
    <mergeCell ref="A204:B204"/>
    <mergeCell ref="E204:G204"/>
    <mergeCell ref="B174:C177"/>
    <mergeCell ref="D174:G174"/>
    <mergeCell ref="D175:E175"/>
    <mergeCell ref="F175:G175"/>
    <mergeCell ref="D177:E177"/>
    <mergeCell ref="F177:G177"/>
    <mergeCell ref="E178:G178"/>
    <mergeCell ref="B179:G179"/>
    <mergeCell ref="B180:G180"/>
    <mergeCell ref="B181:G181"/>
    <mergeCell ref="B214:G214"/>
    <mergeCell ref="B208:C211"/>
    <mergeCell ref="D209:E209"/>
    <mergeCell ref="F209:G209"/>
    <mergeCell ref="D211:E211"/>
    <mergeCell ref="F211:G211"/>
    <mergeCell ref="A205:B205"/>
    <mergeCell ref="E205:G205"/>
    <mergeCell ref="D208:G208"/>
    <mergeCell ref="A496:C499"/>
    <mergeCell ref="D496:G496"/>
    <mergeCell ref="E497:F497"/>
    <mergeCell ref="E498:F498"/>
    <mergeCell ref="E499:F499"/>
    <mergeCell ref="A437:C440"/>
    <mergeCell ref="D437:G437"/>
    <mergeCell ref="E438:F438"/>
    <mergeCell ref="E439:F439"/>
    <mergeCell ref="E440:F440"/>
    <mergeCell ref="E441:G443"/>
    <mergeCell ref="A468:C471"/>
    <mergeCell ref="D468:G468"/>
    <mergeCell ref="E469:F469"/>
    <mergeCell ref="E470:F470"/>
    <mergeCell ref="E471:F471"/>
  </mergeCells>
  <dataValidations disablePrompts="1" count="1">
    <dataValidation type="textLength" errorStyle="warning" allowBlank="1" showErrorMessage="1" errorTitle="Tipo de unidad" error="Escriba el tipo de unidad (bruto, cajas, docenas, paquetes, fajos, etc.) al que se refiere el precio unitario._x000a_" promptTitle="Tipo de unidad" sqref="A33 A68 A101 A136 A170 A204 A235 A267 A286:A287 A305 A338 A370 A402 A433 A464 A491 A523" xr:uid="{FD2207F7-1D80-4F84-AE23-20750D99AC84}">
      <formula1>0</formula1>
      <formula2>256</formula2>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278F2-FCBC-4D9F-8712-4A83DE7732F2}">
  <dimension ref="A4:F93"/>
  <sheetViews>
    <sheetView topLeftCell="A89" workbookViewId="0">
      <selection activeCell="A66" sqref="A66:F94"/>
    </sheetView>
  </sheetViews>
  <sheetFormatPr baseColWidth="10" defaultRowHeight="14.4" x14ac:dyDescent="0.3"/>
  <cols>
    <col min="1" max="1" width="25.44140625" customWidth="1"/>
    <col min="2" max="2" width="23.33203125" customWidth="1"/>
    <col min="3" max="3" width="48.5546875" customWidth="1"/>
    <col min="4" max="4" width="21.5546875" customWidth="1"/>
    <col min="5" max="5" width="25.6640625" customWidth="1"/>
    <col min="6" max="6" width="24.6640625" customWidth="1"/>
  </cols>
  <sheetData>
    <row r="4" spans="1:6" ht="30" customHeight="1" x14ac:dyDescent="0.3">
      <c r="A4" s="305" t="s">
        <v>180</v>
      </c>
      <c r="B4" s="306"/>
      <c r="C4" s="306"/>
      <c r="D4" s="306"/>
      <c r="E4" s="306"/>
      <c r="F4" s="307"/>
    </row>
    <row r="5" spans="1:6" ht="30" x14ac:dyDescent="0.4">
      <c r="A5" s="53"/>
      <c r="B5" s="157"/>
      <c r="C5" s="158"/>
      <c r="D5" s="52"/>
      <c r="E5" s="51" t="s">
        <v>36</v>
      </c>
      <c r="F5" s="50" t="s">
        <v>511</v>
      </c>
    </row>
    <row r="6" spans="1:6" ht="30" x14ac:dyDescent="0.4">
      <c r="A6" s="49"/>
      <c r="B6" s="159"/>
      <c r="C6" s="160"/>
      <c r="D6" s="48"/>
      <c r="E6" s="47" t="s">
        <v>309</v>
      </c>
      <c r="F6" s="46"/>
    </row>
    <row r="7" spans="1:6" ht="20.399999999999999" x14ac:dyDescent="0.35">
      <c r="A7" s="39" t="s">
        <v>5</v>
      </c>
      <c r="B7" s="43" t="s">
        <v>310</v>
      </c>
      <c r="C7" s="42"/>
      <c r="D7" s="42"/>
      <c r="E7" s="98"/>
      <c r="F7" s="97"/>
    </row>
    <row r="8" spans="1:6" ht="20.399999999999999" x14ac:dyDescent="0.35">
      <c r="A8" s="39" t="s">
        <v>311</v>
      </c>
      <c r="B8" s="43" t="s">
        <v>312</v>
      </c>
      <c r="C8" s="42"/>
      <c r="D8" s="42"/>
      <c r="E8" s="41"/>
      <c r="F8" s="40"/>
    </row>
    <row r="9" spans="1:6" ht="20.399999999999999" x14ac:dyDescent="0.35">
      <c r="A9" s="39" t="s">
        <v>73</v>
      </c>
      <c r="B9" s="38" t="s">
        <v>158</v>
      </c>
      <c r="C9" s="37"/>
      <c r="D9" s="37"/>
      <c r="E9" s="41"/>
      <c r="F9" s="40"/>
    </row>
    <row r="10" spans="1:6" ht="20.399999999999999" x14ac:dyDescent="0.35">
      <c r="A10" s="39" t="s">
        <v>313</v>
      </c>
      <c r="B10" s="38" t="s">
        <v>512</v>
      </c>
      <c r="C10" s="37"/>
      <c r="D10" s="37"/>
      <c r="E10" s="36"/>
      <c r="F10" s="35"/>
    </row>
    <row r="11" spans="1:6" ht="15" x14ac:dyDescent="0.3">
      <c r="A11" s="34" t="s">
        <v>26</v>
      </c>
      <c r="B11" s="34" t="s">
        <v>25</v>
      </c>
      <c r="C11" s="34" t="s">
        <v>24</v>
      </c>
      <c r="D11" s="34" t="s">
        <v>30</v>
      </c>
      <c r="E11" s="34" t="s">
        <v>22</v>
      </c>
      <c r="F11" s="34" t="s">
        <v>21</v>
      </c>
    </row>
    <row r="12" spans="1:6" ht="15.6" x14ac:dyDescent="0.3">
      <c r="A12" s="162">
        <v>25</v>
      </c>
      <c r="B12" s="161" t="s">
        <v>177</v>
      </c>
      <c r="C12" s="161" t="s">
        <v>502</v>
      </c>
      <c r="D12" s="163" t="s">
        <v>503</v>
      </c>
      <c r="E12" s="163"/>
      <c r="F12" s="22"/>
    </row>
    <row r="13" spans="1:6" ht="15.6" x14ac:dyDescent="0.3">
      <c r="A13" s="164"/>
      <c r="B13" s="95"/>
      <c r="C13" s="95"/>
      <c r="D13" s="165"/>
      <c r="E13" s="166"/>
      <c r="F13" s="22"/>
    </row>
    <row r="14" spans="1:6" ht="15.6" x14ac:dyDescent="0.3">
      <c r="A14" s="164"/>
      <c r="B14" s="95"/>
      <c r="C14" s="95"/>
      <c r="D14" s="165"/>
      <c r="E14" s="166"/>
      <c r="F14" s="22"/>
    </row>
    <row r="15" spans="1:6" ht="15.6" x14ac:dyDescent="0.3">
      <c r="A15" s="164">
        <v>18</v>
      </c>
      <c r="B15" s="167" t="s">
        <v>10</v>
      </c>
      <c r="C15" s="167" t="s">
        <v>504</v>
      </c>
      <c r="D15" s="165" t="s">
        <v>503</v>
      </c>
      <c r="E15" s="166"/>
      <c r="F15" s="22"/>
    </row>
    <row r="16" spans="1:6" ht="15.6" x14ac:dyDescent="0.3">
      <c r="A16" s="164">
        <v>30</v>
      </c>
      <c r="B16" s="167" t="s">
        <v>10</v>
      </c>
      <c r="C16" s="168" t="s">
        <v>505</v>
      </c>
      <c r="D16" s="165" t="s">
        <v>315</v>
      </c>
      <c r="E16" s="166"/>
      <c r="F16" s="22"/>
    </row>
    <row r="17" spans="1:6" ht="15.6" x14ac:dyDescent="0.3">
      <c r="A17" s="164">
        <v>30</v>
      </c>
      <c r="B17" s="167" t="s">
        <v>10</v>
      </c>
      <c r="C17" s="168" t="s">
        <v>316</v>
      </c>
      <c r="D17" s="165" t="s">
        <v>315</v>
      </c>
      <c r="E17" s="166"/>
      <c r="F17" s="22"/>
    </row>
    <row r="18" spans="1:6" ht="15.6" x14ac:dyDescent="0.3">
      <c r="A18" s="164">
        <v>30</v>
      </c>
      <c r="B18" s="167" t="s">
        <v>10</v>
      </c>
      <c r="C18" s="168" t="s">
        <v>506</v>
      </c>
      <c r="D18" s="126" t="s">
        <v>315</v>
      </c>
      <c r="E18" s="166"/>
      <c r="F18" s="22"/>
    </row>
    <row r="19" spans="1:6" ht="15.6" x14ac:dyDescent="0.3">
      <c r="A19" s="26">
        <v>30</v>
      </c>
      <c r="B19" s="167" t="s">
        <v>10</v>
      </c>
      <c r="C19" s="167" t="s">
        <v>507</v>
      </c>
      <c r="D19" s="165" t="s">
        <v>315</v>
      </c>
      <c r="E19" s="166"/>
      <c r="F19" s="22"/>
    </row>
    <row r="20" spans="1:6" ht="15.6" x14ac:dyDescent="0.3">
      <c r="A20" s="26">
        <v>30</v>
      </c>
      <c r="B20" s="27" t="s">
        <v>10</v>
      </c>
      <c r="C20" s="27" t="s">
        <v>508</v>
      </c>
      <c r="D20" s="73" t="s">
        <v>503</v>
      </c>
      <c r="E20" s="93"/>
      <c r="F20" s="22"/>
    </row>
    <row r="21" spans="1:6" ht="15.6" x14ac:dyDescent="0.3">
      <c r="A21" s="26">
        <v>60</v>
      </c>
      <c r="B21" s="25" t="s">
        <v>10</v>
      </c>
      <c r="C21" s="25" t="s">
        <v>509</v>
      </c>
      <c r="D21" s="73" t="s">
        <v>503</v>
      </c>
      <c r="E21" s="93"/>
      <c r="F21" s="22"/>
    </row>
    <row r="22" spans="1:6" ht="15.6" x14ac:dyDescent="0.3">
      <c r="A22" s="26"/>
      <c r="B22" s="25"/>
      <c r="C22" s="25"/>
      <c r="D22" s="73"/>
      <c r="E22" s="93"/>
      <c r="F22" s="22"/>
    </row>
    <row r="23" spans="1:6" ht="15.6" x14ac:dyDescent="0.3">
      <c r="A23" s="26">
        <v>40</v>
      </c>
      <c r="B23" s="25" t="s">
        <v>10</v>
      </c>
      <c r="C23" s="25" t="s">
        <v>510</v>
      </c>
      <c r="D23" s="73" t="s">
        <v>503</v>
      </c>
      <c r="E23" s="93"/>
      <c r="F23" s="22"/>
    </row>
    <row r="24" spans="1:6" ht="15.6" x14ac:dyDescent="0.3">
      <c r="A24" s="26"/>
      <c r="B24" s="25"/>
      <c r="C24" s="25"/>
      <c r="D24" s="73"/>
      <c r="E24" s="93"/>
      <c r="F24" s="22"/>
    </row>
    <row r="25" spans="1:6" ht="15.6" x14ac:dyDescent="0.3">
      <c r="A25" s="26"/>
      <c r="B25" s="25"/>
      <c r="C25" s="25"/>
      <c r="D25" s="73"/>
      <c r="E25" s="93"/>
      <c r="F25" s="22"/>
    </row>
    <row r="26" spans="1:6" ht="15.6" x14ac:dyDescent="0.3">
      <c r="A26" s="21"/>
      <c r="B26" s="20"/>
      <c r="C26" s="20"/>
      <c r="D26" s="92"/>
      <c r="E26" s="91"/>
      <c r="F26" s="18"/>
    </row>
    <row r="27" spans="1:6" ht="17.399999999999999" x14ac:dyDescent="0.3">
      <c r="A27" s="17"/>
      <c r="B27" s="16"/>
      <c r="C27" s="294" t="s">
        <v>8</v>
      </c>
      <c r="D27" s="294"/>
      <c r="E27" s="15">
        <f>SUM(E12:E24)</f>
        <v>0</v>
      </c>
      <c r="F27" s="14"/>
    </row>
    <row r="28" spans="1:6" ht="17.399999999999999" x14ac:dyDescent="0.3">
      <c r="A28" s="11"/>
      <c r="B28" s="10"/>
      <c r="C28" s="294" t="s">
        <v>7</v>
      </c>
      <c r="D28" s="294"/>
      <c r="E28" s="13">
        <f>+E27*0.16</f>
        <v>0</v>
      </c>
      <c r="F28" s="12"/>
    </row>
    <row r="29" spans="1:6" ht="17.399999999999999" x14ac:dyDescent="0.3">
      <c r="A29" s="11"/>
      <c r="B29" s="10"/>
      <c r="C29" s="294" t="s">
        <v>6</v>
      </c>
      <c r="D29" s="294"/>
      <c r="E29" s="8">
        <f>+E27+E28</f>
        <v>0</v>
      </c>
      <c r="F29" s="7"/>
    </row>
    <row r="30" spans="1:6" ht="15.6" x14ac:dyDescent="0.3">
      <c r="A30" s="6" t="s">
        <v>5</v>
      </c>
      <c r="B30" s="5"/>
      <c r="C30" s="5" t="s">
        <v>4</v>
      </c>
      <c r="D30" s="5"/>
      <c r="E30" s="5" t="s">
        <v>317</v>
      </c>
      <c r="F30" s="4" t="s">
        <v>3</v>
      </c>
    </row>
    <row r="31" spans="1:6" ht="15.6" x14ac:dyDescent="0.3">
      <c r="A31" s="3" t="s">
        <v>2</v>
      </c>
      <c r="B31" s="2"/>
      <c r="C31" s="2" t="s">
        <v>1</v>
      </c>
      <c r="D31" s="2"/>
      <c r="E31" s="2" t="s">
        <v>318</v>
      </c>
      <c r="F31" s="1" t="s">
        <v>70</v>
      </c>
    </row>
    <row r="36" spans="1:6" ht="24.6" x14ac:dyDescent="0.3">
      <c r="A36" s="305" t="s">
        <v>180</v>
      </c>
      <c r="B36" s="306"/>
      <c r="C36" s="306"/>
      <c r="D36" s="306"/>
      <c r="E36" s="306"/>
      <c r="F36" s="307"/>
    </row>
    <row r="37" spans="1:6" ht="30" x14ac:dyDescent="0.4">
      <c r="A37" s="53"/>
      <c r="B37" s="157"/>
      <c r="C37" s="158"/>
      <c r="D37" s="52"/>
      <c r="E37" s="51" t="s">
        <v>36</v>
      </c>
      <c r="F37" s="50" t="s">
        <v>617</v>
      </c>
    </row>
    <row r="38" spans="1:6" ht="30" x14ac:dyDescent="0.4">
      <c r="A38" s="49"/>
      <c r="B38" s="159"/>
      <c r="C38" s="160"/>
      <c r="D38" s="48"/>
      <c r="E38" s="47" t="s">
        <v>309</v>
      </c>
      <c r="F38" s="46"/>
    </row>
    <row r="39" spans="1:6" ht="20.399999999999999" x14ac:dyDescent="0.35">
      <c r="A39" s="39" t="s">
        <v>5</v>
      </c>
      <c r="B39" s="43" t="s">
        <v>310</v>
      </c>
      <c r="C39" s="42"/>
      <c r="D39" s="42"/>
      <c r="E39" s="98"/>
      <c r="F39" s="97"/>
    </row>
    <row r="40" spans="1:6" ht="20.399999999999999" x14ac:dyDescent="0.35">
      <c r="A40" s="39" t="s">
        <v>311</v>
      </c>
      <c r="B40" s="43" t="s">
        <v>312</v>
      </c>
      <c r="C40" s="42"/>
      <c r="D40" s="42"/>
      <c r="E40" s="41"/>
      <c r="F40" s="40"/>
    </row>
    <row r="41" spans="1:6" ht="20.399999999999999" x14ac:dyDescent="0.35">
      <c r="A41" s="39" t="s">
        <v>73</v>
      </c>
      <c r="B41" s="38" t="s">
        <v>158</v>
      </c>
      <c r="C41" s="37"/>
      <c r="D41" s="37"/>
      <c r="E41" s="41"/>
      <c r="F41" s="40"/>
    </row>
    <row r="42" spans="1:6" ht="20.399999999999999" x14ac:dyDescent="0.35">
      <c r="A42" s="39" t="s">
        <v>313</v>
      </c>
      <c r="B42" s="38" t="s">
        <v>618</v>
      </c>
      <c r="C42" s="37"/>
      <c r="D42" s="37"/>
      <c r="E42" s="36"/>
      <c r="F42" s="35"/>
    </row>
    <row r="43" spans="1:6" ht="15" x14ac:dyDescent="0.3">
      <c r="A43" s="34" t="s">
        <v>26</v>
      </c>
      <c r="B43" s="34" t="s">
        <v>25</v>
      </c>
      <c r="C43" s="34" t="s">
        <v>24</v>
      </c>
      <c r="D43" s="34" t="s">
        <v>30</v>
      </c>
      <c r="E43" s="34" t="s">
        <v>22</v>
      </c>
      <c r="F43" s="34" t="s">
        <v>21</v>
      </c>
    </row>
    <row r="44" spans="1:6" ht="15.6" x14ac:dyDescent="0.3">
      <c r="A44" s="162">
        <v>3</v>
      </c>
      <c r="B44" s="161" t="s">
        <v>177</v>
      </c>
      <c r="C44" s="161" t="s">
        <v>429</v>
      </c>
      <c r="D44" s="163"/>
      <c r="E44" s="163"/>
      <c r="F44" s="22"/>
    </row>
    <row r="45" spans="1:6" ht="15.6" x14ac:dyDescent="0.3">
      <c r="A45" s="164">
        <v>12</v>
      </c>
      <c r="B45" s="95" t="s">
        <v>177</v>
      </c>
      <c r="C45" s="95" t="s">
        <v>430</v>
      </c>
      <c r="D45" s="165"/>
      <c r="E45" s="166"/>
      <c r="F45" s="22"/>
    </row>
    <row r="46" spans="1:6" ht="15.6" x14ac:dyDescent="0.3">
      <c r="A46" s="164">
        <v>9</v>
      </c>
      <c r="B46" s="95" t="s">
        <v>177</v>
      </c>
      <c r="C46" s="95" t="s">
        <v>431</v>
      </c>
      <c r="D46" s="165"/>
      <c r="E46" s="166"/>
      <c r="F46" s="22"/>
    </row>
    <row r="47" spans="1:6" ht="15.6" x14ac:dyDescent="0.3">
      <c r="A47" s="164">
        <v>6</v>
      </c>
      <c r="B47" s="167" t="s">
        <v>10</v>
      </c>
      <c r="C47" s="168" t="s">
        <v>432</v>
      </c>
      <c r="D47" s="165"/>
      <c r="E47" s="166"/>
      <c r="F47" s="22"/>
    </row>
    <row r="48" spans="1:6" ht="15.6" x14ac:dyDescent="0.3">
      <c r="A48" s="164">
        <v>21</v>
      </c>
      <c r="B48" s="167" t="s">
        <v>10</v>
      </c>
      <c r="C48" s="168" t="s">
        <v>433</v>
      </c>
      <c r="D48" s="165"/>
      <c r="E48" s="166"/>
      <c r="F48" s="22"/>
    </row>
    <row r="49" spans="1:6" ht="15.6" x14ac:dyDescent="0.3">
      <c r="A49" s="164">
        <v>12</v>
      </c>
      <c r="B49" s="167" t="s">
        <v>10</v>
      </c>
      <c r="C49" s="168" t="s">
        <v>434</v>
      </c>
      <c r="D49" s="165"/>
      <c r="E49" s="166"/>
      <c r="F49" s="22"/>
    </row>
    <row r="50" spans="1:6" ht="15.6" x14ac:dyDescent="0.3">
      <c r="A50" s="164">
        <v>30</v>
      </c>
      <c r="B50" s="167" t="s">
        <v>10</v>
      </c>
      <c r="C50" s="167" t="s">
        <v>435</v>
      </c>
      <c r="D50" s="126"/>
      <c r="E50" s="166"/>
      <c r="F50" s="22"/>
    </row>
    <row r="51" spans="1:6" ht="15.6" x14ac:dyDescent="0.3">
      <c r="A51" s="26">
        <v>15</v>
      </c>
      <c r="B51" s="167" t="s">
        <v>10</v>
      </c>
      <c r="C51" s="27" t="s">
        <v>436</v>
      </c>
      <c r="D51" s="165"/>
      <c r="E51" s="166"/>
      <c r="F51" s="22"/>
    </row>
    <row r="52" spans="1:6" ht="31.2" x14ac:dyDescent="0.3">
      <c r="A52" s="26">
        <v>5</v>
      </c>
      <c r="B52" s="27" t="s">
        <v>10</v>
      </c>
      <c r="C52" s="25" t="s">
        <v>437</v>
      </c>
      <c r="D52" s="73"/>
      <c r="E52" s="93"/>
      <c r="F52" s="22"/>
    </row>
    <row r="53" spans="1:6" ht="15.6" x14ac:dyDescent="0.3">
      <c r="A53" s="26">
        <v>15</v>
      </c>
      <c r="B53" s="25" t="s">
        <v>10</v>
      </c>
      <c r="C53" s="25" t="s">
        <v>438</v>
      </c>
      <c r="D53" s="73"/>
      <c r="E53" s="93"/>
      <c r="F53" s="22"/>
    </row>
    <row r="54" spans="1:6" ht="15.6" x14ac:dyDescent="0.3">
      <c r="A54" s="26">
        <v>15</v>
      </c>
      <c r="B54" s="25" t="s">
        <v>10</v>
      </c>
      <c r="C54" s="25" t="s">
        <v>439</v>
      </c>
      <c r="D54" s="73"/>
      <c r="E54" s="93"/>
      <c r="F54" s="22"/>
    </row>
    <row r="55" spans="1:6" ht="15.6" x14ac:dyDescent="0.3">
      <c r="A55" s="26">
        <v>50</v>
      </c>
      <c r="B55" s="25" t="s">
        <v>10</v>
      </c>
      <c r="C55" s="25" t="s">
        <v>615</v>
      </c>
      <c r="D55" s="73"/>
      <c r="E55" s="93"/>
      <c r="F55" s="22"/>
    </row>
    <row r="56" spans="1:6" ht="15.6" x14ac:dyDescent="0.3">
      <c r="A56" s="26"/>
      <c r="B56" s="25"/>
      <c r="C56" s="25"/>
      <c r="D56" s="73"/>
      <c r="E56" s="93"/>
      <c r="F56" s="22"/>
    </row>
    <row r="57" spans="1:6" ht="15.6" x14ac:dyDescent="0.3">
      <c r="A57" s="26"/>
      <c r="B57" s="25"/>
      <c r="C57" s="25"/>
      <c r="D57" s="73"/>
      <c r="E57" s="93"/>
      <c r="F57" s="22"/>
    </row>
    <row r="58" spans="1:6" ht="15.6" x14ac:dyDescent="0.3">
      <c r="A58" s="21"/>
      <c r="B58" s="20"/>
      <c r="C58" s="20"/>
      <c r="D58" s="92"/>
      <c r="E58" s="91"/>
      <c r="F58" s="18"/>
    </row>
    <row r="59" spans="1:6" ht="17.399999999999999" x14ac:dyDescent="0.3">
      <c r="A59" s="17"/>
      <c r="B59" s="16"/>
      <c r="C59" s="294" t="s">
        <v>8</v>
      </c>
      <c r="D59" s="294"/>
      <c r="E59" s="15">
        <f>SUM(E44:E56)</f>
        <v>0</v>
      </c>
      <c r="F59" s="14"/>
    </row>
    <row r="60" spans="1:6" ht="17.399999999999999" x14ac:dyDescent="0.3">
      <c r="A60" s="11"/>
      <c r="B60" s="10"/>
      <c r="C60" s="294" t="s">
        <v>7</v>
      </c>
      <c r="D60" s="294"/>
      <c r="E60" s="13">
        <f>+E59*0.16</f>
        <v>0</v>
      </c>
      <c r="F60" s="12"/>
    </row>
    <row r="61" spans="1:6" ht="17.399999999999999" x14ac:dyDescent="0.3">
      <c r="A61" s="11"/>
      <c r="B61" s="10"/>
      <c r="C61" s="294" t="s">
        <v>6</v>
      </c>
      <c r="D61" s="294"/>
      <c r="E61" s="8">
        <f>+E59+E60</f>
        <v>0</v>
      </c>
      <c r="F61" s="7"/>
    </row>
    <row r="62" spans="1:6" ht="15.6" x14ac:dyDescent="0.3">
      <c r="A62" s="6" t="s">
        <v>5</v>
      </c>
      <c r="B62" s="5"/>
      <c r="C62" s="5" t="s">
        <v>4</v>
      </c>
      <c r="D62" s="5"/>
      <c r="E62" s="5" t="s">
        <v>317</v>
      </c>
      <c r="F62" s="4" t="s">
        <v>3</v>
      </c>
    </row>
    <row r="63" spans="1:6" ht="15.6" x14ac:dyDescent="0.3">
      <c r="A63" s="3" t="s">
        <v>2</v>
      </c>
      <c r="B63" s="2"/>
      <c r="C63" s="2" t="s">
        <v>1</v>
      </c>
      <c r="D63" s="2"/>
      <c r="E63" s="2" t="s">
        <v>318</v>
      </c>
      <c r="F63" s="1" t="s">
        <v>70</v>
      </c>
    </row>
    <row r="66" spans="1:6" ht="24.6" x14ac:dyDescent="0.3">
      <c r="A66" s="305" t="s">
        <v>180</v>
      </c>
      <c r="B66" s="306"/>
      <c r="C66" s="306"/>
      <c r="D66" s="306"/>
      <c r="E66" s="306"/>
      <c r="F66" s="307"/>
    </row>
    <row r="67" spans="1:6" ht="30" x14ac:dyDescent="0.4">
      <c r="A67" s="53"/>
      <c r="B67" s="157"/>
      <c r="C67" s="158"/>
      <c r="D67" s="52"/>
      <c r="E67" s="51" t="s">
        <v>36</v>
      </c>
      <c r="F67" s="50" t="s">
        <v>617</v>
      </c>
    </row>
    <row r="68" spans="1:6" ht="30" x14ac:dyDescent="0.4">
      <c r="A68" s="49"/>
      <c r="B68" s="159"/>
      <c r="C68" s="160"/>
      <c r="D68" s="48"/>
      <c r="E68" s="47" t="s">
        <v>309</v>
      </c>
      <c r="F68" s="46"/>
    </row>
    <row r="69" spans="1:6" ht="20.399999999999999" x14ac:dyDescent="0.35">
      <c r="A69" s="39" t="s">
        <v>5</v>
      </c>
      <c r="B69" s="43" t="s">
        <v>310</v>
      </c>
      <c r="C69" s="42"/>
      <c r="D69" s="42"/>
      <c r="E69" s="98"/>
      <c r="F69" s="97"/>
    </row>
    <row r="70" spans="1:6" ht="20.399999999999999" x14ac:dyDescent="0.35">
      <c r="A70" s="39" t="s">
        <v>311</v>
      </c>
      <c r="B70" s="43" t="s">
        <v>312</v>
      </c>
      <c r="C70" s="42"/>
      <c r="D70" s="42"/>
      <c r="E70" s="41"/>
      <c r="F70" s="40"/>
    </row>
    <row r="71" spans="1:6" ht="20.399999999999999" x14ac:dyDescent="0.35">
      <c r="A71" s="39" t="s">
        <v>73</v>
      </c>
      <c r="B71" s="38" t="s">
        <v>158</v>
      </c>
      <c r="C71" s="37"/>
      <c r="D71" s="37"/>
      <c r="E71" s="41"/>
      <c r="F71" s="40"/>
    </row>
    <row r="72" spans="1:6" ht="20.399999999999999" x14ac:dyDescent="0.35">
      <c r="A72" s="39" t="s">
        <v>313</v>
      </c>
      <c r="B72" s="38" t="s">
        <v>614</v>
      </c>
      <c r="C72" s="37"/>
      <c r="D72" s="37"/>
      <c r="E72" s="36"/>
      <c r="F72" s="35"/>
    </row>
    <row r="73" spans="1:6" ht="15" x14ac:dyDescent="0.3">
      <c r="A73" s="34" t="s">
        <v>26</v>
      </c>
      <c r="B73" s="34" t="s">
        <v>25</v>
      </c>
      <c r="C73" s="34" t="s">
        <v>24</v>
      </c>
      <c r="D73" s="34" t="s">
        <v>30</v>
      </c>
      <c r="E73" s="34" t="s">
        <v>22</v>
      </c>
      <c r="F73" s="34" t="s">
        <v>21</v>
      </c>
    </row>
    <row r="74" spans="1:6" ht="15.6" x14ac:dyDescent="0.3">
      <c r="A74" s="162">
        <v>15</v>
      </c>
      <c r="B74" s="161" t="s">
        <v>177</v>
      </c>
      <c r="C74" s="161" t="s">
        <v>440</v>
      </c>
      <c r="D74" s="163" t="s">
        <v>315</v>
      </c>
      <c r="E74" s="163"/>
      <c r="F74" s="22"/>
    </row>
    <row r="75" spans="1:6" ht="15.6" x14ac:dyDescent="0.3">
      <c r="A75" s="164">
        <v>21</v>
      </c>
      <c r="B75" s="95" t="s">
        <v>177</v>
      </c>
      <c r="C75" s="95" t="s">
        <v>441</v>
      </c>
      <c r="D75" s="165" t="s">
        <v>315</v>
      </c>
      <c r="E75" s="166"/>
      <c r="F75" s="22"/>
    </row>
    <row r="76" spans="1:6" ht="15.6" x14ac:dyDescent="0.3">
      <c r="A76" s="164">
        <v>15</v>
      </c>
      <c r="B76" s="95" t="s">
        <v>10</v>
      </c>
      <c r="C76" s="95" t="s">
        <v>442</v>
      </c>
      <c r="D76" s="165" t="s">
        <v>315</v>
      </c>
      <c r="E76" s="166"/>
      <c r="F76" s="22"/>
    </row>
    <row r="77" spans="1:6" ht="15.6" x14ac:dyDescent="0.3">
      <c r="A77" s="164">
        <v>60</v>
      </c>
      <c r="B77" s="167" t="s">
        <v>10</v>
      </c>
      <c r="C77" s="168" t="s">
        <v>443</v>
      </c>
      <c r="D77" s="165" t="s">
        <v>315</v>
      </c>
      <c r="E77" s="166"/>
      <c r="F77" s="22"/>
    </row>
    <row r="78" spans="1:6" ht="15.6" x14ac:dyDescent="0.3">
      <c r="A78" s="164">
        <v>25</v>
      </c>
      <c r="B78" s="167" t="s">
        <v>10</v>
      </c>
      <c r="C78" s="168" t="s">
        <v>444</v>
      </c>
      <c r="D78" s="165" t="s">
        <v>315</v>
      </c>
      <c r="E78" s="166"/>
      <c r="F78" s="22"/>
    </row>
    <row r="79" spans="1:6" ht="15.6" x14ac:dyDescent="0.3">
      <c r="A79" s="164">
        <v>25</v>
      </c>
      <c r="B79" s="167" t="s">
        <v>10</v>
      </c>
      <c r="C79" s="168" t="s">
        <v>445</v>
      </c>
      <c r="D79" s="165" t="s">
        <v>315</v>
      </c>
      <c r="E79" s="166"/>
      <c r="F79" s="22"/>
    </row>
    <row r="80" spans="1:6" ht="15.6" x14ac:dyDescent="0.3">
      <c r="A80" s="164">
        <v>35</v>
      </c>
      <c r="B80" s="167" t="s">
        <v>10</v>
      </c>
      <c r="C80" s="167" t="s">
        <v>446</v>
      </c>
      <c r="D80" s="126" t="s">
        <v>315</v>
      </c>
      <c r="E80" s="166"/>
      <c r="F80" s="22"/>
    </row>
    <row r="81" spans="1:6" ht="15.6" x14ac:dyDescent="0.3">
      <c r="A81" s="26">
        <v>10</v>
      </c>
      <c r="B81" s="167" t="s">
        <v>10</v>
      </c>
      <c r="C81" s="27" t="s">
        <v>447</v>
      </c>
      <c r="D81" s="165" t="s">
        <v>315</v>
      </c>
      <c r="E81" s="166"/>
      <c r="F81" s="22"/>
    </row>
    <row r="82" spans="1:6" ht="15.6" x14ac:dyDescent="0.3">
      <c r="A82" s="26">
        <v>10</v>
      </c>
      <c r="B82" s="27" t="s">
        <v>10</v>
      </c>
      <c r="C82" s="25" t="s">
        <v>448</v>
      </c>
      <c r="D82" s="73" t="s">
        <v>315</v>
      </c>
      <c r="E82" s="93"/>
      <c r="F82" s="22"/>
    </row>
    <row r="83" spans="1:6" ht="15.6" x14ac:dyDescent="0.3">
      <c r="A83" s="26">
        <v>10</v>
      </c>
      <c r="B83" s="25" t="s">
        <v>10</v>
      </c>
      <c r="C83" s="25" t="s">
        <v>449</v>
      </c>
      <c r="D83" s="73" t="s">
        <v>315</v>
      </c>
      <c r="E83" s="93"/>
      <c r="F83" s="22"/>
    </row>
    <row r="84" spans="1:6" ht="15.6" x14ac:dyDescent="0.3">
      <c r="A84" s="26"/>
      <c r="B84" s="25"/>
      <c r="C84" s="25"/>
      <c r="D84" s="73"/>
      <c r="E84" s="93"/>
      <c r="F84" s="22"/>
    </row>
    <row r="85" spans="1:6" ht="15.6" x14ac:dyDescent="0.3">
      <c r="A85" s="26"/>
      <c r="B85" s="25"/>
      <c r="D85" s="73"/>
      <c r="E85" s="93"/>
      <c r="F85" s="22"/>
    </row>
    <row r="86" spans="1:6" ht="15.6" x14ac:dyDescent="0.3">
      <c r="A86" s="26"/>
      <c r="B86" s="25"/>
      <c r="C86" s="25"/>
      <c r="D86" s="73"/>
      <c r="E86" s="93"/>
      <c r="F86" s="22"/>
    </row>
    <row r="87" spans="1:6" ht="15.6" x14ac:dyDescent="0.3">
      <c r="A87" s="26"/>
      <c r="B87" s="25"/>
      <c r="C87" s="25"/>
      <c r="D87" s="73"/>
      <c r="E87" s="93"/>
      <c r="F87" s="22"/>
    </row>
    <row r="88" spans="1:6" ht="15.6" x14ac:dyDescent="0.3">
      <c r="A88" s="21"/>
      <c r="B88" s="20"/>
      <c r="C88" s="20"/>
      <c r="D88" s="92"/>
      <c r="E88" s="91"/>
      <c r="F88" s="18"/>
    </row>
    <row r="89" spans="1:6" ht="17.399999999999999" x14ac:dyDescent="0.3">
      <c r="A89" s="17"/>
      <c r="B89" s="16"/>
      <c r="C89" s="294" t="s">
        <v>8</v>
      </c>
      <c r="D89" s="294"/>
      <c r="E89" s="15">
        <f>SUM(E74:E86)</f>
        <v>0</v>
      </c>
      <c r="F89" s="14"/>
    </row>
    <row r="90" spans="1:6" ht="17.399999999999999" x14ac:dyDescent="0.3">
      <c r="A90" s="11"/>
      <c r="B90" s="10"/>
      <c r="C90" s="294" t="s">
        <v>7</v>
      </c>
      <c r="D90" s="294"/>
      <c r="E90" s="13">
        <f>+E89*0.16</f>
        <v>0</v>
      </c>
      <c r="F90" s="12"/>
    </row>
    <row r="91" spans="1:6" ht="17.399999999999999" x14ac:dyDescent="0.3">
      <c r="A91" s="11"/>
      <c r="B91" s="10"/>
      <c r="C91" s="294" t="s">
        <v>6</v>
      </c>
      <c r="D91" s="294"/>
      <c r="E91" s="8">
        <f>+E89+E90</f>
        <v>0</v>
      </c>
      <c r="F91" s="7"/>
    </row>
    <row r="92" spans="1:6" ht="15.6" x14ac:dyDescent="0.3">
      <c r="A92" s="6" t="s">
        <v>5</v>
      </c>
      <c r="B92" s="5"/>
      <c r="C92" s="5" t="s">
        <v>4</v>
      </c>
      <c r="D92" s="5"/>
      <c r="E92" s="5" t="s">
        <v>317</v>
      </c>
      <c r="F92" s="4" t="s">
        <v>3</v>
      </c>
    </row>
    <row r="93" spans="1:6" ht="15.6" x14ac:dyDescent="0.3">
      <c r="A93" s="3" t="s">
        <v>2</v>
      </c>
      <c r="B93" s="2"/>
      <c r="C93" s="2" t="s">
        <v>1</v>
      </c>
      <c r="D93" s="2"/>
      <c r="E93" s="2" t="s">
        <v>318</v>
      </c>
      <c r="F93" s="1" t="s">
        <v>70</v>
      </c>
    </row>
  </sheetData>
  <mergeCells count="12">
    <mergeCell ref="C90:D90"/>
    <mergeCell ref="C91:D91"/>
    <mergeCell ref="C59:D59"/>
    <mergeCell ref="C60:D60"/>
    <mergeCell ref="C61:D61"/>
    <mergeCell ref="A66:F66"/>
    <mergeCell ref="C89:D89"/>
    <mergeCell ref="C27:D27"/>
    <mergeCell ref="C28:D28"/>
    <mergeCell ref="C29:D29"/>
    <mergeCell ref="A4:F4"/>
    <mergeCell ref="A36:F36"/>
  </mergeCells>
  <dataValidations count="1">
    <dataValidation type="textLength" errorStyle="warning" allowBlank="1" showErrorMessage="1" errorTitle="Tipo de unidad" error="Escriba el tipo de unidad (bruto, cajas, docenas, paquetes, fajos, etc.) al que se refiere el precio unitario._x000a_" promptTitle="Tipo de unidad" sqref="A30 A62 A92" xr:uid="{FE39FC62-7796-408D-9E64-513CEFDB1000}">
      <formula1>0</formula1>
      <formula2>256</formula2>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ORDEN DE COMPRA</vt:lpstr>
      <vt:lpstr>SEMANA 24</vt:lpstr>
      <vt:lpstr>SEMANA 23</vt:lpstr>
      <vt:lpstr>SEMANA 22</vt:lpstr>
      <vt:lpstr>SEMANA 21</vt:lpstr>
      <vt:lpstr>semana 20</vt:lpstr>
      <vt:lpstr>movimiento entre obras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Rosy Lares</dc:creator>
  <cp:lastModifiedBy>Rosy Lares</cp:lastModifiedBy>
  <cp:lastPrinted>2026-05-20T19:52:33Z</cp:lastPrinted>
  <dcterms:created xsi:type="dcterms:W3CDTF">2026-05-06T20:14:53Z</dcterms:created>
  <dcterms:modified xsi:type="dcterms:W3CDTF">2026-06-10T23:44:12Z</dcterms:modified>
</cp:coreProperties>
</file>