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EAPAD 3\OneDrive\Escritorio\Escritorio\MAPLE\"/>
    </mc:Choice>
  </mc:AlternateContent>
  <xr:revisionPtr revIDLastSave="0" documentId="13_ncr:1_{75FFB7D9-5A3E-4ABB-9494-C26DD00E9B0A}" xr6:coauthVersionLast="47" xr6:coauthVersionMax="47" xr10:uidLastSave="{00000000-0000-0000-0000-000000000000}"/>
  <bookViews>
    <workbookView xWindow="28680" yWindow="-120" windowWidth="29040" windowHeight="15720" xr2:uid="{2082D3C3-9F3E-4F05-939C-076533BB811D}"/>
  </bookViews>
  <sheets>
    <sheet name="SEMANA 24" sheetId="35" r:id="rId1"/>
    <sheet name="SEMANA 23" sheetId="34" r:id="rId2"/>
    <sheet name="SEMANA 22" sheetId="33" r:id="rId3"/>
    <sheet name="SEMANA 21" sheetId="32" r:id="rId4"/>
    <sheet name="SEMANA 20" sheetId="31" r:id="rId5"/>
    <sheet name="semana 19" sheetId="30" r:id="rId6"/>
    <sheet name="Hoja2" sheetId="29" r:id="rId7"/>
    <sheet name="LIMPIA  (3)" sheetId="4" r:id="rId8"/>
    <sheet name="AZYCO" sheetId="14" r:id="rId9"/>
    <sheet name="0021 HOME DEPOT  (2)" sheetId="28" r:id="rId10"/>
    <sheet name="0021 HOME DEPOT " sheetId="27" r:id="rId11"/>
    <sheet name="0018 PLOMERIA CIMENTACIÓN P (5)" sheetId="26" r:id="rId12"/>
    <sheet name="0018 PLOMERIA CIMENTACIÓN P (4)" sheetId="25" r:id="rId13"/>
    <sheet name="0018 PLOMERIA CIMENTACIÓN P (3)" sheetId="24" r:id="rId14"/>
    <sheet name="0018 PLOMERIA CIMENTACIÓN P (2)" sheetId="23" r:id="rId15"/>
    <sheet name="0017 HOME DEPOT" sheetId="22" r:id="rId16"/>
    <sheet name="0016 PLOMERIA UNIVERSAL" sheetId="21" r:id="rId17"/>
    <sheet name="0015 TU CONSTRUYES" sheetId="20" r:id="rId18"/>
    <sheet name="0014 HOME DEPOT" sheetId="19" r:id="rId19"/>
    <sheet name="0013 JM MADERERA" sheetId="18" r:id="rId20"/>
    <sheet name="0012 HARMAK CEMENTO" sheetId="17" r:id="rId21"/>
    <sheet name="0011 JM MADERERA" sheetId="16" r:id="rId22"/>
    <sheet name="0010 HOME DEPOT" sheetId="15" r:id="rId23"/>
    <sheet name="0009 QUINZAÑO " sheetId="13" r:id="rId24"/>
    <sheet name="0008 PLOMERIA UNIVERSAL (2)" sheetId="12" r:id="rId25"/>
    <sheet name="0008 PLOMERIA UNIVERSAL" sheetId="11" r:id="rId26"/>
    <sheet name="0007 PLOMERIA CIMENTACIÓN PVC" sheetId="10" r:id="rId27"/>
    <sheet name="0006 JM MADERERA" sheetId="9" r:id="rId28"/>
    <sheet name="0005 HOME DEPOT " sheetId="8" r:id="rId29"/>
    <sheet name="0004 HOME DEPOT  (3)" sheetId="7" r:id="rId30"/>
    <sheet name="0003 HOME DEPOT  (2)" sheetId="6" r:id="rId31"/>
    <sheet name="0002 POLIACERO" sheetId="5" r:id="rId32"/>
    <sheet name="0001 HOME DEPOT " sheetId="3" r:id="rId33"/>
    <sheet name="142" sheetId="2" r:id="rId34"/>
    <sheet name="Hoja1" sheetId="1" r:id="rId35"/>
  </sheets>
  <externalReferences>
    <externalReference r:id="rId36"/>
  </externalReferences>
  <definedNames>
    <definedName name="_xlnm.Print_Area" localSheetId="32">#REF!</definedName>
    <definedName name="_xlnm.Print_Area" localSheetId="31">#REF!</definedName>
    <definedName name="_xlnm.Print_Area" localSheetId="30">#REF!</definedName>
    <definedName name="_xlnm.Print_Area" localSheetId="29">#REF!</definedName>
    <definedName name="_xlnm.Print_Area" localSheetId="28">#REF!</definedName>
    <definedName name="_xlnm.Print_Area" localSheetId="27">#REF!</definedName>
    <definedName name="_xlnm.Print_Area" localSheetId="26">#REF!</definedName>
    <definedName name="_xlnm.Print_Area" localSheetId="25">#REF!</definedName>
    <definedName name="_xlnm.Print_Area" localSheetId="24">#REF!</definedName>
    <definedName name="_xlnm.Print_Area" localSheetId="23">#REF!</definedName>
    <definedName name="_xlnm.Print_Area" localSheetId="22">#REF!</definedName>
    <definedName name="_xlnm.Print_Area" localSheetId="21">#REF!</definedName>
    <definedName name="_xlnm.Print_Area" localSheetId="20">#REF!</definedName>
    <definedName name="_xlnm.Print_Area" localSheetId="19">#REF!</definedName>
    <definedName name="_xlnm.Print_Area" localSheetId="18">#REF!</definedName>
    <definedName name="_xlnm.Print_Area" localSheetId="17">#REF!</definedName>
    <definedName name="_xlnm.Print_Area" localSheetId="16">#REF!</definedName>
    <definedName name="_xlnm.Print_Area" localSheetId="15">#REF!</definedName>
    <definedName name="_xlnm.Print_Area" localSheetId="14">#REF!</definedName>
    <definedName name="_xlnm.Print_Area" localSheetId="13">#REF!</definedName>
    <definedName name="_xlnm.Print_Area" localSheetId="12">#REF!</definedName>
    <definedName name="_xlnm.Print_Area" localSheetId="11">#REF!</definedName>
    <definedName name="_xlnm.Print_Area" localSheetId="10">#REF!</definedName>
    <definedName name="_xlnm.Print_Area" localSheetId="9">#REF!</definedName>
    <definedName name="_xlnm.Print_Area" localSheetId="8">#REF!</definedName>
    <definedName name="_xlnm.Print_Area" localSheetId="7">#REF!</definedName>
    <definedName name="_xlnm.Print_Area">#REF!</definedName>
    <definedName name="dflt6">[1]Personalizar!$F$28</definedName>
    <definedName name="dflt7">[1]Personalizar!$E$29</definedName>
    <definedName name="IGNIS" localSheetId="32">#REF!</definedName>
    <definedName name="IGNIS" localSheetId="31">#REF!</definedName>
    <definedName name="IGNIS" localSheetId="30">#REF!</definedName>
    <definedName name="IGNIS" localSheetId="29">#REF!</definedName>
    <definedName name="IGNIS" localSheetId="28">#REF!</definedName>
    <definedName name="IGNIS" localSheetId="27">#REF!</definedName>
    <definedName name="IGNIS" localSheetId="26">#REF!</definedName>
    <definedName name="IGNIS" localSheetId="25">#REF!</definedName>
    <definedName name="IGNIS" localSheetId="24">#REF!</definedName>
    <definedName name="IGNIS" localSheetId="23">#REF!</definedName>
    <definedName name="IGNIS" localSheetId="22">#REF!</definedName>
    <definedName name="IGNIS" localSheetId="21">#REF!</definedName>
    <definedName name="IGNIS" localSheetId="20">#REF!</definedName>
    <definedName name="IGNIS" localSheetId="19">#REF!</definedName>
    <definedName name="IGNIS" localSheetId="18">#REF!</definedName>
    <definedName name="IGNIS" localSheetId="17">#REF!</definedName>
    <definedName name="IGNIS" localSheetId="16">#REF!</definedName>
    <definedName name="IGNIS" localSheetId="15">#REF!</definedName>
    <definedName name="IGNIS" localSheetId="14">#REF!</definedName>
    <definedName name="IGNIS" localSheetId="13">#REF!</definedName>
    <definedName name="IGNIS" localSheetId="12">#REF!</definedName>
    <definedName name="IGNIS" localSheetId="11">#REF!</definedName>
    <definedName name="IGNIS" localSheetId="10">#REF!</definedName>
    <definedName name="IGNIS" localSheetId="9">#REF!</definedName>
    <definedName name="IGNIS" localSheetId="8">#REF!</definedName>
    <definedName name="IGNIS" localSheetId="7">#REF!</definedName>
    <definedName name="IGNIS">#REF!</definedName>
    <definedName name="Prot." comment="IGNIS" localSheetId="32">#REF!</definedName>
    <definedName name="Prot." comment="IGNIS" localSheetId="31">#REF!</definedName>
    <definedName name="Prot." comment="IGNIS" localSheetId="30">#REF!</definedName>
    <definedName name="Prot." comment="IGNIS" localSheetId="29">#REF!</definedName>
    <definedName name="Prot." comment="IGNIS" localSheetId="28">#REF!</definedName>
    <definedName name="Prot." comment="IGNIS" localSheetId="27">#REF!</definedName>
    <definedName name="Prot." comment="IGNIS" localSheetId="26">#REF!</definedName>
    <definedName name="Prot." comment="IGNIS" localSheetId="25">#REF!</definedName>
    <definedName name="Prot." comment="IGNIS" localSheetId="24">#REF!</definedName>
    <definedName name="Prot." comment="IGNIS" localSheetId="23">#REF!</definedName>
    <definedName name="Prot." comment="IGNIS" localSheetId="22">#REF!</definedName>
    <definedName name="Prot." comment="IGNIS" localSheetId="21">#REF!</definedName>
    <definedName name="Prot." comment="IGNIS" localSheetId="20">#REF!</definedName>
    <definedName name="Prot." comment="IGNIS" localSheetId="19">#REF!</definedName>
    <definedName name="Prot." comment="IGNIS" localSheetId="18">#REF!</definedName>
    <definedName name="Prot." comment="IGNIS" localSheetId="17">#REF!</definedName>
    <definedName name="Prot." comment="IGNIS" localSheetId="16">#REF!</definedName>
    <definedName name="Prot." comment="IGNIS" localSheetId="15">#REF!</definedName>
    <definedName name="Prot." comment="IGNIS" localSheetId="14">#REF!</definedName>
    <definedName name="Prot." comment="IGNIS" localSheetId="13">#REF!</definedName>
    <definedName name="Prot." comment="IGNIS" localSheetId="12">#REF!</definedName>
    <definedName name="Prot." comment="IGNIS" localSheetId="11">#REF!</definedName>
    <definedName name="Prot." comment="IGNIS" localSheetId="10">#REF!</definedName>
    <definedName name="Prot." comment="IGNIS" localSheetId="9">#REF!</definedName>
    <definedName name="Prot." comment="IGNIS" localSheetId="8">#REF!</definedName>
    <definedName name="Prot." comment="IGNIS" localSheetId="7">#REF!</definedName>
    <definedName name="Prot." comment="IGNIS">#REF!</definedName>
    <definedName name="_xlnm.Print_Titles" localSheetId="32">#REF!</definedName>
    <definedName name="_xlnm.Print_Titles" localSheetId="31">#REF!</definedName>
    <definedName name="_xlnm.Print_Titles" localSheetId="30">#REF!</definedName>
    <definedName name="_xlnm.Print_Titles" localSheetId="29">#REF!</definedName>
    <definedName name="_xlnm.Print_Titles" localSheetId="28">#REF!</definedName>
    <definedName name="_xlnm.Print_Titles" localSheetId="27">#REF!</definedName>
    <definedName name="_xlnm.Print_Titles" localSheetId="26">#REF!</definedName>
    <definedName name="_xlnm.Print_Titles" localSheetId="25">#REF!</definedName>
    <definedName name="_xlnm.Print_Titles" localSheetId="24">#REF!</definedName>
    <definedName name="_xlnm.Print_Titles" localSheetId="23">#REF!</definedName>
    <definedName name="_xlnm.Print_Titles" localSheetId="22">#REF!</definedName>
    <definedName name="_xlnm.Print_Titles" localSheetId="21">#REF!</definedName>
    <definedName name="_xlnm.Print_Titles" localSheetId="20">#REF!</definedName>
    <definedName name="_xlnm.Print_Titles" localSheetId="19">#REF!</definedName>
    <definedName name="_xlnm.Print_Titles" localSheetId="18">#REF!</definedName>
    <definedName name="_xlnm.Print_Titles" localSheetId="17">#REF!</definedName>
    <definedName name="_xlnm.Print_Titles" localSheetId="16">#REF!</definedName>
    <definedName name="_xlnm.Print_Titles" localSheetId="15">#REF!</definedName>
    <definedName name="_xlnm.Print_Titles" localSheetId="14">#REF!</definedName>
    <definedName name="_xlnm.Print_Titles" localSheetId="13">#REF!</definedName>
    <definedName name="_xlnm.Print_Titles" localSheetId="12">#REF!</definedName>
    <definedName name="_xlnm.Print_Titles" localSheetId="11">#REF!</definedName>
    <definedName name="_xlnm.Print_Titles" localSheetId="10">#REF!</definedName>
    <definedName name="_xlnm.Print_Titles" localSheetId="9">#REF!</definedName>
    <definedName name="_xlnm.Print_Titles" localSheetId="33">#N/A</definedName>
    <definedName name="_xlnm.Print_Titles" localSheetId="8">#REF!</definedName>
    <definedName name="_xlnm.Print_Titles" localSheetId="7">#REF!</definedName>
    <definedName name="_xlnm.Print_Titl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1" i="35" l="1"/>
  <c r="F170" i="35"/>
  <c r="F169" i="35"/>
  <c r="F168" i="35"/>
  <c r="F167" i="35"/>
  <c r="F166" i="35"/>
  <c r="F165" i="35"/>
  <c r="F164" i="35"/>
  <c r="F163" i="35"/>
  <c r="F162" i="35"/>
  <c r="F161" i="35"/>
  <c r="F128" i="35"/>
  <c r="F129" i="35"/>
  <c r="F130" i="35"/>
  <c r="F131" i="35"/>
  <c r="F132" i="35"/>
  <c r="F133" i="35"/>
  <c r="F134" i="35"/>
  <c r="F143" i="35"/>
  <c r="F142" i="35"/>
  <c r="F141" i="35"/>
  <c r="F140" i="35"/>
  <c r="F139" i="35"/>
  <c r="F138" i="35"/>
  <c r="F137" i="35"/>
  <c r="F136" i="35"/>
  <c r="F135" i="35"/>
  <c r="F127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111" i="35" s="1"/>
  <c r="F172" i="35" l="1"/>
  <c r="F173" i="35" s="1"/>
  <c r="F174" i="35" s="1"/>
  <c r="F144" i="35"/>
  <c r="F145" i="35" s="1"/>
  <c r="F112" i="35"/>
  <c r="F113" i="35" s="1"/>
  <c r="F146" i="35" l="1"/>
  <c r="F78" i="35" l="1"/>
  <c r="F77" i="35"/>
  <c r="F76" i="35"/>
  <c r="F75" i="35"/>
  <c r="F74" i="35"/>
  <c r="F73" i="35"/>
  <c r="F72" i="35"/>
  <c r="F71" i="35"/>
  <c r="F70" i="35"/>
  <c r="F69" i="35"/>
  <c r="F68" i="35"/>
  <c r="F51" i="35"/>
  <c r="F50" i="35"/>
  <c r="F49" i="35"/>
  <c r="F48" i="35"/>
  <c r="F47" i="35"/>
  <c r="F46" i="35"/>
  <c r="F45" i="35"/>
  <c r="F44" i="35"/>
  <c r="F43" i="35"/>
  <c r="F42" i="35"/>
  <c r="F79" i="35" l="1"/>
  <c r="F80" i="35" s="1"/>
  <c r="F52" i="35"/>
  <c r="F53" i="35" s="1"/>
  <c r="F54" i="35"/>
  <c r="F81" i="35" l="1"/>
  <c r="F13" i="35" l="1"/>
  <c r="F24" i="35"/>
  <c r="F23" i="35"/>
  <c r="F22" i="35"/>
  <c r="F21" i="35"/>
  <c r="F20" i="35"/>
  <c r="F19" i="35"/>
  <c r="F18" i="35"/>
  <c r="F17" i="35"/>
  <c r="F16" i="35"/>
  <c r="F15" i="35"/>
  <c r="F14" i="35"/>
  <c r="F25" i="35" l="1"/>
  <c r="F26" i="35" s="1"/>
  <c r="F27" i="35" s="1"/>
  <c r="F354" i="34" l="1"/>
  <c r="F353" i="34"/>
  <c r="F352" i="34"/>
  <c r="F351" i="34"/>
  <c r="F350" i="34"/>
  <c r="F349" i="34"/>
  <c r="F348" i="34"/>
  <c r="F347" i="34"/>
  <c r="F346" i="34"/>
  <c r="F345" i="34"/>
  <c r="F355" i="34" s="1"/>
  <c r="F356" i="34" l="1"/>
  <c r="F357" i="34" s="1"/>
  <c r="F327" i="34" l="1"/>
  <c r="F326" i="34"/>
  <c r="F325" i="34"/>
  <c r="F324" i="34"/>
  <c r="F323" i="34"/>
  <c r="F322" i="34"/>
  <c r="F321" i="34"/>
  <c r="F320" i="34"/>
  <c r="F319" i="34"/>
  <c r="F318" i="34"/>
  <c r="F301" i="34"/>
  <c r="F300" i="34"/>
  <c r="F299" i="34"/>
  <c r="F298" i="34"/>
  <c r="F297" i="34"/>
  <c r="F296" i="34"/>
  <c r="F295" i="34"/>
  <c r="F294" i="34"/>
  <c r="F293" i="34"/>
  <c r="F292" i="34"/>
  <c r="F328" i="34" l="1"/>
  <c r="F329" i="34" s="1"/>
  <c r="F330" i="34" s="1"/>
  <c r="F302" i="34"/>
  <c r="F303" i="34" s="1"/>
  <c r="F304" i="34" s="1"/>
  <c r="F275" i="34" l="1"/>
  <c r="F274" i="34"/>
  <c r="F273" i="34"/>
  <c r="F272" i="34"/>
  <c r="F271" i="34"/>
  <c r="F270" i="34"/>
  <c r="F269" i="34"/>
  <c r="F268" i="34"/>
  <c r="F267" i="34"/>
  <c r="F266" i="34"/>
  <c r="F265" i="34"/>
  <c r="F264" i="34"/>
  <c r="F263" i="34"/>
  <c r="F262" i="34"/>
  <c r="F261" i="34"/>
  <c r="F260" i="34"/>
  <c r="F242" i="34"/>
  <c r="F241" i="34"/>
  <c r="F240" i="34"/>
  <c r="F239" i="34"/>
  <c r="F238" i="34"/>
  <c r="F237" i="34"/>
  <c r="F236" i="34"/>
  <c r="F235" i="34"/>
  <c r="F234" i="34"/>
  <c r="F233" i="34"/>
  <c r="F232" i="34"/>
  <c r="F231" i="34"/>
  <c r="F230" i="34"/>
  <c r="F229" i="34"/>
  <c r="F228" i="34"/>
  <c r="F210" i="34"/>
  <c r="F209" i="34"/>
  <c r="F208" i="34"/>
  <c r="F207" i="34"/>
  <c r="F206" i="34"/>
  <c r="F205" i="34"/>
  <c r="F204" i="34"/>
  <c r="F203" i="34"/>
  <c r="F202" i="34"/>
  <c r="F201" i="34"/>
  <c r="F200" i="34"/>
  <c r="F199" i="34"/>
  <c r="F181" i="34"/>
  <c r="F180" i="34"/>
  <c r="F179" i="34"/>
  <c r="F178" i="34"/>
  <c r="F177" i="34"/>
  <c r="F176" i="34"/>
  <c r="F175" i="34"/>
  <c r="F174" i="34"/>
  <c r="F173" i="34"/>
  <c r="F172" i="34"/>
  <c r="F171" i="34"/>
  <c r="F170" i="34"/>
  <c r="F152" i="34"/>
  <c r="F151" i="34"/>
  <c r="F150" i="34"/>
  <c r="F149" i="34"/>
  <c r="F148" i="34"/>
  <c r="F147" i="34"/>
  <c r="F146" i="34"/>
  <c r="F145" i="34"/>
  <c r="F144" i="34"/>
  <c r="F143" i="34"/>
  <c r="F142" i="34"/>
  <c r="F141" i="34"/>
  <c r="F140" i="34"/>
  <c r="F139" i="34"/>
  <c r="F138" i="34"/>
  <c r="F137" i="34"/>
  <c r="F119" i="34"/>
  <c r="F118" i="34"/>
  <c r="F117" i="34"/>
  <c r="F116" i="34"/>
  <c r="F115" i="34"/>
  <c r="F114" i="34"/>
  <c r="F113" i="34"/>
  <c r="F112" i="34"/>
  <c r="F111" i="34"/>
  <c r="F110" i="34"/>
  <c r="F109" i="34"/>
  <c r="F108" i="34"/>
  <c r="F107" i="34"/>
  <c r="F106" i="34"/>
  <c r="F105" i="34"/>
  <c r="F87" i="34"/>
  <c r="F86" i="34"/>
  <c r="F85" i="34"/>
  <c r="F84" i="34"/>
  <c r="F83" i="34"/>
  <c r="F82" i="34"/>
  <c r="F81" i="34"/>
  <c r="F80" i="34"/>
  <c r="F79" i="34"/>
  <c r="F78" i="34"/>
  <c r="F77" i="34"/>
  <c r="F76" i="34"/>
  <c r="F75" i="34"/>
  <c r="F74" i="34"/>
  <c r="F73" i="34"/>
  <c r="F182" i="34" l="1"/>
  <c r="F183" i="34" s="1"/>
  <c r="F184" i="34" s="1"/>
  <c r="F243" i="34"/>
  <c r="F276" i="34"/>
  <c r="F277" i="34" s="1"/>
  <c r="F278" i="34" s="1"/>
  <c r="F211" i="34"/>
  <c r="F212" i="34" s="1"/>
  <c r="F213" i="34" s="1"/>
  <c r="F153" i="34"/>
  <c r="F154" i="34" s="1"/>
  <c r="F155" i="34" s="1"/>
  <c r="F244" i="34"/>
  <c r="F245" i="34" s="1"/>
  <c r="F120" i="34"/>
  <c r="F121" i="34" s="1"/>
  <c r="F122" i="34" s="1"/>
  <c r="F88" i="34"/>
  <c r="F89" i="34" s="1"/>
  <c r="F90" i="34" s="1"/>
  <c r="F55" i="34" l="1"/>
  <c r="F54" i="34"/>
  <c r="F53" i="34"/>
  <c r="F52" i="34"/>
  <c r="F51" i="34"/>
  <c r="F50" i="34"/>
  <c r="F49" i="34"/>
  <c r="F48" i="34"/>
  <c r="F47" i="34"/>
  <c r="F46" i="34"/>
  <c r="F56" i="34" l="1"/>
  <c r="F57" i="34" s="1"/>
  <c r="F58" i="34" s="1"/>
  <c r="F28" i="34" l="1"/>
  <c r="F27" i="34"/>
  <c r="F26" i="34"/>
  <c r="F25" i="34"/>
  <c r="F24" i="34"/>
  <c r="F23" i="34"/>
  <c r="F22" i="34"/>
  <c r="F21" i="34"/>
  <c r="F20" i="34"/>
  <c r="F19" i="34"/>
  <c r="F18" i="34"/>
  <c r="F17" i="34"/>
  <c r="F16" i="34"/>
  <c r="F15" i="34"/>
  <c r="F14" i="34"/>
  <c r="F29" i="34" l="1"/>
  <c r="F30" i="34"/>
  <c r="F31" i="34" s="1"/>
  <c r="F352" i="33" l="1"/>
  <c r="F351" i="33"/>
  <c r="F350" i="33"/>
  <c r="F349" i="33"/>
  <c r="F348" i="33"/>
  <c r="F347" i="33"/>
  <c r="F346" i="33"/>
  <c r="F345" i="33"/>
  <c r="F344" i="33"/>
  <c r="F343" i="33"/>
  <c r="F353" i="33" l="1"/>
  <c r="F354" i="33" s="1"/>
  <c r="F355" i="33" s="1"/>
  <c r="F325" i="33" l="1"/>
  <c r="F324" i="33"/>
  <c r="F323" i="33"/>
  <c r="F322" i="33"/>
  <c r="F321" i="33"/>
  <c r="F320" i="33"/>
  <c r="F319" i="33"/>
  <c r="F318" i="33"/>
  <c r="F317" i="33"/>
  <c r="F316" i="33"/>
  <c r="F315" i="33"/>
  <c r="F314" i="33"/>
  <c r="F313" i="33"/>
  <c r="F312" i="33"/>
  <c r="E311" i="33"/>
  <c r="F311" i="33" s="1"/>
  <c r="F326" i="33" s="1"/>
  <c r="F327" i="33" l="1"/>
  <c r="F328" i="33" s="1"/>
  <c r="E279" i="33" l="1"/>
  <c r="F293" i="33"/>
  <c r="F292" i="33"/>
  <c r="F291" i="33"/>
  <c r="F290" i="33"/>
  <c r="F289" i="33"/>
  <c r="F288" i="33"/>
  <c r="F287" i="33"/>
  <c r="F286" i="33"/>
  <c r="F285" i="33"/>
  <c r="F284" i="33"/>
  <c r="F283" i="33"/>
  <c r="F282" i="33"/>
  <c r="F281" i="33"/>
  <c r="F280" i="33"/>
  <c r="F279" i="33"/>
  <c r="F294" i="33" l="1"/>
  <c r="F295" i="33" s="1"/>
  <c r="F296" i="33" s="1"/>
  <c r="F261" i="33" l="1"/>
  <c r="F260" i="33"/>
  <c r="F259" i="33"/>
  <c r="F258" i="33"/>
  <c r="F257" i="33"/>
  <c r="F256" i="33"/>
  <c r="F255" i="33"/>
  <c r="F254" i="33"/>
  <c r="F253" i="33"/>
  <c r="F252" i="33"/>
  <c r="F251" i="33"/>
  <c r="F250" i="33"/>
  <c r="F249" i="33"/>
  <c r="F248" i="33"/>
  <c r="F247" i="33"/>
  <c r="F262" i="33" l="1"/>
  <c r="F263" i="33" s="1"/>
  <c r="F264" i="33" s="1"/>
  <c r="F229" i="33" l="1"/>
  <c r="F228" i="33"/>
  <c r="F227" i="33"/>
  <c r="F226" i="33"/>
  <c r="F225" i="33"/>
  <c r="F224" i="33"/>
  <c r="F223" i="33"/>
  <c r="F222" i="33"/>
  <c r="F221" i="33"/>
  <c r="F220" i="33"/>
  <c r="F203" i="33"/>
  <c r="F202" i="33"/>
  <c r="F201" i="33"/>
  <c r="F200" i="33"/>
  <c r="F199" i="33"/>
  <c r="F198" i="33"/>
  <c r="F197" i="33"/>
  <c r="F196" i="33"/>
  <c r="F195" i="33"/>
  <c r="F194" i="33"/>
  <c r="F230" i="33" l="1"/>
  <c r="F231" i="33"/>
  <c r="F232" i="33" s="1"/>
  <c r="F204" i="33"/>
  <c r="F205" i="33" s="1"/>
  <c r="F206" i="33" s="1"/>
  <c r="L171" i="33" l="1"/>
  <c r="L170" i="33"/>
  <c r="F170" i="33"/>
  <c r="F171" i="33"/>
  <c r="F172" i="33"/>
  <c r="F173" i="33"/>
  <c r="F174" i="33"/>
  <c r="F175" i="33"/>
  <c r="F176" i="33"/>
  <c r="F177" i="33"/>
  <c r="F169" i="33"/>
  <c r="F168" i="33"/>
  <c r="F167" i="33"/>
  <c r="F166" i="33"/>
  <c r="F165" i="33"/>
  <c r="F164" i="33"/>
  <c r="F162" i="33"/>
  <c r="F161" i="33"/>
  <c r="F144" i="33"/>
  <c r="F143" i="33"/>
  <c r="F142" i="33"/>
  <c r="F141" i="33"/>
  <c r="F140" i="33"/>
  <c r="F139" i="33"/>
  <c r="F138" i="33"/>
  <c r="F137" i="33"/>
  <c r="F136" i="33"/>
  <c r="F135" i="33"/>
  <c r="F117" i="33"/>
  <c r="F116" i="33"/>
  <c r="F115" i="33"/>
  <c r="F114" i="33"/>
  <c r="F113" i="33"/>
  <c r="F112" i="33"/>
  <c r="F111" i="33"/>
  <c r="F110" i="33"/>
  <c r="F109" i="33"/>
  <c r="F108" i="33"/>
  <c r="F107" i="33"/>
  <c r="F106" i="33"/>
  <c r="F105" i="33"/>
  <c r="F104" i="33"/>
  <c r="F103" i="33"/>
  <c r="F86" i="33"/>
  <c r="F85" i="33"/>
  <c r="F84" i="33"/>
  <c r="F83" i="33"/>
  <c r="F82" i="33"/>
  <c r="F81" i="33"/>
  <c r="F80" i="33"/>
  <c r="F79" i="33"/>
  <c r="F78" i="33"/>
  <c r="F77" i="33"/>
  <c r="F76" i="33"/>
  <c r="F75" i="33"/>
  <c r="F56" i="33"/>
  <c r="F55" i="33"/>
  <c r="F54" i="33"/>
  <c r="F53" i="33"/>
  <c r="F52" i="33"/>
  <c r="F51" i="33"/>
  <c r="F50" i="33"/>
  <c r="F49" i="33"/>
  <c r="F48" i="33"/>
  <c r="F47" i="33"/>
  <c r="F46" i="33"/>
  <c r="F45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K144" i="32"/>
  <c r="E143" i="32"/>
  <c r="F143" i="32" s="1"/>
  <c r="F174" i="32"/>
  <c r="F173" i="32"/>
  <c r="F172" i="32"/>
  <c r="F171" i="32"/>
  <c r="F170" i="32"/>
  <c r="F169" i="32"/>
  <c r="F168" i="32"/>
  <c r="F167" i="32"/>
  <c r="F166" i="32"/>
  <c r="F165" i="32"/>
  <c r="F147" i="32"/>
  <c r="F146" i="32"/>
  <c r="F145" i="32"/>
  <c r="F144" i="32"/>
  <c r="F142" i="32"/>
  <c r="F141" i="32"/>
  <c r="F140" i="32"/>
  <c r="F138" i="32"/>
  <c r="F137" i="32"/>
  <c r="F48" i="32"/>
  <c r="F118" i="32"/>
  <c r="F117" i="32"/>
  <c r="F116" i="32"/>
  <c r="F115" i="32"/>
  <c r="F114" i="32"/>
  <c r="F113" i="32"/>
  <c r="F112" i="32"/>
  <c r="F111" i="32"/>
  <c r="F110" i="32"/>
  <c r="F109" i="32"/>
  <c r="F108" i="32"/>
  <c r="F107" i="32"/>
  <c r="F106" i="32"/>
  <c r="F105" i="32"/>
  <c r="F104" i="32"/>
  <c r="F87" i="32"/>
  <c r="F86" i="32"/>
  <c r="F85" i="32"/>
  <c r="F84" i="32"/>
  <c r="F83" i="32"/>
  <c r="F82" i="32"/>
  <c r="F81" i="32"/>
  <c r="F80" i="32"/>
  <c r="F79" i="32"/>
  <c r="F78" i="32"/>
  <c r="F61" i="32"/>
  <c r="F60" i="32"/>
  <c r="F59" i="32"/>
  <c r="F58" i="32"/>
  <c r="F57" i="32"/>
  <c r="F56" i="32"/>
  <c r="F55" i="32"/>
  <c r="F54" i="32"/>
  <c r="F53" i="32"/>
  <c r="F52" i="32"/>
  <c r="F51" i="32"/>
  <c r="F50" i="32"/>
  <c r="F49" i="32"/>
  <c r="F47" i="32"/>
  <c r="F46" i="32"/>
  <c r="F45" i="32"/>
  <c r="F44" i="32"/>
  <c r="F43" i="32"/>
  <c r="F42" i="32"/>
  <c r="F41" i="32"/>
  <c r="F40" i="32"/>
  <c r="F39" i="32"/>
  <c r="F38" i="32"/>
  <c r="F21" i="32"/>
  <c r="F20" i="32"/>
  <c r="F19" i="32"/>
  <c r="F18" i="32"/>
  <c r="F17" i="32"/>
  <c r="F16" i="32"/>
  <c r="F15" i="32"/>
  <c r="F14" i="32"/>
  <c r="F13" i="32"/>
  <c r="F12" i="32"/>
  <c r="F334" i="31"/>
  <c r="F333" i="31"/>
  <c r="F332" i="31"/>
  <c r="F331" i="31"/>
  <c r="F330" i="31"/>
  <c r="F329" i="31"/>
  <c r="F328" i="31"/>
  <c r="F327" i="31"/>
  <c r="F326" i="31"/>
  <c r="F325" i="31"/>
  <c r="F305" i="31"/>
  <c r="F304" i="31"/>
  <c r="F303" i="31"/>
  <c r="F302" i="31"/>
  <c r="F301" i="31"/>
  <c r="F300" i="31"/>
  <c r="F299" i="31"/>
  <c r="F298" i="31"/>
  <c r="F297" i="31"/>
  <c r="F296" i="31"/>
  <c r="F295" i="31"/>
  <c r="F294" i="31"/>
  <c r="F293" i="31"/>
  <c r="F292" i="31"/>
  <c r="F291" i="31"/>
  <c r="F290" i="31"/>
  <c r="F273" i="31"/>
  <c r="F272" i="31"/>
  <c r="F271" i="31"/>
  <c r="F270" i="31"/>
  <c r="F269" i="31"/>
  <c r="F268" i="31"/>
  <c r="F267" i="31"/>
  <c r="F266" i="31"/>
  <c r="F265" i="31"/>
  <c r="F264" i="31"/>
  <c r="F263" i="31"/>
  <c r="F262" i="31"/>
  <c r="F261" i="31"/>
  <c r="F260" i="31"/>
  <c r="F259" i="31"/>
  <c r="F241" i="31"/>
  <c r="F240" i="31"/>
  <c r="F239" i="31"/>
  <c r="F238" i="31"/>
  <c r="F237" i="31"/>
  <c r="F236" i="31"/>
  <c r="F235" i="31"/>
  <c r="F234" i="31"/>
  <c r="F233" i="31"/>
  <c r="F232" i="31"/>
  <c r="F214" i="31"/>
  <c r="F213" i="31"/>
  <c r="F212" i="31"/>
  <c r="F211" i="31"/>
  <c r="F210" i="31"/>
  <c r="F209" i="31"/>
  <c r="F208" i="31"/>
  <c r="F207" i="31"/>
  <c r="F206" i="31"/>
  <c r="F205" i="31"/>
  <c r="F188" i="31"/>
  <c r="F187" i="31"/>
  <c r="F186" i="31"/>
  <c r="F185" i="31"/>
  <c r="F184" i="31"/>
  <c r="F183" i="31"/>
  <c r="F182" i="31"/>
  <c r="F181" i="31"/>
  <c r="F180" i="31"/>
  <c r="F179" i="31"/>
  <c r="F178" i="31"/>
  <c r="F177" i="31"/>
  <c r="F176" i="31"/>
  <c r="F175" i="31"/>
  <c r="F174" i="31"/>
  <c r="F157" i="31"/>
  <c r="F156" i="31"/>
  <c r="F155" i="31"/>
  <c r="F154" i="31"/>
  <c r="F153" i="31"/>
  <c r="F152" i="31"/>
  <c r="F151" i="31"/>
  <c r="F150" i="31"/>
  <c r="F149" i="31"/>
  <c r="F148" i="31"/>
  <c r="F147" i="31"/>
  <c r="F146" i="31"/>
  <c r="F128" i="31"/>
  <c r="F127" i="31"/>
  <c r="F126" i="31"/>
  <c r="F125" i="31"/>
  <c r="F124" i="31"/>
  <c r="F123" i="31"/>
  <c r="F122" i="31"/>
  <c r="F121" i="31"/>
  <c r="F120" i="31"/>
  <c r="F119" i="31"/>
  <c r="F118" i="31"/>
  <c r="F117" i="31"/>
  <c r="F84" i="31"/>
  <c r="F99" i="31"/>
  <c r="F98" i="31"/>
  <c r="F97" i="31"/>
  <c r="F96" i="31"/>
  <c r="F95" i="31"/>
  <c r="F94" i="31"/>
  <c r="F93" i="31"/>
  <c r="F92" i="31"/>
  <c r="F91" i="31"/>
  <c r="F90" i="31"/>
  <c r="F89" i="31"/>
  <c r="F88" i="31"/>
  <c r="F87" i="31"/>
  <c r="F86" i="31"/>
  <c r="F85" i="31"/>
  <c r="F65" i="31"/>
  <c r="F64" i="31"/>
  <c r="F63" i="31"/>
  <c r="F62" i="31"/>
  <c r="F61" i="31"/>
  <c r="F60" i="31"/>
  <c r="F59" i="31"/>
  <c r="F57" i="31"/>
  <c r="F56" i="31"/>
  <c r="F55" i="31"/>
  <c r="F54" i="31"/>
  <c r="F53" i="31"/>
  <c r="F52" i="31"/>
  <c r="F51" i="31"/>
  <c r="F50" i="31"/>
  <c r="F49" i="31"/>
  <c r="F48" i="31"/>
  <c r="F47" i="31"/>
  <c r="F46" i="31"/>
  <c r="F45" i="31"/>
  <c r="F44" i="31"/>
  <c r="F26" i="31"/>
  <c r="F25" i="31"/>
  <c r="F24" i="31"/>
  <c r="F23" i="31"/>
  <c r="F22" i="31"/>
  <c r="F21" i="31"/>
  <c r="F20" i="31"/>
  <c r="F19" i="31"/>
  <c r="F18" i="31"/>
  <c r="F17" i="31"/>
  <c r="F16" i="31"/>
  <c r="F15" i="31"/>
  <c r="F14" i="31"/>
  <c r="F13" i="31"/>
  <c r="F12" i="31"/>
  <c r="F27" i="31" s="1"/>
  <c r="F547" i="30"/>
  <c r="F546" i="30"/>
  <c r="F545" i="30"/>
  <c r="F544" i="30"/>
  <c r="F543" i="30"/>
  <c r="F542" i="30"/>
  <c r="F541" i="30"/>
  <c r="F540" i="30"/>
  <c r="F539" i="30"/>
  <c r="F538" i="30"/>
  <c r="F537" i="30"/>
  <c r="F536" i="30"/>
  <c r="F535" i="30"/>
  <c r="F534" i="30"/>
  <c r="F533" i="30"/>
  <c r="F516" i="30"/>
  <c r="F515" i="30"/>
  <c r="F514" i="30"/>
  <c r="F513" i="30"/>
  <c r="F512" i="30"/>
  <c r="F511" i="30"/>
  <c r="F510" i="30"/>
  <c r="F509" i="30"/>
  <c r="F508" i="30"/>
  <c r="F507" i="30"/>
  <c r="F506" i="30"/>
  <c r="F505" i="30"/>
  <c r="F504" i="30"/>
  <c r="F485" i="30"/>
  <c r="F486" i="30"/>
  <c r="F484" i="30"/>
  <c r="F483" i="30"/>
  <c r="F482" i="30"/>
  <c r="F481" i="30"/>
  <c r="F480" i="30"/>
  <c r="F479" i="30"/>
  <c r="F478" i="30"/>
  <c r="F477" i="30"/>
  <c r="F476" i="30"/>
  <c r="F458" i="30"/>
  <c r="F457" i="30"/>
  <c r="F456" i="30"/>
  <c r="F455" i="30"/>
  <c r="F454" i="30"/>
  <c r="F453" i="30"/>
  <c r="F452" i="30"/>
  <c r="F451" i="30"/>
  <c r="F450" i="30"/>
  <c r="F449" i="30"/>
  <c r="F448" i="30"/>
  <c r="F447" i="30"/>
  <c r="F446" i="30"/>
  <c r="F429" i="30"/>
  <c r="F428" i="30"/>
  <c r="F427" i="30"/>
  <c r="F426" i="30"/>
  <c r="F425" i="30"/>
  <c r="F424" i="30"/>
  <c r="F423" i="30"/>
  <c r="F422" i="30"/>
  <c r="F421" i="30"/>
  <c r="F420" i="30"/>
  <c r="F419" i="30"/>
  <c r="F418" i="30"/>
  <c r="F417" i="30"/>
  <c r="F399" i="30"/>
  <c r="F398" i="30"/>
  <c r="F397" i="30"/>
  <c r="F396" i="30"/>
  <c r="F395" i="30"/>
  <c r="F394" i="30"/>
  <c r="F393" i="30"/>
  <c r="F392" i="30"/>
  <c r="F391" i="30"/>
  <c r="F390" i="30"/>
  <c r="F389" i="30"/>
  <c r="F388" i="30"/>
  <c r="F387" i="30"/>
  <c r="F386" i="30"/>
  <c r="F385" i="30"/>
  <c r="F367" i="30"/>
  <c r="F366" i="30"/>
  <c r="F365" i="30"/>
  <c r="F364" i="30"/>
  <c r="F363" i="30"/>
  <c r="F362" i="30"/>
  <c r="F361" i="30"/>
  <c r="F360" i="30"/>
  <c r="F359" i="30"/>
  <c r="F358" i="30"/>
  <c r="F357" i="30"/>
  <c r="F356" i="30"/>
  <c r="F355" i="30"/>
  <c r="F354" i="30"/>
  <c r="F353" i="30"/>
  <c r="F352" i="30"/>
  <c r="F351" i="30"/>
  <c r="F350" i="30"/>
  <c r="F349" i="30"/>
  <c r="F348" i="30"/>
  <c r="F330" i="30"/>
  <c r="F329" i="30"/>
  <c r="F328" i="30"/>
  <c r="F327" i="30"/>
  <c r="F326" i="30"/>
  <c r="F325" i="30"/>
  <c r="F324" i="30"/>
  <c r="F323" i="30"/>
  <c r="F322" i="30"/>
  <c r="F321" i="30"/>
  <c r="F320" i="30"/>
  <c r="F319" i="30"/>
  <c r="F318" i="30"/>
  <c r="F317" i="30"/>
  <c r="F316" i="30"/>
  <c r="F298" i="30"/>
  <c r="F297" i="30"/>
  <c r="F296" i="30"/>
  <c r="F295" i="30"/>
  <c r="F294" i="30"/>
  <c r="F293" i="30"/>
  <c r="F292" i="30"/>
  <c r="F291" i="30"/>
  <c r="F290" i="30"/>
  <c r="F289" i="30"/>
  <c r="F288" i="30"/>
  <c r="F287" i="30"/>
  <c r="F286" i="30"/>
  <c r="F285" i="30"/>
  <c r="F284" i="30"/>
  <c r="F266" i="30"/>
  <c r="F265" i="30"/>
  <c r="F264" i="30"/>
  <c r="F263" i="30"/>
  <c r="F262" i="30"/>
  <c r="F261" i="30"/>
  <c r="F260" i="30"/>
  <c r="F259" i="30"/>
  <c r="F258" i="30"/>
  <c r="F257" i="30"/>
  <c r="F256" i="30"/>
  <c r="F255" i="30"/>
  <c r="F254" i="30"/>
  <c r="F253" i="30"/>
  <c r="F252" i="30"/>
  <c r="F235" i="30"/>
  <c r="F234" i="30"/>
  <c r="F233" i="30"/>
  <c r="F232" i="30"/>
  <c r="F231" i="30"/>
  <c r="F230" i="30"/>
  <c r="F229" i="30"/>
  <c r="F228" i="30"/>
  <c r="F227" i="30"/>
  <c r="F226" i="30"/>
  <c r="F209" i="30"/>
  <c r="F208" i="30"/>
  <c r="F207" i="30"/>
  <c r="F206" i="30"/>
  <c r="F205" i="30"/>
  <c r="F204" i="30"/>
  <c r="F203" i="30"/>
  <c r="F202" i="30"/>
  <c r="F201" i="30"/>
  <c r="F200" i="30"/>
  <c r="F181" i="30"/>
  <c r="F180" i="30"/>
  <c r="F179" i="30"/>
  <c r="F178" i="30"/>
  <c r="F177" i="30"/>
  <c r="F176" i="30"/>
  <c r="F175" i="30"/>
  <c r="F174" i="30"/>
  <c r="F173" i="30"/>
  <c r="F172" i="30"/>
  <c r="F154" i="30"/>
  <c r="F153" i="30"/>
  <c r="F152" i="30"/>
  <c r="F151" i="30"/>
  <c r="F150" i="30"/>
  <c r="F149" i="30"/>
  <c r="F148" i="30"/>
  <c r="F147" i="30"/>
  <c r="F146" i="30"/>
  <c r="F145" i="30"/>
  <c r="F127" i="30"/>
  <c r="F126" i="30"/>
  <c r="F125" i="30"/>
  <c r="F124" i="30"/>
  <c r="F123" i="30"/>
  <c r="F122" i="30"/>
  <c r="F121" i="30"/>
  <c r="F120" i="30"/>
  <c r="F119" i="30"/>
  <c r="F118" i="30"/>
  <c r="F45" i="30"/>
  <c r="F91" i="30"/>
  <c r="F92" i="30"/>
  <c r="F93" i="30"/>
  <c r="F94" i="30"/>
  <c r="F95" i="30"/>
  <c r="F96" i="30"/>
  <c r="F97" i="30"/>
  <c r="F98" i="30"/>
  <c r="F99" i="30"/>
  <c r="F70" i="30"/>
  <c r="F71" i="30"/>
  <c r="F72" i="30"/>
  <c r="F73" i="30"/>
  <c r="F74" i="30"/>
  <c r="F75" i="30"/>
  <c r="F76" i="30"/>
  <c r="F77" i="30"/>
  <c r="F78" i="30"/>
  <c r="F79" i="30"/>
  <c r="F80" i="30"/>
  <c r="F82" i="30"/>
  <c r="F83" i="30"/>
  <c r="F84" i="30"/>
  <c r="F85" i="30"/>
  <c r="F86" i="30"/>
  <c r="F87" i="30"/>
  <c r="F88" i="30"/>
  <c r="F89" i="30"/>
  <c r="F100" i="30"/>
  <c r="F90" i="30"/>
  <c r="F69" i="30"/>
  <c r="F68" i="30"/>
  <c r="F67" i="30"/>
  <c r="F49" i="30"/>
  <c r="F48" i="30"/>
  <c r="F47" i="30"/>
  <c r="F46" i="30"/>
  <c r="F44" i="30"/>
  <c r="F43" i="30"/>
  <c r="F42" i="30"/>
  <c r="F41" i="30"/>
  <c r="F40" i="30"/>
  <c r="F21" i="30"/>
  <c r="F20" i="30"/>
  <c r="F19" i="30"/>
  <c r="F18" i="30"/>
  <c r="F17" i="30"/>
  <c r="F16" i="30"/>
  <c r="F15" i="30"/>
  <c r="F14" i="30"/>
  <c r="F13" i="30"/>
  <c r="F12" i="30"/>
  <c r="F46" i="29"/>
  <c r="F45" i="29"/>
  <c r="F44" i="29"/>
  <c r="F43" i="29"/>
  <c r="F42" i="29"/>
  <c r="F41" i="29"/>
  <c r="F40" i="29"/>
  <c r="F39" i="29"/>
  <c r="F38" i="29"/>
  <c r="F37" i="29"/>
  <c r="F20" i="29"/>
  <c r="F19" i="29"/>
  <c r="F18" i="29"/>
  <c r="F17" i="29"/>
  <c r="F16" i="29"/>
  <c r="F15" i="29"/>
  <c r="F14" i="29"/>
  <c r="F13" i="29"/>
  <c r="F12" i="29"/>
  <c r="F11" i="29"/>
  <c r="F120" i="14"/>
  <c r="F119" i="14"/>
  <c r="F118" i="14"/>
  <c r="F117" i="14"/>
  <c r="F116" i="14"/>
  <c r="F115" i="14"/>
  <c r="F113" i="14"/>
  <c r="F112" i="14"/>
  <c r="F111" i="14"/>
  <c r="F110" i="14"/>
  <c r="F94" i="14"/>
  <c r="F93" i="14"/>
  <c r="F92" i="14"/>
  <c r="F91" i="14"/>
  <c r="F90" i="14"/>
  <c r="F89" i="14"/>
  <c r="F87" i="14"/>
  <c r="F86" i="14"/>
  <c r="F85" i="14"/>
  <c r="F84" i="14"/>
  <c r="F67" i="14"/>
  <c r="F66" i="14"/>
  <c r="F65" i="14"/>
  <c r="F64" i="14"/>
  <c r="F63" i="14"/>
  <c r="F62" i="14"/>
  <c r="F60" i="14"/>
  <c r="F59" i="14"/>
  <c r="F58" i="14"/>
  <c r="F57" i="14"/>
  <c r="F46" i="26"/>
  <c r="F45" i="26"/>
  <c r="F44" i="26"/>
  <c r="F43" i="26"/>
  <c r="F42" i="26"/>
  <c r="F41" i="26"/>
  <c r="F39" i="26"/>
  <c r="F38" i="26"/>
  <c r="F37" i="26"/>
  <c r="F36" i="26"/>
  <c r="F36" i="14"/>
  <c r="F35" i="14"/>
  <c r="F34" i="14"/>
  <c r="F33" i="14"/>
  <c r="F9" i="14"/>
  <c r="F19" i="28"/>
  <c r="F18" i="28"/>
  <c r="F17" i="28"/>
  <c r="F16" i="28"/>
  <c r="F15" i="28"/>
  <c r="F14" i="28"/>
  <c r="F13" i="28"/>
  <c r="F12" i="28"/>
  <c r="F11" i="28"/>
  <c r="F10" i="28"/>
  <c r="F9" i="28"/>
  <c r="F13" i="27"/>
  <c r="F14" i="27"/>
  <c r="F15" i="27"/>
  <c r="F19" i="27"/>
  <c r="F18" i="27"/>
  <c r="F17" i="27"/>
  <c r="F16" i="27"/>
  <c r="F12" i="27"/>
  <c r="F11" i="27"/>
  <c r="F10" i="27"/>
  <c r="F9" i="27"/>
  <c r="F19" i="26"/>
  <c r="F18" i="26"/>
  <c r="F17" i="26"/>
  <c r="F16" i="26"/>
  <c r="F15" i="26"/>
  <c r="F14" i="26"/>
  <c r="F12" i="26"/>
  <c r="F11" i="26"/>
  <c r="F10" i="26"/>
  <c r="F9" i="26"/>
  <c r="F19" i="25"/>
  <c r="F18" i="25"/>
  <c r="F17" i="25"/>
  <c r="F16" i="25"/>
  <c r="F15" i="25"/>
  <c r="F14" i="25"/>
  <c r="F12" i="25"/>
  <c r="F11" i="25"/>
  <c r="F10" i="25"/>
  <c r="F9" i="25"/>
  <c r="F19" i="24"/>
  <c r="F18" i="24"/>
  <c r="F17" i="24"/>
  <c r="F16" i="24"/>
  <c r="F15" i="24"/>
  <c r="F14" i="24"/>
  <c r="F13" i="24"/>
  <c r="F12" i="24"/>
  <c r="F11" i="24"/>
  <c r="F10" i="24"/>
  <c r="F9" i="24"/>
  <c r="L10" i="15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18" i="22"/>
  <c r="F17" i="22"/>
  <c r="F16" i="22"/>
  <c r="F15" i="22"/>
  <c r="F14" i="22"/>
  <c r="F13" i="22"/>
  <c r="F12" i="22"/>
  <c r="F11" i="22"/>
  <c r="F10" i="22"/>
  <c r="F9" i="22"/>
  <c r="F63" i="21"/>
  <c r="F62" i="21"/>
  <c r="F61" i="21"/>
  <c r="F60" i="21"/>
  <c r="F59" i="21"/>
  <c r="F58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20" i="21"/>
  <c r="F19" i="21"/>
  <c r="F27" i="21"/>
  <c r="F25" i="21"/>
  <c r="F24" i="21"/>
  <c r="F145" i="33" l="1"/>
  <c r="F146" i="33" s="1"/>
  <c r="F147" i="33" s="1"/>
  <c r="F178" i="33"/>
  <c r="F179" i="33" s="1"/>
  <c r="F180" i="33" s="1"/>
  <c r="F267" i="30"/>
  <c r="F236" i="30"/>
  <c r="F299" i="30"/>
  <c r="F274" i="31"/>
  <c r="F189" i="31"/>
  <c r="F190" i="31" s="1"/>
  <c r="F191" i="31" s="1"/>
  <c r="F28" i="33"/>
  <c r="F29" i="33" s="1"/>
  <c r="F30" i="33" s="1"/>
  <c r="F242" i="31"/>
  <c r="F88" i="32"/>
  <c r="F89" i="32" s="1"/>
  <c r="F90" i="32" s="1"/>
  <c r="F47" i="29"/>
  <c r="F48" i="29" s="1"/>
  <c r="F62" i="32"/>
  <c r="F63" i="32" s="1"/>
  <c r="F64" i="32" s="1"/>
  <c r="F215" i="31"/>
  <c r="F57" i="33"/>
  <c r="F58" i="33" s="1"/>
  <c r="F59" i="33" s="1"/>
  <c r="F87" i="33"/>
  <c r="F88" i="33" s="1"/>
  <c r="F128" i="30"/>
  <c r="F487" i="30"/>
  <c r="F335" i="31"/>
  <c r="F22" i="32"/>
  <c r="F23" i="32" s="1"/>
  <c r="F24" i="32" s="1"/>
  <c r="F118" i="33"/>
  <c r="F119" i="33" s="1"/>
  <c r="F175" i="32"/>
  <c r="F176" i="32" s="1"/>
  <c r="F177" i="32" s="1"/>
  <c r="F148" i="32"/>
  <c r="F149" i="32" s="1"/>
  <c r="F150" i="32" s="1"/>
  <c r="F119" i="32"/>
  <c r="F120" i="32" s="1"/>
  <c r="F121" i="32" s="1"/>
  <c r="F306" i="31"/>
  <c r="F307" i="31" s="1"/>
  <c r="F308" i="31" s="1"/>
  <c r="F100" i="31"/>
  <c r="F336" i="31"/>
  <c r="F337" i="31"/>
  <c r="F275" i="31"/>
  <c r="F276" i="31" s="1"/>
  <c r="F243" i="31"/>
  <c r="F244" i="31" s="1"/>
  <c r="F216" i="31"/>
  <c r="F217" i="31" s="1"/>
  <c r="F158" i="31"/>
  <c r="F159" i="31" s="1"/>
  <c r="F160" i="31" s="1"/>
  <c r="F129" i="31"/>
  <c r="F130" i="31" s="1"/>
  <c r="F131" i="31" s="1"/>
  <c r="F101" i="31"/>
  <c r="F102" i="31" s="1"/>
  <c r="F66" i="31"/>
  <c r="F67" i="31" s="1"/>
  <c r="F68" i="31" s="1"/>
  <c r="F28" i="31"/>
  <c r="F29" i="31" s="1"/>
  <c r="F548" i="30"/>
  <c r="F549" i="30" s="1"/>
  <c r="F550" i="30" s="1"/>
  <c r="F210" i="30"/>
  <c r="F211" i="30" s="1"/>
  <c r="F212" i="30" s="1"/>
  <c r="F517" i="30"/>
  <c r="F518" i="30" s="1"/>
  <c r="F519" i="30" s="1"/>
  <c r="F459" i="30"/>
  <c r="F460" i="30" s="1"/>
  <c r="F461" i="30" s="1"/>
  <c r="F368" i="30"/>
  <c r="F369" i="30" s="1"/>
  <c r="F370" i="30" s="1"/>
  <c r="F400" i="30"/>
  <c r="F401" i="30" s="1"/>
  <c r="F402" i="30" s="1"/>
  <c r="F488" i="30"/>
  <c r="F489" i="30" s="1"/>
  <c r="F430" i="30"/>
  <c r="F431" i="30" s="1"/>
  <c r="F432" i="30" s="1"/>
  <c r="F331" i="30"/>
  <c r="F332" i="30" s="1"/>
  <c r="F333" i="30" s="1"/>
  <c r="F300" i="30"/>
  <c r="F301" i="30" s="1"/>
  <c r="F268" i="30"/>
  <c r="F269" i="30" s="1"/>
  <c r="F237" i="30"/>
  <c r="F238" i="30" s="1"/>
  <c r="F182" i="30"/>
  <c r="F183" i="30" s="1"/>
  <c r="F184" i="30" s="1"/>
  <c r="F101" i="30"/>
  <c r="F102" i="30" s="1"/>
  <c r="F103" i="30" s="1"/>
  <c r="F155" i="30"/>
  <c r="F156" i="30" s="1"/>
  <c r="F157" i="30" s="1"/>
  <c r="F129" i="30"/>
  <c r="F130" i="30" s="1"/>
  <c r="F50" i="30"/>
  <c r="F51" i="30" s="1"/>
  <c r="F52" i="30" s="1"/>
  <c r="F22" i="30"/>
  <c r="F23" i="30" s="1"/>
  <c r="F24" i="30" s="1"/>
  <c r="F21" i="29"/>
  <c r="F22" i="29" s="1"/>
  <c r="F23" i="29" s="1"/>
  <c r="F121" i="14"/>
  <c r="F122" i="14" s="1"/>
  <c r="F123" i="14" s="1"/>
  <c r="F95" i="14"/>
  <c r="F96" i="14" s="1"/>
  <c r="F97" i="14" s="1"/>
  <c r="F68" i="14"/>
  <c r="F69" i="14" s="1"/>
  <c r="F70" i="14" s="1"/>
  <c r="F47" i="26"/>
  <c r="F42" i="14"/>
  <c r="F48" i="26"/>
  <c r="F49" i="26" s="1"/>
  <c r="F43" i="14"/>
  <c r="F44" i="14" s="1"/>
  <c r="F20" i="28"/>
  <c r="F21" i="28" s="1"/>
  <c r="F22" i="28" s="1"/>
  <c r="F20" i="26"/>
  <c r="F21" i="26" s="1"/>
  <c r="F22" i="26" s="1"/>
  <c r="F20" i="27"/>
  <c r="F21" i="27" s="1"/>
  <c r="F22" i="27" s="1"/>
  <c r="F20" i="25"/>
  <c r="F21" i="25" s="1"/>
  <c r="F22" i="25" s="1"/>
  <c r="F20" i="24"/>
  <c r="F21" i="24" s="1"/>
  <c r="F22" i="24" s="1"/>
  <c r="F36" i="23"/>
  <c r="F37" i="23" s="1"/>
  <c r="F19" i="22"/>
  <c r="F20" i="22" s="1"/>
  <c r="F21" i="22" s="1"/>
  <c r="F64" i="21"/>
  <c r="F65" i="21" s="1"/>
  <c r="F66" i="21" s="1"/>
  <c r="F28" i="21"/>
  <c r="F26" i="21"/>
  <c r="F23" i="21"/>
  <c r="F22" i="21"/>
  <c r="F21" i="21"/>
  <c r="F18" i="21"/>
  <c r="F17" i="21"/>
  <c r="F16" i="21"/>
  <c r="F15" i="21"/>
  <c r="F14" i="21"/>
  <c r="F13" i="21"/>
  <c r="F12" i="21"/>
  <c r="F11" i="21"/>
  <c r="F10" i="21"/>
  <c r="F9" i="21"/>
  <c r="F18" i="20"/>
  <c r="F17" i="20"/>
  <c r="F16" i="20"/>
  <c r="F15" i="20"/>
  <c r="F14" i="20"/>
  <c r="F13" i="20"/>
  <c r="F12" i="20"/>
  <c r="F11" i="20"/>
  <c r="F10" i="20"/>
  <c r="F9" i="20"/>
  <c r="F18" i="19"/>
  <c r="F17" i="19"/>
  <c r="F16" i="19"/>
  <c r="F15" i="19"/>
  <c r="F14" i="19"/>
  <c r="F13" i="19"/>
  <c r="F12" i="19"/>
  <c r="F11" i="19"/>
  <c r="F10" i="19"/>
  <c r="F9" i="19"/>
  <c r="F42" i="18"/>
  <c r="F41" i="18"/>
  <c r="F40" i="18"/>
  <c r="F39" i="18"/>
  <c r="F38" i="18"/>
  <c r="F37" i="18"/>
  <c r="F36" i="18"/>
  <c r="F35" i="18"/>
  <c r="F34" i="18"/>
  <c r="F33" i="18"/>
  <c r="F18" i="18"/>
  <c r="F17" i="18"/>
  <c r="F16" i="18"/>
  <c r="F15" i="18"/>
  <c r="F14" i="18"/>
  <c r="F13" i="18"/>
  <c r="F12" i="18"/>
  <c r="F11" i="18"/>
  <c r="F10" i="18"/>
  <c r="F9" i="18"/>
  <c r="F89" i="33" l="1"/>
  <c r="F49" i="29"/>
  <c r="F120" i="33"/>
  <c r="F38" i="23"/>
  <c r="F29" i="21"/>
  <c r="F30" i="21" s="1"/>
  <c r="F31" i="21" s="1"/>
  <c r="F19" i="20"/>
  <c r="F20" i="20" s="1"/>
  <c r="F21" i="20" s="1"/>
  <c r="F43" i="18"/>
  <c r="F44" i="18" s="1"/>
  <c r="F45" i="18" s="1"/>
  <c r="F19" i="19"/>
  <c r="F20" i="19" s="1"/>
  <c r="F21" i="19" s="1"/>
  <c r="F19" i="18"/>
  <c r="F20" i="18" s="1"/>
  <c r="F21" i="18" l="1"/>
  <c r="F42" i="17" l="1"/>
  <c r="F41" i="17"/>
  <c r="F40" i="17"/>
  <c r="F39" i="17"/>
  <c r="F38" i="17"/>
  <c r="F37" i="17"/>
  <c r="F36" i="17"/>
  <c r="F35" i="17"/>
  <c r="F34" i="17"/>
  <c r="F33" i="17"/>
  <c r="F18" i="17"/>
  <c r="F17" i="17"/>
  <c r="F16" i="17"/>
  <c r="F15" i="17"/>
  <c r="F14" i="17"/>
  <c r="F13" i="17"/>
  <c r="F12" i="17"/>
  <c r="F11" i="17"/>
  <c r="F10" i="17"/>
  <c r="F9" i="17"/>
  <c r="F42" i="16"/>
  <c r="F41" i="16"/>
  <c r="F40" i="16"/>
  <c r="F39" i="16"/>
  <c r="F38" i="16"/>
  <c r="F37" i="16"/>
  <c r="F36" i="16"/>
  <c r="F35" i="16"/>
  <c r="F34" i="16"/>
  <c r="F33" i="16"/>
  <c r="F18" i="16"/>
  <c r="F17" i="16"/>
  <c r="F16" i="16"/>
  <c r="F15" i="16"/>
  <c r="F14" i="16"/>
  <c r="F13" i="16"/>
  <c r="F12" i="16"/>
  <c r="F11" i="16"/>
  <c r="F10" i="16"/>
  <c r="F9" i="16"/>
  <c r="F18" i="15"/>
  <c r="F17" i="15"/>
  <c r="F16" i="15"/>
  <c r="F15" i="15"/>
  <c r="F14" i="15"/>
  <c r="F13" i="15"/>
  <c r="F12" i="15"/>
  <c r="F11" i="15"/>
  <c r="F10" i="15"/>
  <c r="F9" i="15"/>
  <c r="F12" i="14"/>
  <c r="F11" i="14"/>
  <c r="F10" i="14"/>
  <c r="F43" i="17" l="1"/>
  <c r="F44" i="17" s="1"/>
  <c r="F45" i="17" s="1"/>
  <c r="F19" i="17"/>
  <c r="F20" i="17" s="1"/>
  <c r="F21" i="17" s="1"/>
  <c r="F43" i="16"/>
  <c r="F44" i="16" s="1"/>
  <c r="F45" i="16" s="1"/>
  <c r="F19" i="16"/>
  <c r="F20" i="16" s="1"/>
  <c r="F21" i="16" s="1"/>
  <c r="F19" i="15"/>
  <c r="F20" i="15" s="1"/>
  <c r="F21" i="15" s="1"/>
  <c r="F18" i="14"/>
  <c r="F19" i="14" s="1"/>
  <c r="F20" i="14" s="1"/>
  <c r="E11" i="13" l="1"/>
  <c r="F11" i="13" s="1"/>
  <c r="E10" i="13"/>
  <c r="F10" i="13" s="1"/>
  <c r="F17" i="13"/>
  <c r="F16" i="13"/>
  <c r="F15" i="13"/>
  <c r="F14" i="13"/>
  <c r="F13" i="13"/>
  <c r="F12" i="13"/>
  <c r="F9" i="13"/>
  <c r="F23" i="13" l="1"/>
  <c r="F24" i="13" s="1"/>
  <c r="F25" i="13" s="1"/>
  <c r="F25" i="12" l="1"/>
  <c r="F24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26" i="12" l="1"/>
  <c r="F27" i="12" s="1"/>
  <c r="F28" i="12" s="1"/>
  <c r="F10" i="11" l="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9" i="11"/>
  <c r="F31" i="11"/>
  <c r="F30" i="11"/>
  <c r="F32" i="11" l="1"/>
  <c r="F33" i="11" s="1"/>
  <c r="F34" i="11" s="1"/>
  <c r="F9" i="10" l="1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18" i="9"/>
  <c r="F17" i="9"/>
  <c r="F16" i="9"/>
  <c r="F15" i="9"/>
  <c r="F14" i="9"/>
  <c r="F13" i="9"/>
  <c r="F12" i="9"/>
  <c r="F11" i="9"/>
  <c r="F10" i="9"/>
  <c r="F9" i="9"/>
  <c r="F36" i="10" l="1"/>
  <c r="F37" i="10" s="1"/>
  <c r="F38" i="10" s="1"/>
  <c r="F19" i="9"/>
  <c r="F20" i="9" s="1"/>
  <c r="F21" i="9" s="1"/>
  <c r="F18" i="8" l="1"/>
  <c r="F17" i="8"/>
  <c r="F16" i="8"/>
  <c r="F15" i="8"/>
  <c r="F14" i="8"/>
  <c r="F13" i="8"/>
  <c r="F12" i="8"/>
  <c r="F11" i="8"/>
  <c r="F10" i="8"/>
  <c r="F9" i="8"/>
  <c r="F19" i="8" l="1"/>
  <c r="F20" i="8" s="1"/>
  <c r="F21" i="8" s="1"/>
  <c r="F18" i="7" l="1"/>
  <c r="F17" i="7"/>
  <c r="F16" i="7"/>
  <c r="F15" i="7"/>
  <c r="F14" i="7"/>
  <c r="F13" i="7"/>
  <c r="F12" i="7"/>
  <c r="F11" i="7"/>
  <c r="F10" i="7"/>
  <c r="F9" i="7"/>
  <c r="F18" i="6"/>
  <c r="F17" i="6"/>
  <c r="F16" i="6"/>
  <c r="F15" i="6"/>
  <c r="F14" i="6"/>
  <c r="F13" i="6"/>
  <c r="F12" i="6"/>
  <c r="F11" i="6"/>
  <c r="F10" i="6"/>
  <c r="F9" i="6"/>
  <c r="F18" i="5"/>
  <c r="F17" i="5"/>
  <c r="F16" i="5"/>
  <c r="F15" i="5"/>
  <c r="F14" i="5"/>
  <c r="F13" i="5"/>
  <c r="F12" i="5"/>
  <c r="F11" i="5"/>
  <c r="F10" i="5"/>
  <c r="F9" i="5"/>
  <c r="F18" i="4"/>
  <c r="F17" i="4"/>
  <c r="F16" i="4"/>
  <c r="F15" i="4"/>
  <c r="F14" i="4"/>
  <c r="F13" i="4"/>
  <c r="F12" i="4"/>
  <c r="F11" i="4"/>
  <c r="F10" i="4"/>
  <c r="F9" i="4"/>
  <c r="F18" i="3"/>
  <c r="F17" i="3"/>
  <c r="F16" i="3"/>
  <c r="F15" i="3"/>
  <c r="F14" i="3"/>
  <c r="F13" i="3"/>
  <c r="F12" i="3"/>
  <c r="F11" i="3"/>
  <c r="F10" i="3"/>
  <c r="F9" i="3"/>
  <c r="G13" i="2"/>
  <c r="G12" i="2"/>
  <c r="G11" i="2"/>
  <c r="G10" i="2"/>
  <c r="G9" i="2"/>
  <c r="F19" i="7" l="1"/>
  <c r="F20" i="7" s="1"/>
  <c r="F21" i="7" s="1"/>
  <c r="F19" i="6"/>
  <c r="F20" i="6" s="1"/>
  <c r="F21" i="6" s="1"/>
  <c r="G15" i="2"/>
  <c r="G16" i="2" s="1"/>
  <c r="G17" i="2" s="1"/>
  <c r="F19" i="5"/>
  <c r="F20" i="5" s="1"/>
  <c r="F21" i="5" s="1"/>
  <c r="F19" i="4"/>
  <c r="F20" i="4" s="1"/>
  <c r="F21" i="4" s="1"/>
  <c r="F19" i="3"/>
  <c r="F20" i="3" s="1"/>
  <c r="F21" i="3" s="1"/>
</calcChain>
</file>

<file path=xl/sharedStrings.xml><?xml version="1.0" encoding="utf-8"?>
<sst xmlns="http://schemas.openxmlformats.org/spreadsheetml/2006/main" count="4309" uniqueCount="667">
  <si>
    <t>ORDEN DE COMPRA N°-142</t>
  </si>
  <si>
    <t>Fecha de solicitud:</t>
  </si>
  <si>
    <t>FEBRERO 08-2024</t>
  </si>
  <si>
    <t>OBRA VITAD</t>
  </si>
  <si>
    <t xml:space="preserve"> </t>
  </si>
  <si>
    <t>FACTURAR : DESARROLLADORA INMOBILIARIA DEMING</t>
  </si>
  <si>
    <t>PROVEEDOR</t>
  </si>
  <si>
    <t>HOME DEPOT</t>
  </si>
  <si>
    <t>CANTIDAD</t>
  </si>
  <si>
    <t>VOLUMEN</t>
  </si>
  <si>
    <t>DESCRIPCION</t>
  </si>
  <si>
    <t xml:space="preserve">ESPECIFICACION </t>
  </si>
  <si>
    <t>P.U.</t>
  </si>
  <si>
    <t>MONTO</t>
  </si>
  <si>
    <t>OBSERVACIONES</t>
  </si>
  <si>
    <t>PZA</t>
  </si>
  <si>
    <t>KIT CONTRA CAIDAS PARA ALTURAS</t>
  </si>
  <si>
    <t>ART.135277</t>
  </si>
  <si>
    <t>NUDO PARA CABLE VEKER 1/4"</t>
  </si>
  <si>
    <t>ART.269570</t>
  </si>
  <si>
    <t>GANCHO DE AGARRE DE CIERRE RAPIDO</t>
  </si>
  <si>
    <t>ART.269625</t>
  </si>
  <si>
    <t>GANCHO FIJO CIERRE RAPIDO VEKER 3/4</t>
  </si>
  <si>
    <t>ART.783526</t>
  </si>
  <si>
    <t>MTS</t>
  </si>
  <si>
    <t>CABLE DE ACERO 1/4"</t>
  </si>
  <si>
    <t>ART.466110</t>
  </si>
  <si>
    <t>SUBTOTAL</t>
  </si>
  <si>
    <t xml:space="preserve">IVA </t>
  </si>
  <si>
    <t>TOTAL</t>
  </si>
  <si>
    <t xml:space="preserve">SOLICITA </t>
  </si>
  <si>
    <t>ELABORO</t>
  </si>
  <si>
    <t>AUTORIZA</t>
  </si>
  <si>
    <t>LIC. MARGARITA LARES</t>
  </si>
  <si>
    <t>LIC. MIGUEL ZARAGOZA</t>
  </si>
  <si>
    <t xml:space="preserve">OBRA MARCOS MONTERO </t>
  </si>
  <si>
    <t>ORDEN DE COMPRA</t>
  </si>
  <si>
    <t>ENERO 24 2023</t>
  </si>
  <si>
    <t>NUMERO ORDEN DE COMPRA</t>
  </si>
  <si>
    <t>FACTURAR:</t>
  </si>
  <si>
    <t xml:space="preserve">MATERIAL </t>
  </si>
  <si>
    <t xml:space="preserve">LOTES: </t>
  </si>
  <si>
    <t>PROVEEDOR:</t>
  </si>
  <si>
    <t>CODIGO/ MATERIAL</t>
  </si>
  <si>
    <t>ING. FRANCISCO RAMOS</t>
  </si>
  <si>
    <t xml:space="preserve">OBRA MAPLE </t>
  </si>
  <si>
    <t>MARZO 28 2025</t>
  </si>
  <si>
    <t>POLIN-MONTEN 6" X 6 MTS CALIBRE 14</t>
  </si>
  <si>
    <t>OBRA MAPLE</t>
  </si>
  <si>
    <t>MIGUEL ANGEL ZARAGOZA BARRIOS</t>
  </si>
  <si>
    <t>PARA CIMENTACION</t>
  </si>
  <si>
    <t xml:space="preserve">POLIACERO </t>
  </si>
  <si>
    <t>ARQ. PATRICIA SANCHEZ</t>
  </si>
  <si>
    <t>0002</t>
  </si>
  <si>
    <t>DESARROLLADORA INMOBILIARIA DEMING</t>
  </si>
  <si>
    <t>PARA LINEAS DE VIDA</t>
  </si>
  <si>
    <t>0001</t>
  </si>
  <si>
    <t>CORTAR A 18 MTS EL CABLE POR FAVOR</t>
  </si>
  <si>
    <t>FRIGOBAR OBRA MAPLE</t>
  </si>
  <si>
    <t xml:space="preserve">FRIGOBAR MAGIC CHEF </t>
  </si>
  <si>
    <t>MARZO 29 2025</t>
  </si>
  <si>
    <t>0003</t>
  </si>
  <si>
    <t>ABRIL 01 2025</t>
  </si>
  <si>
    <t>0004</t>
  </si>
  <si>
    <t>CEMENTO</t>
  </si>
  <si>
    <t>SACOS</t>
  </si>
  <si>
    <t>0005</t>
  </si>
  <si>
    <t>MADERA</t>
  </si>
  <si>
    <t>DISCO CORTE DE METAL 14"</t>
  </si>
  <si>
    <t>CORTADORA DE METALES 14"</t>
  </si>
  <si>
    <t>CORTADORA Y DISCOS</t>
  </si>
  <si>
    <t>JM MADERERA</t>
  </si>
  <si>
    <t>0006</t>
  </si>
  <si>
    <t>BARROTE</t>
  </si>
  <si>
    <t>POLIN</t>
  </si>
  <si>
    <t xml:space="preserve">CIMBRAPLAY </t>
  </si>
  <si>
    <t xml:space="preserve">PARA CIMENTACIONES </t>
  </si>
  <si>
    <t>PLOMERIA INDUSTRIAL</t>
  </si>
  <si>
    <t>0007</t>
  </si>
  <si>
    <t>TRAMOS</t>
  </si>
  <si>
    <t xml:space="preserve">TUBO 1 1/2" </t>
  </si>
  <si>
    <t>TUBO 2"</t>
  </si>
  <si>
    <t>TUBO 3"</t>
  </si>
  <si>
    <t>TUBO 4</t>
  </si>
  <si>
    <t>CODO 1 1/2" X 45</t>
  </si>
  <si>
    <t>CODO 1 1/2" X 90</t>
  </si>
  <si>
    <t>CODO 2 X  90</t>
  </si>
  <si>
    <t xml:space="preserve">CODO 2 X 45 </t>
  </si>
  <si>
    <t>CODO 3 X 45</t>
  </si>
  <si>
    <t>CODO 3 X 90</t>
  </si>
  <si>
    <t>CODO 4 X 45</t>
  </si>
  <si>
    <t>CODO 4 X 90</t>
  </si>
  <si>
    <t>TEE 4"</t>
  </si>
  <si>
    <t>YEE 4"</t>
  </si>
  <si>
    <t>YEE 2"</t>
  </si>
  <si>
    <t>YEE 4" A 2"</t>
  </si>
  <si>
    <t>YEE 3" A 2"</t>
  </si>
  <si>
    <t>REDUCCIÓN 4" A 3"</t>
  </si>
  <si>
    <t xml:space="preserve">REDUCCIÓN 4" A 2" </t>
  </si>
  <si>
    <t>REDUCCIÓN 3" A 2"</t>
  </si>
  <si>
    <t>REDUCCIÓN  2" X 1 1/2"</t>
  </si>
  <si>
    <t>COPLE 4"</t>
  </si>
  <si>
    <t>COPLE 3"</t>
  </si>
  <si>
    <t>COPLE 2"</t>
  </si>
  <si>
    <t>COPLE 1 1/2"</t>
  </si>
  <si>
    <t>PVC</t>
  </si>
  <si>
    <t>5 LOTES</t>
  </si>
  <si>
    <t>ABRIL 02 2025</t>
  </si>
  <si>
    <t>0008</t>
  </si>
  <si>
    <t>PARA CIMENTACIONES HIDRAULICAS</t>
  </si>
  <si>
    <t>CODO 1/2" X 90</t>
  </si>
  <si>
    <t>TUBO PLUS</t>
  </si>
  <si>
    <t>PZAS</t>
  </si>
  <si>
    <t xml:space="preserve">TEE 1/2" </t>
  </si>
  <si>
    <t xml:space="preserve">COPLE 1/2" </t>
  </si>
  <si>
    <t>REDUCCIÓN 3/4 A 1/2"</t>
  </si>
  <si>
    <t>CODO 3/4" X 90</t>
  </si>
  <si>
    <t>TEE 3/4"</t>
  </si>
  <si>
    <t>COPLE 3/4"</t>
  </si>
  <si>
    <t>CODO 1" X 90</t>
  </si>
  <si>
    <t>REDUCCIÓN 1" A 3/4"</t>
  </si>
  <si>
    <t>TEE 1"</t>
  </si>
  <si>
    <t>TAPON 1/2"</t>
  </si>
  <si>
    <t>TAPON 3/4"</t>
  </si>
  <si>
    <t>TAPON 1"</t>
  </si>
  <si>
    <t>COPLE 1"</t>
  </si>
  <si>
    <t>CONECTOR MACHO 1/2"</t>
  </si>
  <si>
    <t>TUBO 1/2"</t>
  </si>
  <si>
    <t>TUBO 3/4"</t>
  </si>
  <si>
    <t>TUBO 1"</t>
  </si>
  <si>
    <t xml:space="preserve">GALVANIZADO </t>
  </si>
  <si>
    <t>REDUCCIÓN BUSHING 3/4" A 1/2"</t>
  </si>
  <si>
    <t>TAPON GORRO 1/2"</t>
  </si>
  <si>
    <t>TAPON GORRO 3/4"</t>
  </si>
  <si>
    <t>NIPLE 1/2" X 4"</t>
  </si>
  <si>
    <t>CINTA TEFLON 3/4"</t>
  </si>
  <si>
    <t>0009</t>
  </si>
  <si>
    <t>POLIDUCTO 1/2"</t>
  </si>
  <si>
    <t>POLIDUCTO 3/4"</t>
  </si>
  <si>
    <t>POLIDUCTO 1 1/4"</t>
  </si>
  <si>
    <t>QUINZAÑO</t>
  </si>
  <si>
    <t>PARA CIMENTACIONES ELECTRICA</t>
  </si>
  <si>
    <t>0010</t>
  </si>
  <si>
    <t>CASCOS</t>
  </si>
  <si>
    <t>CHALECO DE MALLA NARANJA</t>
  </si>
  <si>
    <t>CINTA CANELA</t>
  </si>
  <si>
    <t>ABRIL 03 2025</t>
  </si>
  <si>
    <t>ABRIL 04 2025</t>
  </si>
  <si>
    <t>0011</t>
  </si>
  <si>
    <t>BARROTE 2X4X10 2DA</t>
  </si>
  <si>
    <t>POLIN 4X4X10 2DA</t>
  </si>
  <si>
    <t>0012</t>
  </si>
  <si>
    <t>CIMBRAPLAY  18 MM CAFÉ</t>
  </si>
  <si>
    <t>MANZANA 5 LOTE 119 - 118</t>
  </si>
  <si>
    <t>MADERA PARA CIMENTACIÓN</t>
  </si>
  <si>
    <t>DUELA DE 5</t>
  </si>
  <si>
    <t>DUELA DE 10</t>
  </si>
  <si>
    <t>ESCALERAS CASA MUESTRA</t>
  </si>
  <si>
    <t>PEGAMENTO PVC OATEY ETIQUETA VERDE</t>
  </si>
  <si>
    <t>ABRIL 07 2025</t>
  </si>
  <si>
    <t xml:space="preserve">SACOS </t>
  </si>
  <si>
    <t>CEMENTO SACO 50 KG</t>
  </si>
  <si>
    <t xml:space="preserve">CEMENTO </t>
  </si>
  <si>
    <t>HARMAK PACIFICO</t>
  </si>
  <si>
    <t>MADERA PARA ACORDONAR AREA</t>
  </si>
  <si>
    <t>0013</t>
  </si>
  <si>
    <t>0014</t>
  </si>
  <si>
    <t>MALLA SOMBRA PARA ACORDONAR AREA</t>
  </si>
  <si>
    <t>ROLLOS</t>
  </si>
  <si>
    <t>MALLA SOMBRA VERDE 1.83 X 50 MTS</t>
  </si>
  <si>
    <t>BARROTE 2X4 X 8 2DA</t>
  </si>
  <si>
    <t>ABRIL 08 2025</t>
  </si>
  <si>
    <t>ABRIL 10 2025</t>
  </si>
  <si>
    <t>0015</t>
  </si>
  <si>
    <t>HERRAMIENTA</t>
  </si>
  <si>
    <t>COMERCIALIZADORA ECOINTEC</t>
  </si>
  <si>
    <t xml:space="preserve">AZADON MEZCLERO CABEZA FORJADA 10" MANGO 60 </t>
  </si>
  <si>
    <t>PRODUCTO</t>
  </si>
  <si>
    <t>MATERIAL</t>
  </si>
  <si>
    <t xml:space="preserve">TEE 3/4" </t>
  </si>
  <si>
    <t>CPVC</t>
  </si>
  <si>
    <t>CODO  1/2" X 90</t>
  </si>
  <si>
    <t>CODO 3/4" X 45</t>
  </si>
  <si>
    <t xml:space="preserve">CONECTOR HEMBRA </t>
  </si>
  <si>
    <t>TEE 1/2"</t>
  </si>
  <si>
    <t>CONECTOR MACHO  3/4"</t>
  </si>
  <si>
    <t>CODO PIPA 3/4"</t>
  </si>
  <si>
    <t>TEE 3/4" X 1/2" X 1/2"</t>
  </si>
  <si>
    <t>TEE 3/4" X 3/4" X 1/2"</t>
  </si>
  <si>
    <t xml:space="preserve">CODO 4 X 45 </t>
  </si>
  <si>
    <t xml:space="preserve">PEGAMENTO OATEY ETIQUETA VERDE </t>
  </si>
  <si>
    <t>YEE 4X 4X 2</t>
  </si>
  <si>
    <t>YEE 3"</t>
  </si>
  <si>
    <t>CODO 2 X 90</t>
  </si>
  <si>
    <t xml:space="preserve">PERMAKTEX </t>
  </si>
  <si>
    <t xml:space="preserve">MANOMETRO </t>
  </si>
  <si>
    <t>TEE GALVANIZADA 1/2"</t>
  </si>
  <si>
    <t>NIPLE 1/2" A 3"</t>
  </si>
  <si>
    <t>REDUCCIÓN BUSHING 1/2" A  1/4"</t>
  </si>
  <si>
    <t>VALVULA ESFERA 1/2"</t>
  </si>
  <si>
    <t>YEE 1 1/2"</t>
  </si>
  <si>
    <t>CODO VENTILA 4 X 2 SALIDA LATERAL</t>
  </si>
  <si>
    <t>COMPLEMENTO CIMENTACIONES PVC</t>
  </si>
  <si>
    <t>ABRIL 14 2025</t>
  </si>
  <si>
    <t>0016</t>
  </si>
  <si>
    <t>0017</t>
  </si>
  <si>
    <t>TEE 3/4" X 1/2" CENTRAL X3/4"</t>
  </si>
  <si>
    <t xml:space="preserve">TEE 3/4" X 3/4" X 1/2" LATERAL </t>
  </si>
  <si>
    <t xml:space="preserve">CODO PIPA 1/2" </t>
  </si>
  <si>
    <t>CONECTOR HEMBRA 1/2"</t>
  </si>
  <si>
    <t xml:space="preserve">REDUCCIÓN 1" A 1/2" </t>
  </si>
  <si>
    <t>BIDONES PARA AGUA</t>
  </si>
  <si>
    <t>THERMO KING 19 LITROS</t>
  </si>
  <si>
    <t>GRUPO SAR</t>
  </si>
  <si>
    <t>CERAMOSA TANQUE FLORENCIA BLANCO</t>
  </si>
  <si>
    <t>CERAMOSA TAZA FLORENCIA BLANCO</t>
  </si>
  <si>
    <t>CORONA 6042020</t>
  </si>
  <si>
    <t xml:space="preserve">CORNA LAVABO CIVIC </t>
  </si>
  <si>
    <t>CORONA PEDESTAL CIVIC BLANCO</t>
  </si>
  <si>
    <t>AGOSTO 08  2025</t>
  </si>
  <si>
    <t>R-0020</t>
  </si>
  <si>
    <t>CISTERNAS</t>
  </si>
  <si>
    <t>CENTRIFUGADOS MEXICANOS</t>
  </si>
  <si>
    <t>CISTERNA CIRCULAR 3,000 LTS</t>
  </si>
  <si>
    <t>TAPA DE CONCRETO POLIMERICO  DE 55 CM PARA CISTERNA</t>
  </si>
  <si>
    <t>ARO DE CONCRETO POLIMERICO PARA TAPA DE CISTERNA 55 CM</t>
  </si>
  <si>
    <t xml:space="preserve">SALDO A FAVOR </t>
  </si>
  <si>
    <t>ARMEX</t>
  </si>
  <si>
    <t>AGOSTO 25 2025</t>
  </si>
  <si>
    <t>R-0021</t>
  </si>
  <si>
    <t>CASTILLO 15-15-4 ELECTROSOLDADO</t>
  </si>
  <si>
    <t>EXPOCERAMICA</t>
  </si>
  <si>
    <t xml:space="preserve">MIGUEL ANGEL ZARAGOZA BARRIOS </t>
  </si>
  <si>
    <t>PISO ESCALERA RIGAN .60X1.20</t>
  </si>
  <si>
    <t>R-0023</t>
  </si>
  <si>
    <t>OCTUBRE 21 2025</t>
  </si>
  <si>
    <t>AZYCO</t>
  </si>
  <si>
    <t>RIGAN NEGRO 60X120</t>
  </si>
  <si>
    <t>LA CANTIDAD EN LA ORDEN DE COMPRA  ES LA TOTALIDAD PARA LA OBRA MAPLE 23 VIVIENDAS LA LIBERACIÓN SE REALIZARÁ DE ACUERDO A AVANCE EN OBRA Y EL COBRO Y FACTURACIÓN DEBE SER REALIZADO DE ACUERDO A LA CANTIDAD ENTREGADA EN OBRA EN LOS TIEMPOS SOLICITADOS</t>
  </si>
  <si>
    <t>MPR-0023</t>
  </si>
  <si>
    <t>OCTUBRE 29 2025</t>
  </si>
  <si>
    <t>82,81,60,61</t>
  </si>
  <si>
    <t>DICIEMBRE 15 2025</t>
  </si>
  <si>
    <t>MPR-0026</t>
  </si>
  <si>
    <t xml:space="preserve">CISTERNAS PROGRAMAR ENTREGA 19 DE DICIEMBRE 2025 </t>
  </si>
  <si>
    <t>INSTALACIÓN LAVABOS</t>
  </si>
  <si>
    <t>PAQUETES</t>
  </si>
  <si>
    <t>INSTALACIÓN DE LAVABO CON REBOSADERO</t>
  </si>
  <si>
    <t>PS-C152</t>
  </si>
  <si>
    <t>MPR-0027</t>
  </si>
  <si>
    <t>PARA INSTALACIÓN LAVABOS</t>
  </si>
  <si>
    <t>MPR-0028</t>
  </si>
  <si>
    <t>TODO PARA EL PLOMERO</t>
  </si>
  <si>
    <t>MEDIO CESPOL P/LAV 219 LATON URREA</t>
  </si>
  <si>
    <t>CONTRA P/LAV C/REB 4206CP CROMO DICA</t>
  </si>
  <si>
    <t>121,120,119,118 casas muestra</t>
  </si>
  <si>
    <t>INSTALACIÓN SANITARIO CON CUELLO FLEXIBLE</t>
  </si>
  <si>
    <t>PS-C250</t>
  </si>
  <si>
    <t>EXTENCIÓN LATON CROMADA P/LAVABO  20 CMS</t>
  </si>
  <si>
    <t>pzas</t>
  </si>
  <si>
    <t>HOJA DE CIMBRA PLAY 18 MM CAFÉ CON LOGOTIPO</t>
  </si>
  <si>
    <t>BARROTES 2 X 4 X 10 2DA</t>
  </si>
  <si>
    <t>FAJILLA DE 5 CM</t>
  </si>
  <si>
    <t>65-65 Contrato 17 viviendas</t>
  </si>
  <si>
    <t>MADERA PARA COLUMNA Y CERRAMIENTOS</t>
  </si>
  <si>
    <t>MAP-0020R</t>
  </si>
  <si>
    <t>08</t>
  </si>
  <si>
    <t>REQUISICIÓN SEMANA</t>
  </si>
  <si>
    <t>FEBRERO 18 2026</t>
  </si>
  <si>
    <t>FEBRERO 19 2026</t>
  </si>
  <si>
    <t>MAP-0021R</t>
  </si>
  <si>
    <t>ROLLO TEFLON GARLOCK ECO</t>
  </si>
  <si>
    <t xml:space="preserve"> Contrato 17 viviendas</t>
  </si>
  <si>
    <t>MAZB</t>
  </si>
  <si>
    <t>MAYO 05 2026</t>
  </si>
  <si>
    <t>MAP-0022R</t>
  </si>
  <si>
    <t xml:space="preserve">LLAVE CON ROSCA PARA MANGUERA </t>
  </si>
  <si>
    <t>RUG-21-13</t>
  </si>
  <si>
    <t>SUMINISTROS HIDROSANITARIOS ROKA</t>
  </si>
  <si>
    <t>DID</t>
  </si>
  <si>
    <t>COMEX</t>
  </si>
  <si>
    <t>CUBETAS</t>
  </si>
  <si>
    <t>PROMIL PALOMA V1</t>
  </si>
  <si>
    <t>TOP WALL GRAVA</t>
  </si>
  <si>
    <t>FELPA AZUL RUGOZA X</t>
  </si>
  <si>
    <t>FELPA MICROFIBRA L</t>
  </si>
  <si>
    <t>LENTE POLICARBONATO</t>
  </si>
  <si>
    <t>MASKING AZUL 1"</t>
  </si>
  <si>
    <t>PAQUETE C/ 3 PZAS</t>
  </si>
  <si>
    <t>MAP-0023R</t>
  </si>
  <si>
    <t>CABEL MASCARILLA P</t>
  </si>
  <si>
    <t>MAP-0024R</t>
  </si>
  <si>
    <t>MAP-0025R</t>
  </si>
  <si>
    <t xml:space="preserve">CAJAS </t>
  </si>
  <si>
    <t>PISO ALTAR STONE 44.3x 89.3 1.58 m2</t>
  </si>
  <si>
    <t>MAP-0026R</t>
  </si>
  <si>
    <t>CORTADORA DE PISO 24" (60 CM)</t>
  </si>
  <si>
    <t>COD. F-6</t>
  </si>
  <si>
    <t>VALVULA ESFERA PPR 32 MM</t>
  </si>
  <si>
    <t>VALVULA ESFERA PPR 25 MM</t>
  </si>
  <si>
    <t>TUERCA UNION 3/4</t>
  </si>
  <si>
    <t>CODO ROSCA HEMBRA 1"</t>
  </si>
  <si>
    <t>TUERCA UNION 1"</t>
  </si>
  <si>
    <t>VALVULA DE LLENADO ROTOPLAS 1/2</t>
  </si>
  <si>
    <t xml:space="preserve"> Contrato 17 viviendas LOTES 60-80</t>
  </si>
  <si>
    <t>BOMBA SUMERGIBLE DOMESTICA ACERO INOXIDABLE DE 1/2 HP SSX1ME050F2C</t>
  </si>
  <si>
    <t>CONTROL P/PRESURIZADOR 12A 1HP EVANS- CONTROL PRESS</t>
  </si>
  <si>
    <t>CARTUCHO DE POLIPROPILENO 10 MM MOD. PP-10 EVANS</t>
  </si>
  <si>
    <t>PORTA CARTUCHO ESTANDAR COMPATIBLE CON CARTUCHO DE SEDIMENTOS Y CARBON ACTIVADO CON INSERTO METAL MD. GLUE121-10BR EVANS</t>
  </si>
  <si>
    <t>MAP-0027R</t>
  </si>
  <si>
    <t>REQ - 252</t>
  </si>
  <si>
    <t>REDUCCION BUSH ROSCADO 1 1/4 X 1</t>
  </si>
  <si>
    <t>POLIMEX</t>
  </si>
  <si>
    <t>FLOTADOR ROTOPLAS N°5</t>
  </si>
  <si>
    <t>COPLE COBRE ROSCA EXTERIOR 3/4</t>
  </si>
  <si>
    <t>COPLE COBRE ROSCA INTERIOR 3/4</t>
  </si>
  <si>
    <t>TUERCA UNION COBRE 3/4</t>
  </si>
  <si>
    <t xml:space="preserve">CODO COBRE 45 X 3/4 </t>
  </si>
  <si>
    <t xml:space="preserve">CODO COBRE 90 X 3/4 </t>
  </si>
  <si>
    <t xml:space="preserve">VALVULA DE BOLA SOLDABLE 3557C-19 </t>
  </si>
  <si>
    <t>TUERCA CONICA LATON 3/8</t>
  </si>
  <si>
    <t>ROLLO GARLOCK 1/2</t>
  </si>
  <si>
    <t>LLAVE DE CONTROL P/GAS 1/2X3/8 FLER RECTA</t>
  </si>
  <si>
    <t>PEGAMENTO PARA PVC OATEY ETIQUETA VERDE</t>
  </si>
  <si>
    <t>REQ -</t>
  </si>
  <si>
    <t>MAYO 07 2026</t>
  </si>
  <si>
    <t>MAP-0029R</t>
  </si>
  <si>
    <t>CEMENTO SACO 25 KG</t>
  </si>
  <si>
    <t>MORTERO SACO 25 KG</t>
  </si>
  <si>
    <t>Contrato 17 viviendas</t>
  </si>
  <si>
    <t>MAP-0030R</t>
  </si>
  <si>
    <t>DISCO DE CORTE METAL 4 1/2"</t>
  </si>
  <si>
    <t>DISCO DE CORTE DIAMANTE PARA PISO  4 1/2"</t>
  </si>
  <si>
    <t>DISCO DE CORTE PARA CONCRETO 4 1/2"</t>
  </si>
  <si>
    <t>REQUISICION SEMANA</t>
  </si>
  <si>
    <t>CAJAS</t>
  </si>
  <si>
    <t>CABLE CAL.12 VERDE</t>
  </si>
  <si>
    <t>INDIANA</t>
  </si>
  <si>
    <t>CABLE CAL.12 BLANCA</t>
  </si>
  <si>
    <t>CABLE CAL.12 NEGRO</t>
  </si>
  <si>
    <t>CABLE CAL.12 ROJA</t>
  </si>
  <si>
    <t>CABLE CAL.14  NEGRO</t>
  </si>
  <si>
    <t>CABLE CAL.14  ROJA</t>
  </si>
  <si>
    <t>CABLE CAL.14  BLANCA</t>
  </si>
  <si>
    <t>CABLE CAL. 8 BLANCA</t>
  </si>
  <si>
    <t>CABLE CAL. 8 NEGRA</t>
  </si>
  <si>
    <t>MAP-0031R</t>
  </si>
  <si>
    <t>77-64</t>
  </si>
  <si>
    <t>CONTRATO 17 VIVIENDA</t>
  </si>
  <si>
    <t>CABLE CAL.14  VERDE</t>
  </si>
  <si>
    <t>CABLE CAL. 8 ROJA</t>
  </si>
  <si>
    <t>MAP-0032R</t>
  </si>
  <si>
    <t>REQ: 255</t>
  </si>
  <si>
    <t>CINTA PARA ELECTRICO</t>
  </si>
  <si>
    <t>MAZ</t>
  </si>
  <si>
    <t>CONTRATO 19 VIVIENDAS</t>
  </si>
  <si>
    <t>QUINZAÑOS</t>
  </si>
  <si>
    <t>CONECTOR PARA VARILLA</t>
  </si>
  <si>
    <t>ING. BRAYAN AQUINO</t>
  </si>
  <si>
    <t>MAP-0033R</t>
  </si>
  <si>
    <t>REQ: 256</t>
  </si>
  <si>
    <t>ELECTRO INDUSTRIAL OLIDE</t>
  </si>
  <si>
    <t>PLACA DE 1 MÓDULO CON CHASIS DE RESINA, COLOR BLANCO</t>
  </si>
  <si>
    <t>E5N1PTL</t>
  </si>
  <si>
    <t>BTICINO LINEA MODUS COLOR BLANCO</t>
  </si>
  <si>
    <t>PLACA DE 2 MÓDULOS CON CHASIS DE RESINA, COLOR BLANCO</t>
  </si>
  <si>
    <t>E5N2PTL</t>
  </si>
  <si>
    <t>PLACA DE 3 MÓDULOS CON CHASIS DE RESINA, COLOR BLANCO</t>
  </si>
  <si>
    <t>E5N3PTL</t>
  </si>
  <si>
    <t>INTERRUPTOR SENCILLO 16AX, 127-277V~, 1 MÓD.</t>
  </si>
  <si>
    <t>E2001PTL</t>
  </si>
  <si>
    <t>INTERRUPTOR 3 VÍAS 16AX, 127-277V~, 1 MÓD. / APAGADOR ESCALERA</t>
  </si>
  <si>
    <t>E2003PTL</t>
  </si>
  <si>
    <t>PULSADOR 10A, 127-277V~, 1 MÓD.</t>
  </si>
  <si>
    <t>E2005PTL</t>
  </si>
  <si>
    <t>TOMACORRIENTE DUPLEX  2P+T CON , 15A, 127-250V~, 1 MÓD. / CONTACTO SENCILLO</t>
  </si>
  <si>
    <t>E6028NPTLS</t>
  </si>
  <si>
    <t>TOMACORRIENTE DÚPLEX 2P+T CON FALLA TIERRA, 15A, 127-250V~, PLACA BLANCA/ CONTACTO DUPLEX</t>
  </si>
  <si>
    <t>E6028GFG6PTL</t>
  </si>
  <si>
    <t>TOMA DE TELÉFONO 4 HILOS, 1 MÓD.</t>
  </si>
  <si>
    <t>E2082/11PTL</t>
  </si>
  <si>
    <t>TOMA DE T.V. 1 MÓD.</t>
  </si>
  <si>
    <t>E2E52PTL</t>
  </si>
  <si>
    <t>ZUMBADOR 127V~, 1 MÓD.</t>
  </si>
  <si>
    <t>E2046PTL</t>
  </si>
  <si>
    <t>TOMA DE CORRIENTE DUPLEX 2P+T 15 A 127 V~ BLANCO / INTERPERIE</t>
  </si>
  <si>
    <t>3232-W</t>
  </si>
  <si>
    <t>TAPA HORIZONTAL DUPLEX GRIS PARA INTEMPERIE</t>
  </si>
  <si>
    <t>CA8-GH</t>
  </si>
  <si>
    <t>PORTALÁMPARA PARA FOCO TRADICIONAL</t>
  </si>
  <si>
    <t>P21BN</t>
  </si>
  <si>
    <t xml:space="preserve">PLACA CIEGA </t>
  </si>
  <si>
    <t>E5N0PTL</t>
  </si>
  <si>
    <t>INTERRUPTOR TERMOMAGNETICO 1 X 15 AMP 120/240v</t>
  </si>
  <si>
    <t>INTERRUPTOR TERMOMAGNETICO 1 X 20 AMP 120/240v</t>
  </si>
  <si>
    <t xml:space="preserve"> CONTRATO 17 VIVIENDAS</t>
  </si>
  <si>
    <t>INTERRUPTOR TERMOMAGNETICO 2 x 50 AMP 120/240v</t>
  </si>
  <si>
    <t>MAP-0034R</t>
  </si>
  <si>
    <t>ZENDE</t>
  </si>
  <si>
    <t>LUMINARIA SPOT GENERAL EMPOTRADO DLT - 12W</t>
  </si>
  <si>
    <t>CONTRATO 17 VIVIENDAS</t>
  </si>
  <si>
    <t>LUMINARIA AG-DLT-7WBCAB</t>
  </si>
  <si>
    <t>DLT12WBCAB</t>
  </si>
  <si>
    <t>REQ. 256</t>
  </si>
  <si>
    <t>MARZO 17 2026</t>
  </si>
  <si>
    <t>HABILITADO, AZOTEAS, ESCALERAS CASTILLO PA.</t>
  </si>
  <si>
    <t xml:space="preserve">CONTRATO 7- 18 VIVIENDAS 2DA ETAPA </t>
  </si>
  <si>
    <t xml:space="preserve">CIMBRAPLAY  18 mm café </t>
  </si>
  <si>
    <t>BARROTE 2X4X10</t>
  </si>
  <si>
    <t>REQ: 257</t>
  </si>
  <si>
    <t xml:space="preserve">FAJILLA </t>
  </si>
  <si>
    <t xml:space="preserve">VARILLA DE COBRE 1.0 X 5/8 </t>
  </si>
  <si>
    <t>MAP-0035R</t>
  </si>
  <si>
    <t>HABILITADO CASTILLOS PLANTA BAJA</t>
  </si>
  <si>
    <t>MAP-0036R</t>
  </si>
  <si>
    <t>CUÑA CHICA</t>
  </si>
  <si>
    <t>CUÑA GRANDE</t>
  </si>
  <si>
    <t>MANERAL REFORZADO</t>
  </si>
  <si>
    <t>FELPA MICROFIBRA R</t>
  </si>
  <si>
    <t>LIJAS 150</t>
  </si>
  <si>
    <t>LIJA 80</t>
  </si>
  <si>
    <t>BROCHA 4</t>
  </si>
  <si>
    <t>BROCHA 2</t>
  </si>
  <si>
    <t>MAYO 08 2026</t>
  </si>
  <si>
    <t>MAP-0037R</t>
  </si>
  <si>
    <t>MAP-0038R</t>
  </si>
  <si>
    <t>OK RESANADOR</t>
  </si>
  <si>
    <t>MAYO 11 2026</t>
  </si>
  <si>
    <t>MAP-0039R</t>
  </si>
  <si>
    <t>VALVULA DE ALIVIO PARA BOILER 3/4 COFLEX</t>
  </si>
  <si>
    <t>VALVULA SHECK COLUMPIO 3/4 DICA</t>
  </si>
  <si>
    <t xml:space="preserve">CONECTOR MACHO 1" </t>
  </si>
  <si>
    <t>TUERCA UNIÓN MIXTA 32 MM X 1" ROSCA INTERIOR</t>
  </si>
  <si>
    <t>PARA CONEXIONES BOMBA Y OTROS PROCESOS</t>
  </si>
  <si>
    <t>MAP-0040R</t>
  </si>
  <si>
    <t>MAYO 12 2026</t>
  </si>
  <si>
    <t>CHALECO</t>
  </si>
  <si>
    <t>REDIMIX COMPUESTO</t>
  </si>
  <si>
    <t>CASCO AMARILLO CABEL</t>
  </si>
  <si>
    <t>OBRA EN GENERAL</t>
  </si>
  <si>
    <t>PARA ESTRUCTURA</t>
  </si>
  <si>
    <t>SIMEX</t>
  </si>
  <si>
    <t>SILLETAS PLASTICA PM 90 MM BOLSA CON 80 PZAS</t>
  </si>
  <si>
    <t>SILLETAS PLASTICA PM 25 MM BOLSA CON 500 PZAS</t>
  </si>
  <si>
    <t>ING. GUSTAVO DAVID</t>
  </si>
  <si>
    <t>MAP-0041R</t>
  </si>
  <si>
    <t>REQUI: 261</t>
  </si>
  <si>
    <t>REQUI: 259</t>
  </si>
  <si>
    <t>MAP-0042R</t>
  </si>
  <si>
    <t>REQ - 258</t>
  </si>
  <si>
    <t>CIMENTACIONES</t>
  </si>
  <si>
    <t>95,97,90,92,94,96</t>
  </si>
  <si>
    <t>GALVANIZADO</t>
  </si>
  <si>
    <t>TUBO 3/4  CEDULA 40</t>
  </si>
  <si>
    <t>TUBO 1/2" CEDULA 40</t>
  </si>
  <si>
    <t>TAPON HEMBRA 3/4"</t>
  </si>
  <si>
    <t>NIPLE 3/4" X 6"</t>
  </si>
  <si>
    <t>CINTA GARLOCK 1/2"</t>
  </si>
  <si>
    <t>PERMATEX</t>
  </si>
  <si>
    <t>COPLE  3/4"</t>
  </si>
  <si>
    <t xml:space="preserve">TERMINADO </t>
  </si>
  <si>
    <t>61,79</t>
  </si>
  <si>
    <t>MAP-0043R</t>
  </si>
  <si>
    <t>WC ONE HERMES PRO BLANCO CASTEL</t>
  </si>
  <si>
    <t>ONE PIECE VENUS BLANCO CASTEL</t>
  </si>
  <si>
    <t>LAVABO ARAL P/MONO BLANCO CASTEL</t>
  </si>
  <si>
    <t>LAVABO Y PEDESTAL LUANDA BLANCO CASTEL</t>
  </si>
  <si>
    <t>ARQ. ALEJANDRA GONZALEZ</t>
  </si>
  <si>
    <t>TERMINADO  WC Y LAVABO</t>
  </si>
  <si>
    <t>MAP-0044R</t>
  </si>
  <si>
    <t>REGADERA RED 4538R CROMO DICA</t>
  </si>
  <si>
    <t>BRAZO P/REG 4550BRR 40 CMS CROMO DICA</t>
  </si>
  <si>
    <t>JGO ACCESORIOS 3500 CROMO DICA</t>
  </si>
  <si>
    <t>MONOMANDO P/LAVABO 4459 CROMO DICA</t>
  </si>
  <si>
    <t>MEDIO CESPOL P/LAVABO SIN CONTRA 219 LATON URREA COD-150949</t>
  </si>
  <si>
    <t>CONTRA P/LAVABO REB 4206CP CROMO DICA</t>
  </si>
  <si>
    <t>REQ - 253</t>
  </si>
  <si>
    <t>61,79 accesorios de baño</t>
  </si>
  <si>
    <t>MONOMANDO PARA LAVABO MOD.M08-DC-01 PROYECTA</t>
  </si>
  <si>
    <t>REGADERA CROMADA CON BRAZO LARGO Y CHAPETON REC-02</t>
  </si>
  <si>
    <t>PORTA PAPEL SENCILLO SP-04 CROMO</t>
  </si>
  <si>
    <t>TOALLERO CIRCULAR SP-09 CROMO</t>
  </si>
  <si>
    <t>TOALLERO BARRA SENCILLO SP-05 CROMO</t>
  </si>
  <si>
    <t>TOALLERO DE GANCHO SENCILLO SP-06 CROMO</t>
  </si>
  <si>
    <t xml:space="preserve">61,79 ACCESORIOS PARA WC Y MEDIO BAÑO </t>
  </si>
  <si>
    <t>MAP-0045R</t>
  </si>
  <si>
    <t>MONOMANDOS Y CONEXIONES</t>
  </si>
  <si>
    <t>MAYO 13 2026</t>
  </si>
  <si>
    <t>KITS</t>
  </si>
  <si>
    <t>PARA INSTALACIÓN WC</t>
  </si>
  <si>
    <t>COFLEX PS-C250</t>
  </si>
  <si>
    <t xml:space="preserve">PARA LAVABO </t>
  </si>
  <si>
    <t>COFLEX PS-C152</t>
  </si>
  <si>
    <t>MAP-0046R</t>
  </si>
  <si>
    <t>EXTENCION DE 8" DE LATON CROMADO P/LAVABO PH-205</t>
  </si>
  <si>
    <t>CUELLO DE CERA CON GUIA</t>
  </si>
  <si>
    <t xml:space="preserve"> 61,79</t>
  </si>
  <si>
    <t xml:space="preserve">CONEXIONES/ PAQUETES </t>
  </si>
  <si>
    <t>61,79,59,81</t>
  </si>
  <si>
    <t>YESO 40 KG</t>
  </si>
  <si>
    <t>MAP-0047R</t>
  </si>
  <si>
    <t>MAP-0048R</t>
  </si>
  <si>
    <t>TOP WALL PALOMA</t>
  </si>
  <si>
    <t>BOLSAS</t>
  </si>
  <si>
    <t>ESTOPA</t>
  </si>
  <si>
    <t xml:space="preserve"> Contrato 2-17 viviendas LOTE  68 P/B</t>
  </si>
  <si>
    <t>REQ - 262</t>
  </si>
  <si>
    <t>COLADERA CUADRADA COFLEX</t>
  </si>
  <si>
    <t>PC-323</t>
  </si>
  <si>
    <t>MAP-0049R</t>
  </si>
  <si>
    <t>COLADERAS</t>
  </si>
  <si>
    <t>59,81,61,79</t>
  </si>
  <si>
    <t>MAP-0050R</t>
  </si>
  <si>
    <t xml:space="preserve">REQ - </t>
  </si>
  <si>
    <t>MAYO 15 2026</t>
  </si>
  <si>
    <t>MAP-0051R</t>
  </si>
  <si>
    <t>FILTRO DE SEDIMENTOS ESTANDAR</t>
  </si>
  <si>
    <t>MAP-0052R</t>
  </si>
  <si>
    <t>REQ - 265</t>
  </si>
  <si>
    <t>NIPLE DE CUERDA CORRIDA  1/2</t>
  </si>
  <si>
    <t>CODO PIPA 1"</t>
  </si>
  <si>
    <t>VALVULA PARA FLOTADOR ROTOPLAS 1/2</t>
  </si>
  <si>
    <t>TUERCA UNION MIXTA 32 MM X 1" ROSCA INTERIOR</t>
  </si>
  <si>
    <t>TUERCA UNION DE 3/4"</t>
  </si>
  <si>
    <t>CONECTOR MACHO 3/4"</t>
  </si>
  <si>
    <t>VALVULA TIPO ESFERA 3/4"</t>
  </si>
  <si>
    <t>FLOTADOR ROTOPLAS PARA CISTERNA N5</t>
  </si>
  <si>
    <t>MAYO 20 2026</t>
  </si>
  <si>
    <t>TEE REDUCCIÓN CENTRAL            1 X 1 X 3/4 SKU 200187</t>
  </si>
  <si>
    <t xml:space="preserve"> Contrato 17 viviendas LOTES </t>
  </si>
  <si>
    <t>CHALUPA GALVANIZADA 2X4</t>
  </si>
  <si>
    <t xml:space="preserve">CAJA CUADRADA GALVANIZADA 4X4 </t>
  </si>
  <si>
    <t>TAPA DE CENTRO DE CARGA Q20</t>
  </si>
  <si>
    <t>MAYO 202026</t>
  </si>
  <si>
    <t>MAP-0053R</t>
  </si>
  <si>
    <t>MAP-0054R</t>
  </si>
  <si>
    <t xml:space="preserve">Para cambio de piso manchado </t>
  </si>
  <si>
    <t>BTC20RE</t>
  </si>
  <si>
    <t>TAPA DE CENTRO DE CARGA Q30</t>
  </si>
  <si>
    <t>BTC30Z/RE</t>
  </si>
  <si>
    <t>CURVA GALVANIZADA 3/4</t>
  </si>
  <si>
    <t>MAP-0055R</t>
  </si>
  <si>
    <t>REQ: 264</t>
  </si>
  <si>
    <t>TOP WALL TAPIR</t>
  </si>
  <si>
    <t>LIJA NEGRA 150</t>
  </si>
  <si>
    <t>FELPA 4"</t>
  </si>
  <si>
    <t>REQ - 267</t>
  </si>
  <si>
    <t>REQ.: 268</t>
  </si>
  <si>
    <t>PAQUETE C/10</t>
  </si>
  <si>
    <t>MAYO 22 2026</t>
  </si>
  <si>
    <t>MAP-0056R</t>
  </si>
  <si>
    <t>MAP-0057R</t>
  </si>
  <si>
    <t>BROCHA AZUL SINTETICA DE        2 1/2</t>
  </si>
  <si>
    <t>SOLO LOTE 62</t>
  </si>
  <si>
    <t>62,78 PROTOTIPO VERDE</t>
  </si>
  <si>
    <t>MAYO 25 2026</t>
  </si>
  <si>
    <t>MAP-0058R</t>
  </si>
  <si>
    <t xml:space="preserve">REQ - 253 </t>
  </si>
  <si>
    <t>MAP-0059R</t>
  </si>
  <si>
    <t>MAP-0060R</t>
  </si>
  <si>
    <t>MAYO 26 2026</t>
  </si>
  <si>
    <t>MAP-0061R</t>
  </si>
  <si>
    <t>KG</t>
  </si>
  <si>
    <t>ALAMBRON</t>
  </si>
  <si>
    <t>MAYO 27 2026</t>
  </si>
  <si>
    <t>MAP-0062R</t>
  </si>
  <si>
    <t xml:space="preserve">REQ.: </t>
  </si>
  <si>
    <t>FELPA AZUL COD. X</t>
  </si>
  <si>
    <t>BROCHA 4"</t>
  </si>
  <si>
    <t>BROCHA 2"</t>
  </si>
  <si>
    <t>MANERAL 4"</t>
  </si>
  <si>
    <t>EXTENCIÓN 3 MTS</t>
  </si>
  <si>
    <t>EXTENCIÓN 6 MTS AMARILLA</t>
  </si>
  <si>
    <t xml:space="preserve">BOTE OK </t>
  </si>
  <si>
    <t>MAP-0063R</t>
  </si>
  <si>
    <t xml:space="preserve">REQ </t>
  </si>
  <si>
    <t>YESO</t>
  </si>
  <si>
    <t>MAYO 28 2026</t>
  </si>
  <si>
    <t>MAP-0064R</t>
  </si>
  <si>
    <t>ESCALERA DE EXTENCIÓN TIPO III 28 ESCALONES</t>
  </si>
  <si>
    <t>MORTERO</t>
  </si>
  <si>
    <t>MAYO 29 2026</t>
  </si>
  <si>
    <t>MAP-0065R</t>
  </si>
  <si>
    <t>MAP-0066R</t>
  </si>
  <si>
    <t>PARA PROCESOS VARIOS</t>
  </si>
  <si>
    <t>CINTA TEFLON  3/4"</t>
  </si>
  <si>
    <t>NIPLE 1/2" X 3"</t>
  </si>
  <si>
    <t>PROCESO</t>
  </si>
  <si>
    <t>PINTURA-TERMINADO</t>
  </si>
  <si>
    <t>JUNIO 01 2026</t>
  </si>
  <si>
    <t>MAP-0067R</t>
  </si>
  <si>
    <t xml:space="preserve">GALON </t>
  </si>
  <si>
    <t>ESMALTE BLANCO 4 LTS SECADO RAPIDO</t>
  </si>
  <si>
    <t>ESMALTE PALOMA 4 LTS SECADO RAPIDO</t>
  </si>
  <si>
    <t>Junio 01 2026</t>
  </si>
  <si>
    <t>MAP-0068R</t>
  </si>
  <si>
    <t>JUNIO 04 2026</t>
  </si>
  <si>
    <t>MAP-0069R</t>
  </si>
  <si>
    <t>MAP-0070R</t>
  </si>
  <si>
    <t>REQ.: 273</t>
  </si>
  <si>
    <t xml:space="preserve">COMPUESTO STD PLUS </t>
  </si>
  <si>
    <t>PARES</t>
  </si>
  <si>
    <t>GUANTE DE NITRILO</t>
  </si>
  <si>
    <t>GUANTE DE CARNAZA</t>
  </si>
  <si>
    <t>CASCOS AMARILLO</t>
  </si>
  <si>
    <t>CHALUPA GALVANIZADA 4X2</t>
  </si>
  <si>
    <t>BASE PARA MEDIDOR</t>
  </si>
  <si>
    <t>QUINTA TERMINAL</t>
  </si>
  <si>
    <t>CURVA CONDUIT PVC PESADO 1 1/4</t>
  </si>
  <si>
    <t>QOD2S CENTRO DE CARGA 2P SOBREPONER</t>
  </si>
  <si>
    <t>L-66-67-73-74-75</t>
  </si>
  <si>
    <t>MAP-0071R</t>
  </si>
  <si>
    <t>REQ: 272</t>
  </si>
  <si>
    <t>MAP-0072R</t>
  </si>
  <si>
    <t>MAP-0073R</t>
  </si>
  <si>
    <t>JUNIO 03 2026</t>
  </si>
  <si>
    <t>63,64</t>
  </si>
  <si>
    <t>REQ - 271</t>
  </si>
  <si>
    <t>PAQUETE PARA INSTALACIÓN DE FREGADERO</t>
  </si>
  <si>
    <t>COFLEX PS-C406</t>
  </si>
  <si>
    <t>JUNIO 05 2026</t>
  </si>
  <si>
    <t>MAP-0075R</t>
  </si>
  <si>
    <t>MAP-0076R</t>
  </si>
  <si>
    <t>MAP-0077R</t>
  </si>
  <si>
    <t>REQ - 270</t>
  </si>
  <si>
    <t>MAP-0078R</t>
  </si>
  <si>
    <t>[TBP-CM-3225] 200056 - Conector Macho 1'' x 3/4'' Tuboplus Rotoplas 3225 mm</t>
  </si>
  <si>
    <t>MAP-0079R</t>
  </si>
  <si>
    <t>78 falta boiler</t>
  </si>
  <si>
    <t>revisar si estan conexiones de la 78</t>
  </si>
  <si>
    <t>VARILLA CORRUGADA 3/4</t>
  </si>
  <si>
    <t>JUNIO 08 2026</t>
  </si>
  <si>
    <t>MAP-0080R</t>
  </si>
  <si>
    <t>MONOMANDO DE EMPOTRADO PARA REGADERA  PROYECTA    MOR-DC-01</t>
  </si>
  <si>
    <t>MAP-0081R</t>
  </si>
  <si>
    <t>66,73,74</t>
  </si>
  <si>
    <t>JUNIO 10 2026</t>
  </si>
  <si>
    <t>MAP-0082R</t>
  </si>
  <si>
    <t>REQ.: 276</t>
  </si>
  <si>
    <t>OBRA TERRA</t>
  </si>
  <si>
    <t>CONEXIONES BOILER</t>
  </si>
  <si>
    <t>CONECTOR MACHO COBRE 3/4</t>
  </si>
  <si>
    <t>COBRE</t>
  </si>
  <si>
    <t>CONECTOR HEMBRA COBRE 3/4</t>
  </si>
  <si>
    <t>CODO COBRE 3/4 X 90</t>
  </si>
  <si>
    <t>TEE COBRE 3/4</t>
  </si>
  <si>
    <t>VALVULA DE CONTROL ANGULAR DE GAS 1/2" X 3/8</t>
  </si>
  <si>
    <t xml:space="preserve">TRAMO </t>
  </si>
  <si>
    <t>TUBO COBRE  L 3/4</t>
  </si>
  <si>
    <t>ARQ. ALEJNDRA GONZALEZ</t>
  </si>
  <si>
    <t>CODO COBRE 3/4 X 45</t>
  </si>
  <si>
    <t>SOLDADURA DE ESTAÑO OMEGA 50/50 SOLIDA</t>
  </si>
  <si>
    <t>CONTRATO 17 casas</t>
  </si>
  <si>
    <t>BOILER ODP-11 OPTIMUS</t>
  </si>
  <si>
    <t>MAP-0083R</t>
  </si>
  <si>
    <t>MAP-0084R</t>
  </si>
  <si>
    <t>PAQUETE</t>
  </si>
  <si>
    <t>CINTA MASKING AZUL 1"</t>
  </si>
  <si>
    <t>MAP-0085R</t>
  </si>
  <si>
    <t>REQ   275</t>
  </si>
  <si>
    <t xml:space="preserve">MAZB </t>
  </si>
  <si>
    <t>VALVULA DE ALIVIO</t>
  </si>
  <si>
    <t>VALVULA DE ALIVIO 3/4" P/ BOILER</t>
  </si>
  <si>
    <t>IP-801C</t>
  </si>
  <si>
    <t>CONTRATO 17 VIVIENDAS 62,63,64,77</t>
  </si>
  <si>
    <t>MAP-0086R</t>
  </si>
  <si>
    <t>CINTA TEFLON GARLOCK 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</si>
</sst>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-80A]d&quot; de &quot;mmmm&quot; de &quot;yyyy;@"/>
    <numFmt numFmtId="165" formatCode="&quot;$&quot;#,##0.00"/>
  </numFmts>
  <fonts count="3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4"/>
      <color indexed="8"/>
      <name val="Arial"/>
      <family val="2"/>
    </font>
    <font>
      <sz val="16"/>
      <color indexed="8"/>
      <name val="Arial"/>
      <family val="2"/>
    </font>
    <font>
      <sz val="13"/>
      <color indexed="8"/>
      <name val="Arial"/>
      <family val="2"/>
    </font>
    <font>
      <sz val="11"/>
      <color indexed="8"/>
      <name val="Arial"/>
      <family val="2"/>
    </font>
    <font>
      <sz val="16"/>
      <color theme="1"/>
      <name val="Aptos Narrow"/>
      <family val="2"/>
      <scheme val="minor"/>
    </font>
    <font>
      <b/>
      <sz val="14"/>
      <color indexed="8"/>
      <name val="Arial"/>
      <family val="2"/>
    </font>
    <font>
      <sz val="14"/>
      <color theme="1"/>
      <name val="Aptos Narrow"/>
      <family val="2"/>
      <scheme val="minor"/>
    </font>
    <font>
      <b/>
      <sz val="11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Aptos Display"/>
      <family val="2"/>
      <scheme val="major"/>
    </font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sz val="12"/>
      <name val="Arial"/>
      <family val="2"/>
    </font>
    <font>
      <b/>
      <sz val="24"/>
      <color theme="4" tint="-0.249977111117893"/>
      <name val="Calisto MT"/>
      <family val="1"/>
    </font>
    <font>
      <b/>
      <sz val="16"/>
      <color theme="4" tint="-0.249977111117893"/>
      <name val="Calisto MT"/>
      <family val="1"/>
    </font>
    <font>
      <b/>
      <sz val="12"/>
      <color theme="1"/>
      <name val="Calisto MT"/>
      <family val="1"/>
    </font>
    <font>
      <b/>
      <sz val="14"/>
      <color theme="1"/>
      <name val="Calisto MT"/>
      <family val="1"/>
    </font>
    <font>
      <sz val="16"/>
      <color theme="1"/>
      <name val="Calisto MT"/>
      <family val="1"/>
    </font>
    <font>
      <sz val="12"/>
      <color theme="1"/>
      <name val="Calisto MT"/>
      <family val="1"/>
    </font>
    <font>
      <sz val="12"/>
      <color indexed="8"/>
      <name val="Calisto MT"/>
      <family val="1"/>
    </font>
    <font>
      <sz val="11"/>
      <color theme="1"/>
      <name val="Calisto MT"/>
      <family val="1"/>
    </font>
    <font>
      <sz val="14"/>
      <color theme="1"/>
      <name val="Calisto MT"/>
      <family val="1"/>
    </font>
    <font>
      <b/>
      <sz val="12"/>
      <color indexed="8"/>
      <name val="Calisto MT"/>
      <family val="1"/>
    </font>
    <font>
      <b/>
      <sz val="12"/>
      <color theme="0"/>
      <name val="Calisto MT"/>
      <family val="1"/>
    </font>
    <font>
      <b/>
      <sz val="20"/>
      <color theme="4" tint="-0.249977111117893"/>
      <name val="Calisto MT"/>
      <family val="1"/>
    </font>
    <font>
      <sz val="11"/>
      <name val="Calisto MT"/>
      <family val="1"/>
    </font>
    <font>
      <sz val="12"/>
      <name val="Calisto MT"/>
      <family val="1"/>
    </font>
    <font>
      <sz val="12"/>
      <color theme="0"/>
      <name val="Calisto MT"/>
      <family val="1"/>
    </font>
    <font>
      <sz val="14"/>
      <color theme="0"/>
      <name val="Calisto MT"/>
      <family val="1"/>
    </font>
    <font>
      <sz val="14"/>
      <name val="Calisto MT"/>
      <family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99FF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250">
    <xf numFmtId="0" fontId="0" fillId="0" borderId="0" xfId="0"/>
    <xf numFmtId="0" fontId="3" fillId="0" borderId="0" xfId="2" applyFont="1"/>
    <xf numFmtId="0" fontId="4" fillId="0" borderId="0" xfId="2" applyFont="1" applyAlignment="1">
      <alignment vertical="center"/>
    </xf>
    <xf numFmtId="44" fontId="4" fillId="0" borderId="0" xfId="1" applyFont="1" applyAlignment="1">
      <alignment vertical="center"/>
    </xf>
    <xf numFmtId="0" fontId="5" fillId="0" borderId="0" xfId="2" applyFont="1" applyAlignment="1">
      <alignment vertical="center"/>
    </xf>
    <xf numFmtId="44" fontId="4" fillId="0" borderId="0" xfId="1" applyFont="1" applyAlignment="1">
      <alignment horizontal="center"/>
    </xf>
    <xf numFmtId="0" fontId="7" fillId="0" borderId="0" xfId="0" applyFont="1"/>
    <xf numFmtId="0" fontId="4" fillId="0" borderId="0" xfId="2" applyFont="1"/>
    <xf numFmtId="0" fontId="3" fillId="0" borderId="0" xfId="2" applyFont="1" applyAlignment="1">
      <alignment horizontal="center"/>
    </xf>
    <xf numFmtId="0" fontId="8" fillId="2" borderId="0" xfId="2" applyFont="1" applyFill="1" applyAlignment="1">
      <alignment horizontal="left"/>
    </xf>
    <xf numFmtId="44" fontId="8" fillId="2" borderId="0" xfId="1" applyFont="1" applyFill="1" applyAlignment="1">
      <alignment horizontal="left"/>
    </xf>
    <xf numFmtId="44" fontId="8" fillId="2" borderId="0" xfId="1" applyFont="1" applyFill="1" applyAlignment="1">
      <alignment horizontal="center"/>
    </xf>
    <xf numFmtId="0" fontId="0" fillId="3" borderId="0" xfId="0" applyFill="1"/>
    <xf numFmtId="0" fontId="8" fillId="0" borderId="0" xfId="2" applyFont="1" applyAlignment="1">
      <alignment horizontal="left"/>
    </xf>
    <xf numFmtId="0" fontId="8" fillId="0" borderId="0" xfId="2" applyFont="1" applyAlignment="1">
      <alignment horizontal="center"/>
    </xf>
    <xf numFmtId="44" fontId="8" fillId="0" borderId="0" xfId="1" applyFont="1" applyAlignment="1">
      <alignment horizontal="center"/>
    </xf>
    <xf numFmtId="0" fontId="9" fillId="0" borderId="0" xfId="0" applyFont="1"/>
    <xf numFmtId="0" fontId="8" fillId="0" borderId="0" xfId="2" applyFont="1"/>
    <xf numFmtId="44" fontId="3" fillId="0" borderId="0" xfId="1" applyFont="1"/>
    <xf numFmtId="0" fontId="10" fillId="2" borderId="0" xfId="2" applyFont="1" applyFill="1" applyAlignment="1">
      <alignment horizontal="center" vertical="center"/>
    </xf>
    <xf numFmtId="0" fontId="11" fillId="2" borderId="0" xfId="2" applyFont="1" applyFill="1" applyAlignment="1">
      <alignment horizontal="center" vertical="center"/>
    </xf>
    <xf numFmtId="0" fontId="11" fillId="2" borderId="0" xfId="2" applyFont="1" applyFill="1" applyAlignment="1">
      <alignment horizontal="left" vertical="center"/>
    </xf>
    <xf numFmtId="44" fontId="11" fillId="2" borderId="0" xfId="1" applyFont="1" applyFill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vertical="center" wrapText="1"/>
    </xf>
    <xf numFmtId="44" fontId="13" fillId="0" borderId="0" xfId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44" fontId="13" fillId="0" borderId="0" xfId="1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0" fillId="0" borderId="0" xfId="0" applyAlignment="1">
      <alignment vertical="center"/>
    </xf>
    <xf numFmtId="44" fontId="0" fillId="0" borderId="0" xfId="1" applyFont="1"/>
    <xf numFmtId="0" fontId="16" fillId="0" borderId="0" xfId="0" applyFont="1" applyAlignment="1">
      <alignment horizontal="right"/>
    </xf>
    <xf numFmtId="44" fontId="16" fillId="0" borderId="0" xfId="1" applyFont="1" applyBorder="1"/>
    <xf numFmtId="0" fontId="16" fillId="0" borderId="0" xfId="0" applyFont="1"/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/>
    <xf numFmtId="44" fontId="17" fillId="0" borderId="1" xfId="1" applyFont="1" applyBorder="1"/>
    <xf numFmtId="0" fontId="17" fillId="0" borderId="0" xfId="0" applyFont="1"/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/>
    <xf numFmtId="44" fontId="13" fillId="0" borderId="0" xfId="1" applyFont="1"/>
    <xf numFmtId="0" fontId="17" fillId="0" borderId="0" xfId="0" applyFont="1" applyAlignment="1">
      <alignment horizontal="center" vertical="center"/>
    </xf>
    <xf numFmtId="44" fontId="17" fillId="0" borderId="0" xfId="1" applyFont="1"/>
    <xf numFmtId="0" fontId="7" fillId="0" borderId="3" xfId="0" applyFont="1" applyBorder="1"/>
    <xf numFmtId="0" fontId="7" fillId="0" borderId="6" xfId="0" applyFont="1" applyBorder="1"/>
    <xf numFmtId="0" fontId="7" fillId="0" borderId="9" xfId="0" applyFont="1" applyBorder="1"/>
    <xf numFmtId="0" fontId="23" fillId="0" borderId="12" xfId="0" applyFont="1" applyBorder="1"/>
    <xf numFmtId="0" fontId="23" fillId="0" borderId="13" xfId="0" applyFont="1" applyBorder="1"/>
    <xf numFmtId="0" fontId="23" fillId="0" borderId="14" xfId="0" applyFont="1" applyBorder="1"/>
    <xf numFmtId="0" fontId="24" fillId="0" borderId="12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left" vertical="center" wrapText="1"/>
    </xf>
    <xf numFmtId="0" fontId="25" fillId="0" borderId="5" xfId="0" applyFont="1" applyBorder="1" applyAlignment="1">
      <alignment horizontal="left" vertical="center" wrapText="1"/>
    </xf>
    <xf numFmtId="165" fontId="24" fillId="0" borderId="3" xfId="0" applyNumberFormat="1" applyFont="1" applyBorder="1" applyAlignment="1">
      <alignment horizontal="center" vertical="center"/>
    </xf>
    <xf numFmtId="165" fontId="24" fillId="0" borderId="5" xfId="0" applyNumberFormat="1" applyFont="1" applyBorder="1" applyAlignment="1">
      <alignment horizontal="center" vertical="center"/>
    </xf>
    <xf numFmtId="0" fontId="26" fillId="0" borderId="3" xfId="0" applyFont="1" applyBorder="1"/>
    <xf numFmtId="0" fontId="25" fillId="0" borderId="7" xfId="0" applyFont="1" applyBorder="1" applyAlignment="1">
      <alignment horizontal="center" vertical="center" wrapText="1"/>
    </xf>
    <xf numFmtId="0" fontId="25" fillId="0" borderId="6" xfId="0" applyFont="1" applyBorder="1" applyAlignment="1">
      <alignment horizontal="left" vertical="center" wrapText="1"/>
    </xf>
    <xf numFmtId="0" fontId="25" fillId="0" borderId="8" xfId="0" applyFont="1" applyBorder="1" applyAlignment="1">
      <alignment horizontal="left" vertical="center" wrapText="1"/>
    </xf>
    <xf numFmtId="165" fontId="24" fillId="0" borderId="6" xfId="0" applyNumberFormat="1" applyFont="1" applyBorder="1" applyAlignment="1">
      <alignment horizontal="center" vertical="center"/>
    </xf>
    <xf numFmtId="165" fontId="24" fillId="0" borderId="8" xfId="0" applyNumberFormat="1" applyFont="1" applyBorder="1" applyAlignment="1">
      <alignment horizontal="center" vertical="center"/>
    </xf>
    <xf numFmtId="0" fontId="26" fillId="0" borderId="6" xfId="0" applyFont="1" applyBorder="1"/>
    <xf numFmtId="0" fontId="24" fillId="0" borderId="7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0" fontId="25" fillId="0" borderId="11" xfId="0" applyFont="1" applyBorder="1" applyAlignment="1">
      <alignment horizontal="left" vertical="center" wrapText="1"/>
    </xf>
    <xf numFmtId="165" fontId="24" fillId="0" borderId="9" xfId="0" applyNumberFormat="1" applyFont="1" applyBorder="1" applyAlignment="1">
      <alignment horizontal="center" vertical="center"/>
    </xf>
    <xf numFmtId="165" fontId="24" fillId="0" borderId="11" xfId="0" applyNumberFormat="1" applyFont="1" applyBorder="1" applyAlignment="1">
      <alignment horizontal="center" vertical="center"/>
    </xf>
    <xf numFmtId="0" fontId="26" fillId="0" borderId="9" xfId="0" applyFont="1" applyBorder="1"/>
    <xf numFmtId="0" fontId="24" fillId="0" borderId="4" xfId="0" applyFont="1" applyBorder="1"/>
    <xf numFmtId="0" fontId="24" fillId="0" borderId="2" xfId="0" applyFont="1" applyBorder="1"/>
    <xf numFmtId="165" fontId="27" fillId="0" borderId="2" xfId="0" applyNumberFormat="1" applyFont="1" applyBorder="1"/>
    <xf numFmtId="165" fontId="27" fillId="0" borderId="2" xfId="0" applyNumberFormat="1" applyFont="1" applyBorder="1" applyAlignment="1">
      <alignment vertical="center"/>
    </xf>
    <xf numFmtId="0" fontId="24" fillId="0" borderId="5" xfId="0" applyFont="1" applyBorder="1"/>
    <xf numFmtId="0" fontId="24" fillId="0" borderId="7" xfId="0" applyFont="1" applyBorder="1"/>
    <xf numFmtId="0" fontId="24" fillId="0" borderId="0" xfId="0" applyFont="1"/>
    <xf numFmtId="165" fontId="27" fillId="0" borderId="0" xfId="0" applyNumberFormat="1" applyFont="1"/>
    <xf numFmtId="165" fontId="27" fillId="0" borderId="0" xfId="0" applyNumberFormat="1" applyFont="1" applyAlignment="1">
      <alignment vertical="center"/>
    </xf>
    <xf numFmtId="0" fontId="24" fillId="0" borderId="8" xfId="0" applyFont="1" applyBorder="1"/>
    <xf numFmtId="165" fontId="27" fillId="0" borderId="1" xfId="0" applyNumberFormat="1" applyFont="1" applyBorder="1"/>
    <xf numFmtId="165" fontId="27" fillId="0" borderId="1" xfId="0" applyNumberFormat="1" applyFont="1" applyBorder="1" applyAlignment="1">
      <alignment vertical="center"/>
    </xf>
    <xf numFmtId="0" fontId="24" fillId="0" borderId="11" xfId="0" applyFont="1" applyBorder="1"/>
    <xf numFmtId="0" fontId="24" fillId="0" borderId="2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6" fillId="0" borderId="0" xfId="0" applyFont="1"/>
    <xf numFmtId="0" fontId="25" fillId="0" borderId="3" xfId="0" applyFont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2" xfId="0" applyBorder="1"/>
    <xf numFmtId="0" fontId="23" fillId="0" borderId="15" xfId="0" applyFont="1" applyBorder="1"/>
    <xf numFmtId="0" fontId="25" fillId="4" borderId="6" xfId="0" applyFont="1" applyFill="1" applyBorder="1" applyAlignment="1">
      <alignment horizontal="right" vertical="center" wrapText="1"/>
    </xf>
    <xf numFmtId="0" fontId="25" fillId="4" borderId="6" xfId="0" applyFont="1" applyFill="1" applyBorder="1" applyAlignment="1">
      <alignment horizontal="center" vertical="center" wrapText="1"/>
    </xf>
    <xf numFmtId="165" fontId="24" fillId="4" borderId="6" xfId="0" applyNumberFormat="1" applyFont="1" applyFill="1" applyBorder="1" applyAlignment="1">
      <alignment horizontal="center" vertical="center"/>
    </xf>
    <xf numFmtId="0" fontId="25" fillId="0" borderId="6" xfId="0" applyFont="1" applyBorder="1" applyAlignment="1">
      <alignment horizontal="right" vertical="center" wrapText="1"/>
    </xf>
    <xf numFmtId="0" fontId="29" fillId="5" borderId="12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vertical="center"/>
    </xf>
    <xf numFmtId="0" fontId="25" fillId="4" borderId="6" xfId="0" applyFont="1" applyFill="1" applyBorder="1" applyAlignment="1">
      <alignment horizontal="left" vertical="center" wrapText="1"/>
    </xf>
    <xf numFmtId="0" fontId="27" fillId="0" borderId="0" xfId="0" applyFont="1" applyAlignment="1">
      <alignment horizontal="right"/>
    </xf>
    <xf numFmtId="0" fontId="27" fillId="0" borderId="1" xfId="0" applyFont="1" applyBorder="1" applyAlignment="1">
      <alignment horizontal="right"/>
    </xf>
    <xf numFmtId="0" fontId="24" fillId="0" borderId="4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23" fillId="0" borderId="13" xfId="0" applyFont="1" applyBorder="1" applyAlignment="1">
      <alignment horizontal="left"/>
    </xf>
    <xf numFmtId="0" fontId="23" fillId="0" borderId="14" xfId="0" applyFont="1" applyBorder="1" applyAlignment="1">
      <alignment horizontal="left"/>
    </xf>
    <xf numFmtId="0" fontId="23" fillId="0" borderId="15" xfId="0" applyFont="1" applyBorder="1" applyAlignment="1">
      <alignment horizontal="left"/>
    </xf>
    <xf numFmtId="0" fontId="27" fillId="0" borderId="2" xfId="0" applyFont="1" applyBorder="1" applyAlignment="1">
      <alignment horizontal="right"/>
    </xf>
    <xf numFmtId="0" fontId="7" fillId="0" borderId="8" xfId="0" applyFont="1" applyBorder="1" applyAlignment="1">
      <alignment horizontal="center"/>
    </xf>
    <xf numFmtId="0" fontId="7" fillId="0" borderId="0" xfId="0" quotePrefix="1" applyFont="1" applyAlignment="1">
      <alignment horizontal="center"/>
    </xf>
    <xf numFmtId="0" fontId="22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left"/>
    </xf>
    <xf numFmtId="0" fontId="21" fillId="0" borderId="10" xfId="0" applyFont="1" applyBorder="1" applyAlignment="1">
      <alignment horizontal="left" vertical="center" wrapText="1"/>
    </xf>
    <xf numFmtId="0" fontId="23" fillId="0" borderId="4" xfId="0" applyFont="1" applyBorder="1" applyAlignment="1">
      <alignment vertical="center"/>
    </xf>
    <xf numFmtId="0" fontId="23" fillId="0" borderId="2" xfId="0" applyFont="1" applyBorder="1" applyAlignment="1">
      <alignment vertical="center"/>
    </xf>
    <xf numFmtId="0" fontId="23" fillId="0" borderId="5" xfId="0" applyFont="1" applyBorder="1" applyAlignment="1">
      <alignment vertical="center"/>
    </xf>
    <xf numFmtId="0" fontId="23" fillId="0" borderId="7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8" xfId="0" applyFont="1" applyBorder="1" applyAlignment="1">
      <alignment vertical="center"/>
    </xf>
    <xf numFmtId="0" fontId="23" fillId="0" borderId="10" xfId="0" applyFont="1" applyBorder="1" applyAlignment="1">
      <alignment vertical="center"/>
    </xf>
    <xf numFmtId="0" fontId="23" fillId="0" borderId="1" xfId="0" applyFont="1" applyBorder="1" applyAlignment="1">
      <alignment vertical="center"/>
    </xf>
    <xf numFmtId="0" fontId="23" fillId="0" borderId="11" xfId="0" applyFont="1" applyBorder="1" applyAlignment="1">
      <alignment vertical="center"/>
    </xf>
    <xf numFmtId="0" fontId="26" fillId="0" borderId="6" xfId="0" applyFont="1" applyBorder="1" applyAlignment="1">
      <alignment horizontal="center" vertical="center"/>
    </xf>
    <xf numFmtId="0" fontId="25" fillId="0" borderId="6" xfId="0" applyFont="1" applyBorder="1" applyAlignment="1">
      <alignment vertical="center" wrapText="1"/>
    </xf>
    <xf numFmtId="165" fontId="27" fillId="0" borderId="2" xfId="0" applyNumberFormat="1" applyFont="1" applyBorder="1" applyAlignment="1">
      <alignment horizontal="center" vertical="center"/>
    </xf>
    <xf numFmtId="165" fontId="27" fillId="0" borderId="0" xfId="0" applyNumberFormat="1" applyFont="1" applyAlignment="1">
      <alignment horizontal="center" vertical="center"/>
    </xf>
    <xf numFmtId="165" fontId="27" fillId="0" borderId="1" xfId="0" applyNumberFormat="1" applyFont="1" applyBorder="1" applyAlignment="1">
      <alignment horizontal="center" vertical="center"/>
    </xf>
    <xf numFmtId="0" fontId="24" fillId="0" borderId="10" xfId="0" applyFont="1" applyBorder="1" applyAlignment="1">
      <alignment horizontal="left" vertical="center"/>
    </xf>
    <xf numFmtId="0" fontId="25" fillId="0" borderId="8" xfId="0" applyFont="1" applyBorder="1" applyAlignment="1">
      <alignment vertical="center" wrapText="1"/>
    </xf>
    <xf numFmtId="0" fontId="7" fillId="0" borderId="7" xfId="0" applyFont="1" applyBorder="1"/>
    <xf numFmtId="0" fontId="26" fillId="0" borderId="6" xfId="0" applyFont="1" applyBorder="1" applyAlignment="1">
      <alignment vertical="center" wrapText="1"/>
    </xf>
    <xf numFmtId="165" fontId="31" fillId="0" borderId="6" xfId="0" applyNumberFormat="1" applyFont="1" applyBorder="1" applyAlignment="1">
      <alignment horizontal="center" vertical="center"/>
    </xf>
    <xf numFmtId="0" fontId="26" fillId="0" borderId="6" xfId="0" applyFont="1" applyBorder="1" applyAlignment="1">
      <alignment wrapText="1"/>
    </xf>
    <xf numFmtId="0" fontId="26" fillId="0" borderId="6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26" fillId="0" borderId="4" xfId="0" applyFont="1" applyBorder="1"/>
    <xf numFmtId="0" fontId="26" fillId="0" borderId="2" xfId="0" applyFont="1" applyBorder="1"/>
    <xf numFmtId="0" fontId="24" fillId="0" borderId="4" xfId="0" applyFont="1" applyBorder="1" applyAlignment="1">
      <alignment horizontal="right" vertical="center"/>
    </xf>
    <xf numFmtId="165" fontId="32" fillId="0" borderId="2" xfId="0" applyNumberFormat="1" applyFont="1" applyBorder="1" applyAlignment="1">
      <alignment horizontal="center" vertical="center"/>
    </xf>
    <xf numFmtId="0" fontId="26" fillId="0" borderId="5" xfId="0" applyFont="1" applyBorder="1"/>
    <xf numFmtId="0" fontId="26" fillId="0" borderId="7" xfId="0" applyFont="1" applyBorder="1"/>
    <xf numFmtId="0" fontId="24" fillId="0" borderId="7" xfId="0" applyFont="1" applyBorder="1" applyAlignment="1">
      <alignment horizontal="right" vertical="center"/>
    </xf>
    <xf numFmtId="165" fontId="32" fillId="0" borderId="0" xfId="0" applyNumberFormat="1" applyFont="1" applyAlignment="1">
      <alignment horizontal="center" vertical="center"/>
    </xf>
    <xf numFmtId="0" fontId="26" fillId="0" borderId="8" xfId="0" applyFont="1" applyBorder="1"/>
    <xf numFmtId="0" fontId="24" fillId="0" borderId="10" xfId="0" applyFont="1" applyBorder="1" applyAlignment="1">
      <alignment horizontal="right" vertical="center"/>
    </xf>
    <xf numFmtId="0" fontId="24" fillId="0" borderId="1" xfId="0" applyFont="1" applyBorder="1"/>
    <xf numFmtId="165" fontId="32" fillId="0" borderId="1" xfId="0" applyNumberFormat="1" applyFont="1" applyBorder="1" applyAlignment="1">
      <alignment horizontal="center" vertical="center"/>
    </xf>
    <xf numFmtId="0" fontId="26" fillId="0" borderId="11" xfId="0" applyFont="1" applyBorder="1"/>
    <xf numFmtId="0" fontId="26" fillId="0" borderId="2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165" fontId="31" fillId="0" borderId="3" xfId="0" applyNumberFormat="1" applyFont="1" applyBorder="1" applyAlignment="1">
      <alignment horizontal="center" vertical="center"/>
    </xf>
    <xf numFmtId="0" fontId="25" fillId="0" borderId="6" xfId="0" applyFont="1" applyBorder="1" applyAlignment="1">
      <alignment horizontal="center" wrapText="1"/>
    </xf>
    <xf numFmtId="0" fontId="26" fillId="0" borderId="3" xfId="0" applyFont="1" applyBorder="1" applyAlignment="1">
      <alignment horizontal="left" vertical="center"/>
    </xf>
    <xf numFmtId="0" fontId="26" fillId="0" borderId="6" xfId="0" applyFont="1" applyBorder="1" applyAlignment="1">
      <alignment horizontal="left" vertical="center"/>
    </xf>
    <xf numFmtId="0" fontId="29" fillId="5" borderId="12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right"/>
    </xf>
    <xf numFmtId="0" fontId="27" fillId="0" borderId="0" xfId="0" applyFont="1" applyAlignment="1">
      <alignment horizontal="right"/>
    </xf>
    <xf numFmtId="0" fontId="27" fillId="0" borderId="1" xfId="0" applyFont="1" applyBorder="1" applyAlignment="1">
      <alignment horizontal="right"/>
    </xf>
    <xf numFmtId="0" fontId="24" fillId="0" borderId="4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23" fillId="0" borderId="13" xfId="0" applyFont="1" applyBorder="1" applyAlignment="1">
      <alignment horizontal="left"/>
    </xf>
    <xf numFmtId="0" fontId="23" fillId="0" borderId="14" xfId="0" applyFont="1" applyBorder="1" applyAlignment="1">
      <alignment horizontal="left"/>
    </xf>
    <xf numFmtId="0" fontId="23" fillId="0" borderId="15" xfId="0" applyFont="1" applyBorder="1" applyAlignment="1">
      <alignment horizontal="left"/>
    </xf>
    <xf numFmtId="0" fontId="7" fillId="0" borderId="0" xfId="0" quotePrefix="1" applyFont="1" applyAlignment="1">
      <alignment horizontal="center"/>
    </xf>
    <xf numFmtId="0" fontId="7" fillId="0" borderId="8" xfId="0" applyFont="1" applyBorder="1" applyAlignment="1">
      <alignment horizontal="center"/>
    </xf>
    <xf numFmtId="0" fontId="21" fillId="0" borderId="10" xfId="0" applyFont="1" applyBorder="1" applyAlignment="1">
      <alignment horizontal="right" vertical="center" wrapText="1"/>
    </xf>
    <xf numFmtId="0" fontId="21" fillId="0" borderId="1" xfId="0" applyFont="1" applyBorder="1" applyAlignment="1">
      <alignment horizontal="right" vertical="center" wrapText="1"/>
    </xf>
    <xf numFmtId="0" fontId="22" fillId="0" borderId="1" xfId="0" quotePrefix="1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3" fillId="0" borderId="14" xfId="0" applyFont="1" applyBorder="1"/>
    <xf numFmtId="0" fontId="23" fillId="0" borderId="15" xfId="0" applyFont="1" applyBorder="1"/>
    <xf numFmtId="0" fontId="19" fillId="0" borderId="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17" fontId="7" fillId="0" borderId="0" xfId="0" applyNumberFormat="1" applyFont="1" applyAlignment="1">
      <alignment horizontal="center"/>
    </xf>
    <xf numFmtId="0" fontId="19" fillId="0" borderId="2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30" fillId="0" borderId="4" xfId="0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6" fillId="0" borderId="10" xfId="0" applyFont="1" applyBorder="1" applyAlignment="1">
      <alignment horizontal="right" vertical="center"/>
    </xf>
    <xf numFmtId="0" fontId="16" fillId="0" borderId="1" xfId="0" applyFont="1" applyBorder="1" applyAlignment="1">
      <alignment horizontal="right" vertical="center"/>
    </xf>
    <xf numFmtId="0" fontId="7" fillId="0" borderId="7" xfId="0" applyFont="1" applyBorder="1" applyAlignment="1">
      <alignment horizontal="center"/>
    </xf>
    <xf numFmtId="0" fontId="28" fillId="4" borderId="7" xfId="0" applyFont="1" applyFill="1" applyBorder="1" applyAlignment="1">
      <alignment horizontal="left" vertical="center" wrapText="1"/>
    </xf>
    <xf numFmtId="0" fontId="28" fillId="4" borderId="0" xfId="0" applyFont="1" applyFill="1" applyAlignment="1">
      <alignment horizontal="left" vertical="center" wrapText="1"/>
    </xf>
    <xf numFmtId="0" fontId="28" fillId="4" borderId="8" xfId="0" applyFont="1" applyFill="1" applyBorder="1" applyAlignment="1">
      <alignment horizontal="left" vertical="center" wrapText="1"/>
    </xf>
    <xf numFmtId="3" fontId="23" fillId="0" borderId="13" xfId="0" applyNumberFormat="1" applyFont="1" applyBorder="1" applyAlignment="1">
      <alignment horizontal="left"/>
    </xf>
    <xf numFmtId="0" fontId="13" fillId="0" borderId="0" xfId="0" applyFont="1" applyAlignment="1">
      <alignment horizontal="center"/>
    </xf>
    <xf numFmtId="164" fontId="6" fillId="0" borderId="0" xfId="2" applyNumberFormat="1" applyFont="1" applyAlignment="1">
      <alignment horizontal="left"/>
    </xf>
    <xf numFmtId="0" fontId="4" fillId="0" borderId="0" xfId="2" applyFont="1" applyAlignment="1">
      <alignment horizontal="right"/>
    </xf>
    <xf numFmtId="15" fontId="4" fillId="0" borderId="0" xfId="2" applyNumberFormat="1" applyFont="1" applyAlignment="1">
      <alignment horizontal="left" vertical="center"/>
    </xf>
    <xf numFmtId="0" fontId="4" fillId="0" borderId="0" xfId="2" applyFont="1" applyAlignment="1">
      <alignment horizontal="left" vertical="center"/>
    </xf>
    <xf numFmtId="0" fontId="4" fillId="0" borderId="0" xfId="2" applyFont="1" applyAlignment="1">
      <alignment horizontal="center"/>
    </xf>
    <xf numFmtId="43" fontId="18" fillId="0" borderId="2" xfId="3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/>
    </xf>
    <xf numFmtId="165" fontId="33" fillId="0" borderId="3" xfId="0" applyNumberFormat="1" applyFont="1" applyBorder="1" applyAlignment="1">
      <alignment horizontal="center" vertical="center"/>
    </xf>
    <xf numFmtId="165" fontId="33" fillId="0" borderId="9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165" fontId="34" fillId="0" borderId="2" xfId="0" applyNumberFormat="1" applyFont="1" applyBorder="1"/>
    <xf numFmtId="0" fontId="25" fillId="0" borderId="0" xfId="0" applyFont="1" applyAlignment="1">
      <alignment horizontal="center" vertical="center" wrapText="1"/>
    </xf>
    <xf numFmtId="165" fontId="34" fillId="0" borderId="0" xfId="0" applyNumberFormat="1" applyFont="1"/>
    <xf numFmtId="0" fontId="25" fillId="0" borderId="1" xfId="0" applyFont="1" applyBorder="1" applyAlignment="1">
      <alignment horizontal="center" vertical="center" wrapText="1"/>
    </xf>
    <xf numFmtId="165" fontId="34" fillId="0" borderId="1" xfId="0" applyNumberFormat="1" applyFont="1" applyBorder="1"/>
    <xf numFmtId="165" fontId="32" fillId="0" borderId="3" xfId="0" applyNumberFormat="1" applyFont="1" applyBorder="1" applyAlignment="1">
      <alignment horizontal="center" vertical="center"/>
    </xf>
    <xf numFmtId="165" fontId="32" fillId="0" borderId="6" xfId="0" applyNumberFormat="1" applyFont="1" applyBorder="1" applyAlignment="1">
      <alignment horizontal="center" vertical="center"/>
    </xf>
    <xf numFmtId="165" fontId="32" fillId="0" borderId="9" xfId="0" applyNumberFormat="1" applyFont="1" applyBorder="1" applyAlignment="1">
      <alignment horizontal="center" vertical="center"/>
    </xf>
    <xf numFmtId="165" fontId="35" fillId="0" borderId="2" xfId="0" applyNumberFormat="1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165" fontId="35" fillId="0" borderId="2" xfId="0" applyNumberFormat="1" applyFont="1" applyBorder="1"/>
    <xf numFmtId="165" fontId="35" fillId="0" borderId="0" xfId="0" applyNumberFormat="1" applyFont="1"/>
    <xf numFmtId="165" fontId="35" fillId="0" borderId="1" xfId="0" applyNumberFormat="1" applyFont="1" applyBorder="1"/>
  </cellXfs>
  <cellStyles count="4">
    <cellStyle name="Millares 2 2 2" xfId="3" xr:uid="{A34DEDF3-91A7-46AF-974F-8E18A34F06A4}"/>
    <cellStyle name="Moneda" xfId="1" builtinId="4"/>
    <cellStyle name="Normal" xfId="0" builtinId="0"/>
    <cellStyle name="Normal 2" xfId="2" xr:uid="{238214D5-9778-4F4B-B016-A7AA7272AC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.jpe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.jpe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969645</xdr:colOff>
      <xdr:row>66</xdr:row>
      <xdr:rowOff>186690</xdr:rowOff>
    </xdr:from>
    <xdr:ext cx="4203307" cy="3080385"/>
    <xdr:pic>
      <xdr:nvPicPr>
        <xdr:cNvPr id="2" name="Imagen 1">
          <a:extLst>
            <a:ext uri="{FF2B5EF4-FFF2-40B4-BE49-F238E27FC236}">
              <a16:creationId xmlns:a16="http://schemas.microsoft.com/office/drawing/2014/main" id="{DA99E43E-9A85-4831-9C75-C9D4840C5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4130" y="24694515"/>
          <a:ext cx="4203307" cy="30803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634365</xdr:colOff>
      <xdr:row>90</xdr:row>
      <xdr:rowOff>19050</xdr:rowOff>
    </xdr:from>
    <xdr:ext cx="5793105" cy="4245465"/>
    <xdr:pic>
      <xdr:nvPicPr>
        <xdr:cNvPr id="3" name="Imagen 2">
          <a:extLst>
            <a:ext uri="{FF2B5EF4-FFF2-40B4-BE49-F238E27FC236}">
              <a16:creationId xmlns:a16="http://schemas.microsoft.com/office/drawing/2014/main" id="{408AC2E8-EE99-4546-893C-C35873532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68855" y="36705540"/>
          <a:ext cx="5793105" cy="4245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969645</xdr:colOff>
      <xdr:row>159</xdr:row>
      <xdr:rowOff>186690</xdr:rowOff>
    </xdr:from>
    <xdr:ext cx="4203307" cy="3080385"/>
    <xdr:pic>
      <xdr:nvPicPr>
        <xdr:cNvPr id="4" name="Imagen 3">
          <a:extLst>
            <a:ext uri="{FF2B5EF4-FFF2-40B4-BE49-F238E27FC236}">
              <a16:creationId xmlns:a16="http://schemas.microsoft.com/office/drawing/2014/main" id="{915C2365-2556-40AA-A81B-D8D0057E9C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11755" y="168160065"/>
          <a:ext cx="4203307" cy="30803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70</xdr:row>
      <xdr:rowOff>215265</xdr:rowOff>
    </xdr:from>
    <xdr:ext cx="5191125" cy="3804305"/>
    <xdr:pic>
      <xdr:nvPicPr>
        <xdr:cNvPr id="3" name="Imagen 2">
          <a:extLst>
            <a:ext uri="{FF2B5EF4-FFF2-40B4-BE49-F238E27FC236}">
              <a16:creationId xmlns:a16="http://schemas.microsoft.com/office/drawing/2014/main" id="{369D0C4B-4264-41CF-B709-77495FA162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3615" y="17825085"/>
          <a:ext cx="5191125" cy="38043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394335</xdr:colOff>
      <xdr:row>102</xdr:row>
      <xdr:rowOff>215265</xdr:rowOff>
    </xdr:from>
    <xdr:ext cx="5191125" cy="3804305"/>
    <xdr:pic>
      <xdr:nvPicPr>
        <xdr:cNvPr id="4" name="Imagen 3">
          <a:extLst>
            <a:ext uri="{FF2B5EF4-FFF2-40B4-BE49-F238E27FC236}">
              <a16:creationId xmlns:a16="http://schemas.microsoft.com/office/drawing/2014/main" id="{B3935891-45DF-44D7-8687-011C966F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9775" y="25650825"/>
          <a:ext cx="5191125" cy="38043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112395</xdr:colOff>
      <xdr:row>227</xdr:row>
      <xdr:rowOff>57150</xdr:rowOff>
    </xdr:from>
    <xdr:ext cx="5191125" cy="3804305"/>
    <xdr:pic>
      <xdr:nvPicPr>
        <xdr:cNvPr id="5" name="Imagen 4">
          <a:extLst>
            <a:ext uri="{FF2B5EF4-FFF2-40B4-BE49-F238E27FC236}">
              <a16:creationId xmlns:a16="http://schemas.microsoft.com/office/drawing/2014/main" id="{F4990B7F-3122-44B8-8005-856BA257ED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2115" y="44550330"/>
          <a:ext cx="5191125" cy="38043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112395</xdr:colOff>
      <xdr:row>102</xdr:row>
      <xdr:rowOff>57150</xdr:rowOff>
    </xdr:from>
    <xdr:ext cx="5191125" cy="3804305"/>
    <xdr:pic>
      <xdr:nvPicPr>
        <xdr:cNvPr id="2" name="Imagen 1">
          <a:extLst>
            <a:ext uri="{FF2B5EF4-FFF2-40B4-BE49-F238E27FC236}">
              <a16:creationId xmlns:a16="http://schemas.microsoft.com/office/drawing/2014/main" id="{DD330EB8-F99D-411B-9EC6-C3E5D5689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4020" y="44554140"/>
          <a:ext cx="5191125" cy="38043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190500</xdr:colOff>
      <xdr:row>101</xdr:row>
      <xdr:rowOff>167640</xdr:rowOff>
    </xdr:from>
    <xdr:ext cx="5191125" cy="3804305"/>
    <xdr:pic>
      <xdr:nvPicPr>
        <xdr:cNvPr id="2" name="Imagen 1">
          <a:extLst>
            <a:ext uri="{FF2B5EF4-FFF2-40B4-BE49-F238E27FC236}">
              <a16:creationId xmlns:a16="http://schemas.microsoft.com/office/drawing/2014/main" id="{2E59A9BA-5C21-466F-8940-73CE5D53C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5999440"/>
          <a:ext cx="5191125" cy="38043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112395</xdr:colOff>
      <xdr:row>173</xdr:row>
      <xdr:rowOff>57150</xdr:rowOff>
    </xdr:from>
    <xdr:ext cx="5191125" cy="3804305"/>
    <xdr:pic>
      <xdr:nvPicPr>
        <xdr:cNvPr id="2" name="Imagen 1">
          <a:extLst>
            <a:ext uri="{FF2B5EF4-FFF2-40B4-BE49-F238E27FC236}">
              <a16:creationId xmlns:a16="http://schemas.microsoft.com/office/drawing/2014/main" id="{0D2F3F11-1B64-4996-B5C7-EE5CD9185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9245" y="50612040"/>
          <a:ext cx="5191125" cy="38043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112395</xdr:colOff>
      <xdr:row>258</xdr:row>
      <xdr:rowOff>57150</xdr:rowOff>
    </xdr:from>
    <xdr:ext cx="5191125" cy="3804305"/>
    <xdr:pic>
      <xdr:nvPicPr>
        <xdr:cNvPr id="3" name="Imagen 2">
          <a:extLst>
            <a:ext uri="{FF2B5EF4-FFF2-40B4-BE49-F238E27FC236}">
              <a16:creationId xmlns:a16="http://schemas.microsoft.com/office/drawing/2014/main" id="{77B8E8E4-D03E-473E-BF11-D8C8443116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4020" y="44554140"/>
          <a:ext cx="5191125" cy="38043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313</xdr:row>
      <xdr:rowOff>215265</xdr:rowOff>
    </xdr:from>
    <xdr:ext cx="5191125" cy="3804305"/>
    <xdr:pic>
      <xdr:nvPicPr>
        <xdr:cNvPr id="2" name="Imagen 1">
          <a:extLst>
            <a:ext uri="{FF2B5EF4-FFF2-40B4-BE49-F238E27FC236}">
              <a16:creationId xmlns:a16="http://schemas.microsoft.com/office/drawing/2014/main" id="{68CF7DBA-1364-46CF-B809-494915548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0" y="88473915"/>
          <a:ext cx="5191125" cy="38043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1322070</xdr:colOff>
      <xdr:row>351</xdr:row>
      <xdr:rowOff>280035</xdr:rowOff>
    </xdr:from>
    <xdr:ext cx="6137910" cy="4498154"/>
    <xdr:pic>
      <xdr:nvPicPr>
        <xdr:cNvPr id="3" name="Imagen 2">
          <a:extLst>
            <a:ext uri="{FF2B5EF4-FFF2-40B4-BE49-F238E27FC236}">
              <a16:creationId xmlns:a16="http://schemas.microsoft.com/office/drawing/2014/main" id="{888D4E8D-F121-4A38-BFA7-A8E050509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0165" y="258563745"/>
          <a:ext cx="6137910" cy="44981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1322070</xdr:colOff>
      <xdr:row>351</xdr:row>
      <xdr:rowOff>280035</xdr:rowOff>
    </xdr:from>
    <xdr:ext cx="6137910" cy="4498154"/>
    <xdr:pic>
      <xdr:nvPicPr>
        <xdr:cNvPr id="4" name="Imagen 3">
          <a:extLst>
            <a:ext uri="{FF2B5EF4-FFF2-40B4-BE49-F238E27FC236}">
              <a16:creationId xmlns:a16="http://schemas.microsoft.com/office/drawing/2014/main" id="{CFF27B57-358D-440C-873D-B9FFD9084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0165" y="258563745"/>
          <a:ext cx="6137910" cy="44981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662940</xdr:colOff>
      <xdr:row>380</xdr:row>
      <xdr:rowOff>114300</xdr:rowOff>
    </xdr:from>
    <xdr:ext cx="5793105" cy="4245465"/>
    <xdr:pic>
      <xdr:nvPicPr>
        <xdr:cNvPr id="5" name="Imagen 4">
          <a:extLst>
            <a:ext uri="{FF2B5EF4-FFF2-40B4-BE49-F238E27FC236}">
              <a16:creationId xmlns:a16="http://schemas.microsoft.com/office/drawing/2014/main" id="{D4444D81-277B-4920-A0A4-01691A5A3E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0265" y="108813600"/>
          <a:ext cx="5793105" cy="4245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920115</xdr:colOff>
      <xdr:row>411</xdr:row>
      <xdr:rowOff>104775</xdr:rowOff>
    </xdr:from>
    <xdr:ext cx="4998720" cy="3663301"/>
    <xdr:pic>
      <xdr:nvPicPr>
        <xdr:cNvPr id="6" name="Imagen 5">
          <a:extLst>
            <a:ext uri="{FF2B5EF4-FFF2-40B4-BE49-F238E27FC236}">
              <a16:creationId xmlns:a16="http://schemas.microsoft.com/office/drawing/2014/main" id="{F186AA84-7794-4211-AF37-0142B27A4C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7440" y="115633500"/>
          <a:ext cx="4998720" cy="36633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445770</xdr:colOff>
      <xdr:row>441</xdr:row>
      <xdr:rowOff>0</xdr:rowOff>
    </xdr:from>
    <xdr:ext cx="4998720" cy="3663301"/>
    <xdr:pic>
      <xdr:nvPicPr>
        <xdr:cNvPr id="7" name="Imagen 6">
          <a:extLst>
            <a:ext uri="{FF2B5EF4-FFF2-40B4-BE49-F238E27FC236}">
              <a16:creationId xmlns:a16="http://schemas.microsoft.com/office/drawing/2014/main" id="{31F0BAF6-5C28-4E26-843A-AB0657FD66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1190" y="115785900"/>
          <a:ext cx="4998720" cy="36633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920115</xdr:colOff>
      <xdr:row>498</xdr:row>
      <xdr:rowOff>104775</xdr:rowOff>
    </xdr:from>
    <xdr:ext cx="4998720" cy="3663301"/>
    <xdr:pic>
      <xdr:nvPicPr>
        <xdr:cNvPr id="8" name="Imagen 7">
          <a:extLst>
            <a:ext uri="{FF2B5EF4-FFF2-40B4-BE49-F238E27FC236}">
              <a16:creationId xmlns:a16="http://schemas.microsoft.com/office/drawing/2014/main" id="{0D671A5F-7E40-4C10-B4AA-AEED2D8AD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9345" y="115631595"/>
          <a:ext cx="4998720" cy="36633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B82C3D-B104-4121-BAA5-F214280C2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546190</xdr:colOff>
      <xdr:row>8</xdr:row>
      <xdr:rowOff>124370</xdr:rowOff>
    </xdr:from>
    <xdr:ext cx="5454559" cy="4630516"/>
    <xdr:pic>
      <xdr:nvPicPr>
        <xdr:cNvPr id="3" name="Imagen 2">
          <a:extLst>
            <a:ext uri="{FF2B5EF4-FFF2-40B4-BE49-F238E27FC236}">
              <a16:creationId xmlns:a16="http://schemas.microsoft.com/office/drawing/2014/main" id="{639DA76F-741C-4235-A765-B1DB626B1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5761" y="2546441"/>
          <a:ext cx="5454559" cy="4630516"/>
        </a:xfrm>
        <a:prstGeom prst="rect">
          <a:avLst/>
        </a:prstGeom>
      </xdr:spPr>
    </xdr:pic>
    <xdr:clientData/>
  </xdr:oneCellAnchor>
  <xdr:oneCellAnchor>
    <xdr:from>
      <xdr:col>1</xdr:col>
      <xdr:colOff>248737</xdr:colOff>
      <xdr:row>50</xdr:row>
      <xdr:rowOff>174990</xdr:rowOff>
    </xdr:from>
    <xdr:ext cx="5454559" cy="4630516"/>
    <xdr:pic>
      <xdr:nvPicPr>
        <xdr:cNvPr id="4" name="Imagen 3">
          <a:extLst>
            <a:ext uri="{FF2B5EF4-FFF2-40B4-BE49-F238E27FC236}">
              <a16:creationId xmlns:a16="http://schemas.microsoft.com/office/drawing/2014/main" id="{C2BF80DA-16AC-446C-94B6-26E2C3011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8308" y="14217561"/>
          <a:ext cx="5454559" cy="4630516"/>
        </a:xfrm>
        <a:prstGeom prst="rect">
          <a:avLst/>
        </a:prstGeom>
      </xdr:spPr>
    </xdr:pic>
    <xdr:clientData/>
  </xdr:oneCellAnchor>
  <xdr:oneCellAnchor>
    <xdr:from>
      <xdr:col>1</xdr:col>
      <xdr:colOff>248737</xdr:colOff>
      <xdr:row>77</xdr:row>
      <xdr:rowOff>174990</xdr:rowOff>
    </xdr:from>
    <xdr:ext cx="5454559" cy="4630516"/>
    <xdr:pic>
      <xdr:nvPicPr>
        <xdr:cNvPr id="2" name="Imagen 1">
          <a:extLst>
            <a:ext uri="{FF2B5EF4-FFF2-40B4-BE49-F238E27FC236}">
              <a16:creationId xmlns:a16="http://schemas.microsoft.com/office/drawing/2014/main" id="{FC215D0D-D95B-48CA-AA1B-C5020A90B1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498" y="14213751"/>
          <a:ext cx="5454559" cy="4630516"/>
        </a:xfrm>
        <a:prstGeom prst="rect">
          <a:avLst/>
        </a:prstGeom>
      </xdr:spPr>
    </xdr:pic>
    <xdr:clientData/>
  </xdr:oneCellAnchor>
  <xdr:oneCellAnchor>
    <xdr:from>
      <xdr:col>0</xdr:col>
      <xdr:colOff>1372415</xdr:colOff>
      <xdr:row>102</xdr:row>
      <xdr:rowOff>116751</xdr:rowOff>
    </xdr:from>
    <xdr:ext cx="5454559" cy="4630516"/>
    <xdr:pic>
      <xdr:nvPicPr>
        <xdr:cNvPr id="5" name="Imagen 4">
          <a:extLst>
            <a:ext uri="{FF2B5EF4-FFF2-40B4-BE49-F238E27FC236}">
              <a16:creationId xmlns:a16="http://schemas.microsoft.com/office/drawing/2014/main" id="{A6274AD2-C4FD-48C8-8735-C1FF9B984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2415" y="27167751"/>
          <a:ext cx="5454559" cy="4630516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1087755</xdr:colOff>
      <xdr:row>2</xdr:row>
      <xdr:rowOff>289013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C768BA1-5F04-440D-A376-62C07F914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55345" cy="7805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1087755</xdr:colOff>
      <xdr:row>2</xdr:row>
      <xdr:rowOff>289013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3D58C5-CDD2-49AF-823F-E798282DC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55345" cy="7805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1083945</xdr:colOff>
      <xdr:row>2</xdr:row>
      <xdr:rowOff>285203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3BFE2F-121D-4F59-A349-F6B7831B4B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55345" cy="7805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228600</xdr:colOff>
      <xdr:row>27</xdr:row>
      <xdr:rowOff>0</xdr:rowOff>
    </xdr:from>
    <xdr:ext cx="855345" cy="775060"/>
    <xdr:pic>
      <xdr:nvPicPr>
        <xdr:cNvPr id="3" name="Imagen 2">
          <a:extLst>
            <a:ext uri="{FF2B5EF4-FFF2-40B4-BE49-F238E27FC236}">
              <a16:creationId xmlns:a16="http://schemas.microsoft.com/office/drawing/2014/main" id="{B9471393-97B7-492C-94BF-1F8C32A95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55345" cy="7750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1087755</xdr:colOff>
      <xdr:row>2</xdr:row>
      <xdr:rowOff>289013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ACB3F2-FB57-461F-939D-AAFBF2ED8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6775" cy="7805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1458C8E-154F-427D-ACDA-160AE91C47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C390D16-813F-4B4B-8239-6757F1A31C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AD1020A-5948-4C65-B8C0-A6A47B6CC6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A2C1C9F-72DC-4CD2-AD30-7E5266D71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228600</xdr:colOff>
      <xdr:row>35</xdr:row>
      <xdr:rowOff>0</xdr:rowOff>
    </xdr:from>
    <xdr:ext cx="868680" cy="782136"/>
    <xdr:pic>
      <xdr:nvPicPr>
        <xdr:cNvPr id="3" name="Imagen 2">
          <a:extLst>
            <a:ext uri="{FF2B5EF4-FFF2-40B4-BE49-F238E27FC236}">
              <a16:creationId xmlns:a16="http://schemas.microsoft.com/office/drawing/2014/main" id="{FB0063A1-282F-4FA1-AC73-D4BAC7948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21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FC32286-1174-4D17-A622-A8D190D29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87577C3-050E-4611-B859-C9CC98734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B566782-8F10-41AE-8336-8986B37A9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228600</xdr:colOff>
      <xdr:row>24</xdr:row>
      <xdr:rowOff>0</xdr:rowOff>
    </xdr:from>
    <xdr:ext cx="868680" cy="782136"/>
    <xdr:pic>
      <xdr:nvPicPr>
        <xdr:cNvPr id="3" name="Imagen 2">
          <a:extLst>
            <a:ext uri="{FF2B5EF4-FFF2-40B4-BE49-F238E27FC236}">
              <a16:creationId xmlns:a16="http://schemas.microsoft.com/office/drawing/2014/main" id="{BD485144-A957-4824-BEB9-CFD40F066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9761220"/>
          <a:ext cx="868680" cy="7821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E50D05F-769C-4EF5-B88B-C63B21AC9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228600</xdr:colOff>
      <xdr:row>24</xdr:row>
      <xdr:rowOff>0</xdr:rowOff>
    </xdr:from>
    <xdr:ext cx="868680" cy="782136"/>
    <xdr:pic>
      <xdr:nvPicPr>
        <xdr:cNvPr id="3" name="Imagen 2">
          <a:extLst>
            <a:ext uri="{FF2B5EF4-FFF2-40B4-BE49-F238E27FC236}">
              <a16:creationId xmlns:a16="http://schemas.microsoft.com/office/drawing/2014/main" id="{41C88449-D79C-4943-B32B-3E17088F2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9761220"/>
          <a:ext cx="868680" cy="7821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A67978D-6405-4982-A35E-E55F3672B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228600</xdr:colOff>
      <xdr:row>24</xdr:row>
      <xdr:rowOff>0</xdr:rowOff>
    </xdr:from>
    <xdr:ext cx="868680" cy="782136"/>
    <xdr:pic>
      <xdr:nvPicPr>
        <xdr:cNvPr id="3" name="Imagen 2">
          <a:extLst>
            <a:ext uri="{FF2B5EF4-FFF2-40B4-BE49-F238E27FC236}">
              <a16:creationId xmlns:a16="http://schemas.microsoft.com/office/drawing/2014/main" id="{53EA9185-C7C1-44E2-A942-CA802D1D1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21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A111AB7-2307-4280-977C-16E319AA7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96F1B05-B120-49C0-9D79-14104D1640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922B12-D349-46B6-8922-817D40F17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5E9A32-793E-42D8-862F-076DFEB0E9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3162896-7966-44D3-A0EC-5D484A1C7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A5DCDC0-83AE-41E8-8CBD-47DEE9B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115E0D6-D5D2-4571-B9C7-BFC85DB7F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22A4765-1E29-4B21-B694-F0A01A64C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376275E-178D-4B0B-83ED-EAF928DD4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6084E16-E8BA-40D3-93AD-EF86A2B93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0</xdr:col>
      <xdr:colOff>1097280</xdr:colOff>
      <xdr:row>2</xdr:row>
      <xdr:rowOff>281393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23B3C19-02FE-4AA2-BF64-FE7715F3F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868680" cy="7843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399570</xdr:colOff>
      <xdr:row>3</xdr:row>
      <xdr:rowOff>1921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70099B1-F6F4-4009-B3CA-A4A0C896F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" y="0"/>
          <a:ext cx="1222530" cy="771541"/>
        </a:xfrm>
        <a:prstGeom prst="rect">
          <a:avLst/>
        </a:prstGeom>
      </xdr:spPr>
    </xdr:pic>
    <xdr:clientData/>
  </xdr:twoCellAnchor>
  <xdr:twoCellAnchor editAs="oneCell">
    <xdr:from>
      <xdr:col>11</xdr:col>
      <xdr:colOff>108857</xdr:colOff>
      <xdr:row>5</xdr:row>
      <xdr:rowOff>163286</xdr:rowOff>
    </xdr:from>
    <xdr:to>
      <xdr:col>18</xdr:col>
      <xdr:colOff>421786</xdr:colOff>
      <xdr:row>10</xdr:row>
      <xdr:rowOff>206974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484E32-2FCB-46FC-A228-D992B134D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04617" y="1412966"/>
          <a:ext cx="5860289" cy="16667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usuarios\Documents%20and%20Settings\Usuario\Datos%20de%20programa\Microsoft\Excel\Mis%20documentos\COMPRAS\ORDENES%20DE%20COMPRA\FLORESTA%20I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Open Stub Data"/>
      <sheetName val="199"/>
      <sheetName val="198"/>
      <sheetName val="197"/>
      <sheetName val="196"/>
      <sheetName val="195"/>
      <sheetName val="194"/>
      <sheetName val="193"/>
      <sheetName val=" 119-2"/>
      <sheetName val="192"/>
      <sheetName val="191"/>
      <sheetName val="190"/>
      <sheetName val="189"/>
      <sheetName val="188"/>
      <sheetName val="187"/>
      <sheetName val="186"/>
      <sheetName val="185"/>
      <sheetName val="184"/>
      <sheetName val="183"/>
      <sheetName val="182"/>
      <sheetName val="181"/>
      <sheetName val="180"/>
      <sheetName val="179"/>
      <sheetName val="178"/>
      <sheetName val="177"/>
      <sheetName val="176"/>
      <sheetName val="175"/>
      <sheetName val="174"/>
      <sheetName val="173"/>
      <sheetName val="172"/>
      <sheetName val="171"/>
      <sheetName val="170"/>
      <sheetName val="169"/>
      <sheetName val="168"/>
      <sheetName val="167"/>
      <sheetName val="166"/>
      <sheetName val="165"/>
      <sheetName val="164"/>
      <sheetName val="163"/>
      <sheetName val="162"/>
      <sheetName val="161"/>
      <sheetName val="160"/>
      <sheetName val="159"/>
      <sheetName val="158"/>
      <sheetName val="157"/>
      <sheetName val="156"/>
      <sheetName val="155"/>
      <sheetName val="154"/>
      <sheetName val="153"/>
      <sheetName val="152"/>
      <sheetName val="151"/>
      <sheetName val="150"/>
      <sheetName val="149"/>
      <sheetName val="148"/>
      <sheetName val="147"/>
      <sheetName val="146"/>
      <sheetName val="145"/>
      <sheetName val="144"/>
      <sheetName val="143"/>
      <sheetName val="142"/>
      <sheetName val="141"/>
      <sheetName val="140"/>
      <sheetName val="139"/>
      <sheetName val="138"/>
      <sheetName val="137"/>
      <sheetName val="136"/>
      <sheetName val="135"/>
      <sheetName val="134"/>
      <sheetName val="133"/>
      <sheetName val="132"/>
      <sheetName val="131"/>
      <sheetName val="130"/>
      <sheetName val="129"/>
      <sheetName val="128"/>
      <sheetName val="127"/>
      <sheetName val="126"/>
      <sheetName val="125"/>
      <sheetName val="124"/>
      <sheetName val="123"/>
      <sheetName val="122"/>
      <sheetName val="121"/>
      <sheetName val="120"/>
      <sheetName val="119"/>
      <sheetName val="Personalizar"/>
      <sheetName val="Macros"/>
      <sheetName val="ATW"/>
      <sheetName val="Lock"/>
      <sheetName val="TemplateInformation"/>
      <sheetName val="FLORESTA 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>
        <row r="23">
          <cell r="H23" t="str">
            <v>Tarjeta 1</v>
          </cell>
        </row>
        <row r="29">
          <cell r="E29" t="b">
            <v>0</v>
          </cell>
        </row>
      </sheetData>
      <sheetData sheetId="84" refreshError="1"/>
      <sheetData sheetId="85" refreshError="1"/>
      <sheetData sheetId="86" refreshError="1"/>
      <sheetData sheetId="87" refreshError="1"/>
      <sheetData sheetId="88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BAFDC-D908-4EC1-8AB4-1B6C2152459E}">
  <dimension ref="A4:G176"/>
  <sheetViews>
    <sheetView tabSelected="1" topLeftCell="A58" workbookViewId="0">
      <selection activeCell="A59" sqref="A59:G84"/>
    </sheetView>
  </sheetViews>
  <sheetFormatPr baseColWidth="10" defaultRowHeight="14.4" x14ac:dyDescent="0.3"/>
  <cols>
    <col min="1" max="1" width="21.21875" customWidth="1"/>
    <col min="2" max="2" width="14.33203125" customWidth="1"/>
    <col min="3" max="3" width="44.5546875" customWidth="1"/>
    <col min="4" max="4" width="28.5546875" customWidth="1"/>
    <col min="5" max="5" width="15.77734375" customWidth="1"/>
    <col min="6" max="6" width="15.21875" customWidth="1"/>
    <col min="7" max="7" width="23.88671875" customWidth="1"/>
  </cols>
  <sheetData>
    <row r="4" spans="1:7" ht="21" x14ac:dyDescent="0.4">
      <c r="A4" s="49"/>
      <c r="B4" s="184" t="s">
        <v>45</v>
      </c>
      <c r="C4" s="185"/>
      <c r="D4" s="190" t="s">
        <v>36</v>
      </c>
      <c r="E4" s="191"/>
      <c r="F4" s="191"/>
      <c r="G4" s="192"/>
    </row>
    <row r="5" spans="1:7" ht="21" x14ac:dyDescent="0.4">
      <c r="A5" s="50"/>
      <c r="B5" s="186"/>
      <c r="C5" s="187"/>
      <c r="D5" s="193" t="s">
        <v>1</v>
      </c>
      <c r="E5" s="194"/>
      <c r="F5" s="196" t="s">
        <v>620</v>
      </c>
      <c r="G5" s="177"/>
    </row>
    <row r="6" spans="1:7" ht="21" x14ac:dyDescent="0.4">
      <c r="A6" s="50"/>
      <c r="B6" s="186"/>
      <c r="C6" s="187"/>
      <c r="D6" s="193" t="s">
        <v>267</v>
      </c>
      <c r="E6" s="194"/>
      <c r="F6" s="176">
        <v>23</v>
      </c>
      <c r="G6" s="177"/>
    </row>
    <row r="7" spans="1:7" ht="21" x14ac:dyDescent="0.4">
      <c r="A7" s="51"/>
      <c r="B7" s="188"/>
      <c r="C7" s="189"/>
      <c r="D7" s="178" t="s">
        <v>38</v>
      </c>
      <c r="E7" s="179"/>
      <c r="F7" s="180" t="s">
        <v>634</v>
      </c>
      <c r="G7" s="181"/>
    </row>
    <row r="8" spans="1:7" ht="20.399999999999999" x14ac:dyDescent="0.35">
      <c r="A8" s="52" t="s">
        <v>39</v>
      </c>
      <c r="B8" s="53" t="s">
        <v>279</v>
      </c>
      <c r="C8" s="54"/>
      <c r="D8" s="54"/>
      <c r="E8" s="182"/>
      <c r="F8" s="182"/>
      <c r="G8" s="183"/>
    </row>
    <row r="9" spans="1:7" ht="20.399999999999999" x14ac:dyDescent="0.35">
      <c r="A9" s="52" t="s">
        <v>40</v>
      </c>
      <c r="B9" s="173" t="s">
        <v>486</v>
      </c>
      <c r="C9" s="174"/>
      <c r="D9" s="174"/>
      <c r="E9" s="174"/>
      <c r="F9" s="174"/>
      <c r="G9" s="175"/>
    </row>
    <row r="10" spans="1:7" ht="20.399999999999999" x14ac:dyDescent="0.35">
      <c r="A10" s="52" t="s">
        <v>41</v>
      </c>
      <c r="B10" s="173" t="s">
        <v>635</v>
      </c>
      <c r="C10" s="174"/>
      <c r="D10" s="174"/>
      <c r="E10" s="174"/>
      <c r="F10" s="174"/>
      <c r="G10" s="175"/>
    </row>
    <row r="11" spans="1:7" ht="20.399999999999999" x14ac:dyDescent="0.35">
      <c r="A11" s="52" t="s">
        <v>42</v>
      </c>
      <c r="B11" s="173" t="s">
        <v>236</v>
      </c>
      <c r="C11" s="174"/>
      <c r="D11" s="174"/>
      <c r="E11" s="174"/>
      <c r="F11" s="174"/>
      <c r="G11" s="175"/>
    </row>
    <row r="12" spans="1:7" ht="30" x14ac:dyDescent="0.3">
      <c r="A12" s="103" t="s">
        <v>8</v>
      </c>
      <c r="B12" s="103" t="s">
        <v>9</v>
      </c>
      <c r="C12" s="103" t="s">
        <v>10</v>
      </c>
      <c r="D12" s="103" t="s">
        <v>43</v>
      </c>
      <c r="E12" s="103" t="s">
        <v>12</v>
      </c>
      <c r="F12" s="103" t="s">
        <v>13</v>
      </c>
      <c r="G12" s="103" t="s">
        <v>14</v>
      </c>
    </row>
    <row r="13" spans="1:7" ht="55.2" customHeight="1" x14ac:dyDescent="0.3">
      <c r="A13" s="57">
        <v>9</v>
      </c>
      <c r="B13" s="58" t="s">
        <v>112</v>
      </c>
      <c r="C13" s="58" t="s">
        <v>633</v>
      </c>
      <c r="D13" s="59"/>
      <c r="E13" s="60">
        <v>1412.66</v>
      </c>
      <c r="F13" s="67">
        <f t="shared" ref="F13:F24" si="0">A13*E13</f>
        <v>12713.94</v>
      </c>
      <c r="G13" s="62"/>
    </row>
    <row r="14" spans="1:7" ht="15.6" x14ac:dyDescent="0.3">
      <c r="A14" s="63"/>
      <c r="B14" s="64"/>
      <c r="C14" s="64"/>
      <c r="D14" s="65"/>
      <c r="E14" s="66"/>
      <c r="F14" s="67">
        <f t="shared" si="0"/>
        <v>0</v>
      </c>
      <c r="G14" s="68"/>
    </row>
    <row r="15" spans="1:7" ht="15.6" x14ac:dyDescent="0.3">
      <c r="A15" s="63"/>
      <c r="B15" s="64"/>
      <c r="C15" s="64"/>
      <c r="D15" s="65"/>
      <c r="E15" s="66"/>
      <c r="F15" s="67">
        <f t="shared" si="0"/>
        <v>0</v>
      </c>
      <c r="G15" s="68"/>
    </row>
    <row r="16" spans="1:7" ht="15.6" x14ac:dyDescent="0.3">
      <c r="A16" s="63"/>
      <c r="B16" s="64"/>
      <c r="C16" s="64"/>
      <c r="D16" s="65"/>
      <c r="E16" s="66"/>
      <c r="F16" s="67">
        <f t="shared" si="0"/>
        <v>0</v>
      </c>
      <c r="G16" s="68"/>
    </row>
    <row r="17" spans="1:7" ht="15.6" x14ac:dyDescent="0.3">
      <c r="A17" s="63"/>
      <c r="B17" s="64"/>
      <c r="C17" s="64"/>
      <c r="D17" s="65"/>
      <c r="E17" s="66"/>
      <c r="F17" s="67">
        <f t="shared" si="0"/>
        <v>0</v>
      </c>
      <c r="G17" s="68"/>
    </row>
    <row r="18" spans="1:7" ht="15.6" x14ac:dyDescent="0.3">
      <c r="A18" s="63"/>
      <c r="B18" s="64"/>
      <c r="C18" s="64"/>
      <c r="D18" s="65"/>
      <c r="E18" s="66"/>
      <c r="F18" s="67">
        <f t="shared" si="0"/>
        <v>0</v>
      </c>
      <c r="G18" s="68"/>
    </row>
    <row r="19" spans="1:7" ht="15.6" x14ac:dyDescent="0.3">
      <c r="A19" s="63"/>
      <c r="B19" s="64"/>
      <c r="C19" s="64"/>
      <c r="D19" s="65"/>
      <c r="E19" s="66"/>
      <c r="F19" s="67">
        <f t="shared" si="0"/>
        <v>0</v>
      </c>
      <c r="G19" s="68"/>
    </row>
    <row r="20" spans="1:7" ht="15.6" x14ac:dyDescent="0.3">
      <c r="A20" s="63"/>
      <c r="B20" s="64"/>
      <c r="C20" s="64"/>
      <c r="D20" s="65"/>
      <c r="E20" s="66"/>
      <c r="F20" s="67">
        <f t="shared" si="0"/>
        <v>0</v>
      </c>
      <c r="G20" s="68"/>
    </row>
    <row r="21" spans="1:7" ht="15.6" x14ac:dyDescent="0.3">
      <c r="A21" s="69"/>
      <c r="B21" s="64"/>
      <c r="C21" s="64"/>
      <c r="D21" s="65"/>
      <c r="E21" s="66"/>
      <c r="F21" s="67">
        <f t="shared" si="0"/>
        <v>0</v>
      </c>
      <c r="G21" s="68"/>
    </row>
    <row r="22" spans="1:7" ht="15.6" x14ac:dyDescent="0.3">
      <c r="A22" s="69"/>
      <c r="B22" s="64"/>
      <c r="C22" s="64"/>
      <c r="D22" s="65"/>
      <c r="E22" s="66"/>
      <c r="F22" s="67">
        <f t="shared" si="0"/>
        <v>0</v>
      </c>
      <c r="G22" s="68"/>
    </row>
    <row r="23" spans="1:7" ht="15.6" x14ac:dyDescent="0.3">
      <c r="A23" s="69"/>
      <c r="B23" s="64"/>
      <c r="C23" s="64"/>
      <c r="D23" s="65"/>
      <c r="E23" s="66"/>
      <c r="F23" s="67">
        <f t="shared" si="0"/>
        <v>0</v>
      </c>
      <c r="G23" s="68"/>
    </row>
    <row r="24" spans="1:7" ht="15.6" x14ac:dyDescent="0.3">
      <c r="A24" s="70"/>
      <c r="B24" s="71"/>
      <c r="C24" s="71"/>
      <c r="D24" s="72"/>
      <c r="E24" s="73"/>
      <c r="F24" s="74">
        <f t="shared" si="0"/>
        <v>0</v>
      </c>
      <c r="G24" s="75"/>
    </row>
    <row r="25" spans="1:7" ht="17.399999999999999" x14ac:dyDescent="0.3">
      <c r="A25" s="76"/>
      <c r="B25" s="77"/>
      <c r="C25" s="164" t="s">
        <v>27</v>
      </c>
      <c r="D25" s="164"/>
      <c r="E25" s="78"/>
      <c r="F25" s="79">
        <f>SUM(F13:F23)</f>
        <v>12713.94</v>
      </c>
      <c r="G25" s="80"/>
    </row>
    <row r="26" spans="1:7" ht="17.399999999999999" x14ac:dyDescent="0.3">
      <c r="A26" s="81"/>
      <c r="B26" s="82"/>
      <c r="C26" s="165" t="s">
        <v>28</v>
      </c>
      <c r="D26" s="165"/>
      <c r="E26" s="83"/>
      <c r="F26" s="84">
        <f>F25*0.16</f>
        <v>2034.2304000000001</v>
      </c>
      <c r="G26" s="85"/>
    </row>
    <row r="27" spans="1:7" ht="17.399999999999999" x14ac:dyDescent="0.3">
      <c r="A27" s="81"/>
      <c r="B27" s="82"/>
      <c r="C27" s="166" t="s">
        <v>29</v>
      </c>
      <c r="D27" s="166"/>
      <c r="E27" s="86"/>
      <c r="F27" s="87">
        <f>F25+F26</f>
        <v>14748.170400000001</v>
      </c>
      <c r="G27" s="88"/>
    </row>
    <row r="28" spans="1:7" ht="15.6" x14ac:dyDescent="0.3">
      <c r="A28" s="167" t="s">
        <v>30</v>
      </c>
      <c r="B28" s="168"/>
      <c r="C28" s="89" t="s">
        <v>31</v>
      </c>
      <c r="D28" s="89"/>
      <c r="E28" s="168" t="s">
        <v>32</v>
      </c>
      <c r="F28" s="168"/>
      <c r="G28" s="169"/>
    </row>
    <row r="29" spans="1:7" ht="15.6" x14ac:dyDescent="0.3">
      <c r="A29" s="170" t="s">
        <v>444</v>
      </c>
      <c r="B29" s="171"/>
      <c r="C29" s="104" t="s">
        <v>33</v>
      </c>
      <c r="D29" s="90"/>
      <c r="E29" s="171" t="s">
        <v>273</v>
      </c>
      <c r="F29" s="171"/>
      <c r="G29" s="172"/>
    </row>
    <row r="33" spans="1:7" ht="21" x14ac:dyDescent="0.4">
      <c r="A33" s="49"/>
      <c r="B33" s="184" t="s">
        <v>45</v>
      </c>
      <c r="C33" s="185"/>
      <c r="D33" s="190" t="s">
        <v>36</v>
      </c>
      <c r="E33" s="191"/>
      <c r="F33" s="191"/>
      <c r="G33" s="192"/>
    </row>
    <row r="34" spans="1:7" ht="21" x14ac:dyDescent="0.4">
      <c r="A34" s="50"/>
      <c r="B34" s="186"/>
      <c r="C34" s="187"/>
      <c r="D34" s="193" t="s">
        <v>1</v>
      </c>
      <c r="E34" s="194"/>
      <c r="F34" s="195" t="s">
        <v>636</v>
      </c>
      <c r="G34" s="177"/>
    </row>
    <row r="35" spans="1:7" ht="21" x14ac:dyDescent="0.4">
      <c r="A35" s="50"/>
      <c r="B35" s="186"/>
      <c r="C35" s="187"/>
      <c r="D35" s="193" t="s">
        <v>267</v>
      </c>
      <c r="E35" s="194"/>
      <c r="F35" s="176">
        <v>23</v>
      </c>
      <c r="G35" s="177"/>
    </row>
    <row r="36" spans="1:7" ht="21" x14ac:dyDescent="0.4">
      <c r="A36" s="51"/>
      <c r="B36" s="188"/>
      <c r="C36" s="189"/>
      <c r="D36" s="178" t="s">
        <v>38</v>
      </c>
      <c r="E36" s="179"/>
      <c r="F36" s="180" t="s">
        <v>637</v>
      </c>
      <c r="G36" s="181"/>
    </row>
    <row r="37" spans="1:7" ht="20.399999999999999" x14ac:dyDescent="0.35">
      <c r="A37" s="52" t="s">
        <v>39</v>
      </c>
      <c r="B37" s="53" t="s">
        <v>273</v>
      </c>
      <c r="C37" s="54"/>
      <c r="D37" s="54"/>
      <c r="E37" s="182" t="s">
        <v>638</v>
      </c>
      <c r="F37" s="182"/>
      <c r="G37" s="183"/>
    </row>
    <row r="38" spans="1:7" ht="20.399999999999999" x14ac:dyDescent="0.35">
      <c r="A38" s="52" t="s">
        <v>40</v>
      </c>
      <c r="B38" s="173"/>
      <c r="C38" s="174"/>
      <c r="D38" s="174"/>
      <c r="E38" s="174"/>
      <c r="F38" s="174"/>
      <c r="G38" s="175"/>
    </row>
    <row r="39" spans="1:7" ht="20.399999999999999" x14ac:dyDescent="0.35">
      <c r="A39" s="52" t="s">
        <v>41</v>
      </c>
      <c r="B39" s="173" t="s">
        <v>272</v>
      </c>
      <c r="C39" s="174"/>
      <c r="D39" s="174"/>
      <c r="E39" s="174"/>
      <c r="F39" s="174"/>
      <c r="G39" s="175"/>
    </row>
    <row r="40" spans="1:7" ht="20.399999999999999" x14ac:dyDescent="0.35">
      <c r="A40" s="52" t="s">
        <v>42</v>
      </c>
      <c r="B40" s="173" t="s">
        <v>7</v>
      </c>
      <c r="C40" s="174"/>
      <c r="D40" s="174"/>
      <c r="E40" s="174"/>
      <c r="F40" s="174"/>
      <c r="G40" s="175"/>
    </row>
    <row r="41" spans="1:7" ht="30" x14ac:dyDescent="0.3">
      <c r="A41" s="103" t="s">
        <v>8</v>
      </c>
      <c r="B41" s="103" t="s">
        <v>9</v>
      </c>
      <c r="C41" s="103" t="s">
        <v>10</v>
      </c>
      <c r="D41" s="103" t="s">
        <v>43</v>
      </c>
      <c r="E41" s="103" t="s">
        <v>12</v>
      </c>
      <c r="F41" s="103" t="s">
        <v>13</v>
      </c>
      <c r="G41" s="103" t="s">
        <v>14</v>
      </c>
    </row>
    <row r="42" spans="1:7" ht="15.6" x14ac:dyDescent="0.3">
      <c r="A42" s="57"/>
      <c r="B42" s="58"/>
      <c r="C42" s="58"/>
      <c r="D42" s="59"/>
      <c r="E42" s="60"/>
      <c r="F42" s="61">
        <f t="shared" ref="F42:F51" si="1">A42*E42</f>
        <v>0</v>
      </c>
      <c r="G42" s="62"/>
    </row>
    <row r="43" spans="1:7" ht="15.6" x14ac:dyDescent="0.3">
      <c r="A43" s="63">
        <v>120</v>
      </c>
      <c r="B43" s="64" t="s">
        <v>65</v>
      </c>
      <c r="C43" s="64" t="s">
        <v>64</v>
      </c>
      <c r="D43" s="65"/>
      <c r="E43" s="66">
        <v>111</v>
      </c>
      <c r="F43" s="67">
        <f t="shared" si="1"/>
        <v>13320</v>
      </c>
      <c r="G43" s="68"/>
    </row>
    <row r="44" spans="1:7" ht="15.6" x14ac:dyDescent="0.3">
      <c r="A44" s="63"/>
      <c r="B44" s="64"/>
      <c r="C44" s="64"/>
      <c r="D44" s="65"/>
      <c r="E44" s="66"/>
      <c r="F44" s="67">
        <f t="shared" si="1"/>
        <v>0</v>
      </c>
      <c r="G44" s="68"/>
    </row>
    <row r="45" spans="1:7" ht="15.6" x14ac:dyDescent="0.3">
      <c r="A45" s="63"/>
      <c r="B45" s="64"/>
      <c r="C45" s="64"/>
      <c r="D45" s="65"/>
      <c r="E45" s="66"/>
      <c r="F45" s="67">
        <f t="shared" si="1"/>
        <v>0</v>
      </c>
      <c r="G45" s="68"/>
    </row>
    <row r="46" spans="1:7" ht="15.6" x14ac:dyDescent="0.3">
      <c r="A46" s="69"/>
      <c r="B46" s="64"/>
      <c r="C46" s="64"/>
      <c r="D46" s="65"/>
      <c r="E46" s="66"/>
      <c r="F46" s="67">
        <f t="shared" si="1"/>
        <v>0</v>
      </c>
      <c r="G46" s="68"/>
    </row>
    <row r="47" spans="1:7" ht="15.6" x14ac:dyDescent="0.3">
      <c r="A47" s="69"/>
      <c r="B47" s="64"/>
      <c r="C47" s="64"/>
      <c r="D47" s="65"/>
      <c r="E47" s="66"/>
      <c r="F47" s="67">
        <f t="shared" si="1"/>
        <v>0</v>
      </c>
      <c r="G47" s="68"/>
    </row>
    <row r="48" spans="1:7" ht="15.6" x14ac:dyDescent="0.3">
      <c r="A48" s="69"/>
      <c r="B48" s="64"/>
      <c r="C48" s="64"/>
      <c r="D48" s="65"/>
      <c r="E48" s="66"/>
      <c r="F48" s="67">
        <f t="shared" si="1"/>
        <v>0</v>
      </c>
      <c r="G48" s="68"/>
    </row>
    <row r="49" spans="1:7" ht="15.6" x14ac:dyDescent="0.3">
      <c r="A49" s="69"/>
      <c r="B49" s="64"/>
      <c r="C49" s="64"/>
      <c r="D49" s="65"/>
      <c r="E49" s="66"/>
      <c r="F49" s="67">
        <f t="shared" si="1"/>
        <v>0</v>
      </c>
      <c r="G49" s="68"/>
    </row>
    <row r="50" spans="1:7" ht="15.6" x14ac:dyDescent="0.3">
      <c r="A50" s="69"/>
      <c r="B50" s="64"/>
      <c r="C50" s="64"/>
      <c r="D50" s="65"/>
      <c r="E50" s="66"/>
      <c r="F50" s="67">
        <f t="shared" si="1"/>
        <v>0</v>
      </c>
      <c r="G50" s="68"/>
    </row>
    <row r="51" spans="1:7" ht="15.6" x14ac:dyDescent="0.3">
      <c r="A51" s="70"/>
      <c r="B51" s="71"/>
      <c r="C51" s="71"/>
      <c r="D51" s="72"/>
      <c r="E51" s="73"/>
      <c r="F51" s="74">
        <f t="shared" si="1"/>
        <v>0</v>
      </c>
      <c r="G51" s="75"/>
    </row>
    <row r="52" spans="1:7" ht="17.399999999999999" x14ac:dyDescent="0.3">
      <c r="A52" s="76"/>
      <c r="B52" s="77"/>
      <c r="C52" s="164" t="s">
        <v>27</v>
      </c>
      <c r="D52" s="164"/>
      <c r="E52" s="78"/>
      <c r="F52" s="79">
        <f>SUM(F42:F50)</f>
        <v>13320</v>
      </c>
      <c r="G52" s="80"/>
    </row>
    <row r="53" spans="1:7" ht="17.399999999999999" x14ac:dyDescent="0.3">
      <c r="A53" s="81"/>
      <c r="B53" s="82"/>
      <c r="C53" s="165" t="s">
        <v>28</v>
      </c>
      <c r="D53" s="165"/>
      <c r="E53" s="83"/>
      <c r="F53" s="84">
        <f>F52*0.16</f>
        <v>2131.1999999999998</v>
      </c>
      <c r="G53" s="85"/>
    </row>
    <row r="54" spans="1:7" ht="17.399999999999999" x14ac:dyDescent="0.3">
      <c r="A54" s="81"/>
      <c r="B54" s="82"/>
      <c r="C54" s="166" t="s">
        <v>29</v>
      </c>
      <c r="D54" s="166"/>
      <c r="E54" s="86"/>
      <c r="F54" s="87">
        <f>F52+F53</f>
        <v>15451.2</v>
      </c>
      <c r="G54" s="88"/>
    </row>
    <row r="55" spans="1:7" ht="15.6" x14ac:dyDescent="0.3">
      <c r="A55" s="167" t="s">
        <v>30</v>
      </c>
      <c r="B55" s="168"/>
      <c r="C55" s="89" t="s">
        <v>31</v>
      </c>
      <c r="D55" s="89"/>
      <c r="E55" s="168" t="s">
        <v>32</v>
      </c>
      <c r="F55" s="168"/>
      <c r="G55" s="169"/>
    </row>
    <row r="56" spans="1:7" ht="15.6" x14ac:dyDescent="0.3">
      <c r="A56" s="170" t="s">
        <v>444</v>
      </c>
      <c r="B56" s="171"/>
      <c r="C56" s="104" t="s">
        <v>33</v>
      </c>
      <c r="D56" s="90"/>
      <c r="E56" s="171" t="s">
        <v>273</v>
      </c>
      <c r="F56" s="171"/>
      <c r="G56" s="172"/>
    </row>
    <row r="59" spans="1:7" ht="24.6" x14ac:dyDescent="0.3">
      <c r="A59" s="184" t="s">
        <v>48</v>
      </c>
      <c r="B59" s="197"/>
      <c r="C59" s="185"/>
      <c r="D59" s="200" t="s">
        <v>36</v>
      </c>
      <c r="E59" s="201"/>
      <c r="F59" s="201"/>
      <c r="G59" s="202"/>
    </row>
    <row r="60" spans="1:7" ht="21" x14ac:dyDescent="0.4">
      <c r="A60" s="186"/>
      <c r="B60" s="198"/>
      <c r="C60" s="187"/>
      <c r="D60" s="118" t="s">
        <v>1</v>
      </c>
      <c r="E60" s="196" t="s">
        <v>636</v>
      </c>
      <c r="F60" s="195"/>
      <c r="G60" s="115"/>
    </row>
    <row r="61" spans="1:7" ht="21" x14ac:dyDescent="0.4">
      <c r="A61" s="186"/>
      <c r="B61" s="198"/>
      <c r="C61" s="187"/>
      <c r="D61" s="118" t="s">
        <v>334</v>
      </c>
      <c r="E61" s="176">
        <v>24</v>
      </c>
      <c r="F61" s="195"/>
      <c r="G61" s="115"/>
    </row>
    <row r="62" spans="1:7" ht="30" x14ac:dyDescent="0.3">
      <c r="A62" s="188"/>
      <c r="B62" s="199"/>
      <c r="C62" s="189"/>
      <c r="D62" s="119" t="s">
        <v>38</v>
      </c>
      <c r="E62" s="180" t="s">
        <v>654</v>
      </c>
      <c r="F62" s="181"/>
      <c r="G62" s="117"/>
    </row>
    <row r="63" spans="1:7" ht="20.399999999999999" x14ac:dyDescent="0.35">
      <c r="A63" s="52" t="s">
        <v>39</v>
      </c>
      <c r="B63" s="53" t="s">
        <v>279</v>
      </c>
      <c r="C63" s="54"/>
      <c r="D63" s="54"/>
      <c r="E63" s="120"/>
      <c r="F63" s="121"/>
      <c r="G63" s="122"/>
    </row>
    <row r="64" spans="1:7" ht="20.399999999999999" x14ac:dyDescent="0.35">
      <c r="A64" s="52" t="s">
        <v>40</v>
      </c>
      <c r="B64" s="111" t="s">
        <v>640</v>
      </c>
      <c r="C64" s="112"/>
      <c r="D64" s="112"/>
      <c r="E64" s="123"/>
      <c r="F64" s="124"/>
      <c r="G64" s="125"/>
    </row>
    <row r="65" spans="1:7" ht="20.399999999999999" x14ac:dyDescent="0.35">
      <c r="A65" s="52" t="s">
        <v>41</v>
      </c>
      <c r="B65" s="111" t="s">
        <v>652</v>
      </c>
      <c r="C65" s="112"/>
      <c r="D65" s="112"/>
      <c r="E65" s="126"/>
      <c r="F65" s="127"/>
      <c r="G65" s="128"/>
    </row>
    <row r="66" spans="1:7" ht="20.399999999999999" x14ac:dyDescent="0.35">
      <c r="A66" s="52" t="s">
        <v>42</v>
      </c>
      <c r="B66" s="111" t="s">
        <v>278</v>
      </c>
      <c r="C66" s="112"/>
      <c r="D66" s="112"/>
      <c r="E66" s="112"/>
      <c r="F66" s="112"/>
      <c r="G66" s="113"/>
    </row>
    <row r="67" spans="1:7" ht="30" x14ac:dyDescent="0.3">
      <c r="A67" s="103" t="s">
        <v>8</v>
      </c>
      <c r="B67" s="103" t="s">
        <v>9</v>
      </c>
      <c r="C67" s="103" t="s">
        <v>10</v>
      </c>
      <c r="D67" s="103" t="s">
        <v>43</v>
      </c>
      <c r="E67" s="103" t="s">
        <v>12</v>
      </c>
      <c r="F67" s="103" t="s">
        <v>13</v>
      </c>
      <c r="G67" s="103" t="s">
        <v>14</v>
      </c>
    </row>
    <row r="68" spans="1:7" ht="15.6" x14ac:dyDescent="0.3">
      <c r="A68" s="57">
        <v>10</v>
      </c>
      <c r="B68" s="58" t="s">
        <v>112</v>
      </c>
      <c r="C68" s="58" t="s">
        <v>666</v>
      </c>
      <c r="D68" s="95"/>
      <c r="E68" s="238">
        <v>43.04</v>
      </c>
      <c r="F68" s="238">
        <f t="shared" ref="F68:F78" si="2">A68*E68</f>
        <v>430.4</v>
      </c>
      <c r="G68" s="129"/>
    </row>
    <row r="69" spans="1:7" ht="15.6" x14ac:dyDescent="0.3">
      <c r="A69" s="63">
        <v>5</v>
      </c>
      <c r="B69" s="64" t="s">
        <v>112</v>
      </c>
      <c r="C69" s="64" t="s">
        <v>641</v>
      </c>
      <c r="D69" s="96" t="s">
        <v>642</v>
      </c>
      <c r="E69" s="239">
        <v>35.99</v>
      </c>
      <c r="F69" s="239">
        <f t="shared" si="2"/>
        <v>179.95000000000002</v>
      </c>
      <c r="G69" s="129"/>
    </row>
    <row r="70" spans="1:7" ht="15.6" x14ac:dyDescent="0.3">
      <c r="A70" s="63">
        <v>2</v>
      </c>
      <c r="B70" s="64" t="s">
        <v>112</v>
      </c>
      <c r="C70" s="64" t="s">
        <v>643</v>
      </c>
      <c r="D70" s="96" t="s">
        <v>642</v>
      </c>
      <c r="E70" s="239">
        <v>40.450000000000003</v>
      </c>
      <c r="F70" s="239">
        <f t="shared" si="2"/>
        <v>80.900000000000006</v>
      </c>
      <c r="G70" s="129"/>
    </row>
    <row r="71" spans="1:7" ht="15.6" x14ac:dyDescent="0.3">
      <c r="A71" s="63">
        <v>10</v>
      </c>
      <c r="B71" s="130" t="s">
        <v>112</v>
      </c>
      <c r="C71" s="130" t="s">
        <v>644</v>
      </c>
      <c r="D71" s="96" t="s">
        <v>642</v>
      </c>
      <c r="E71" s="239">
        <v>27</v>
      </c>
      <c r="F71" s="239">
        <f t="shared" si="2"/>
        <v>270</v>
      </c>
      <c r="G71" s="68"/>
    </row>
    <row r="72" spans="1:7" ht="15.6" x14ac:dyDescent="0.3">
      <c r="A72" s="63">
        <v>5</v>
      </c>
      <c r="B72" s="130" t="s">
        <v>112</v>
      </c>
      <c r="C72" s="130" t="s">
        <v>645</v>
      </c>
      <c r="D72" s="96" t="s">
        <v>642</v>
      </c>
      <c r="E72" s="239">
        <v>49.55</v>
      </c>
      <c r="F72" s="239">
        <f t="shared" si="2"/>
        <v>247.75</v>
      </c>
      <c r="G72" s="68"/>
    </row>
    <row r="73" spans="1:7" ht="31.2" x14ac:dyDescent="0.3">
      <c r="A73" s="69">
        <v>1</v>
      </c>
      <c r="B73" s="130" t="s">
        <v>112</v>
      </c>
      <c r="C73" s="130" t="s">
        <v>651</v>
      </c>
      <c r="D73" s="96"/>
      <c r="E73" s="239">
        <v>380.13</v>
      </c>
      <c r="F73" s="239">
        <f t="shared" si="2"/>
        <v>380.13</v>
      </c>
      <c r="G73" s="68"/>
    </row>
    <row r="74" spans="1:7" ht="15.6" x14ac:dyDescent="0.3">
      <c r="A74" s="69">
        <v>8</v>
      </c>
      <c r="B74" s="64" t="s">
        <v>112</v>
      </c>
      <c r="C74" s="64" t="s">
        <v>316</v>
      </c>
      <c r="D74" s="96" t="s">
        <v>642</v>
      </c>
      <c r="E74" s="239">
        <v>119.46</v>
      </c>
      <c r="F74" s="239">
        <f t="shared" si="2"/>
        <v>955.68</v>
      </c>
      <c r="G74" s="68"/>
    </row>
    <row r="75" spans="1:7" ht="31.2" x14ac:dyDescent="0.3">
      <c r="A75" s="69">
        <v>5</v>
      </c>
      <c r="B75" s="64" t="s">
        <v>112</v>
      </c>
      <c r="C75" s="64" t="s">
        <v>646</v>
      </c>
      <c r="D75" s="96"/>
      <c r="E75" s="239">
        <v>70.3</v>
      </c>
      <c r="F75" s="239">
        <f t="shared" si="2"/>
        <v>351.5</v>
      </c>
      <c r="G75" s="68"/>
    </row>
    <row r="76" spans="1:7" ht="15.6" x14ac:dyDescent="0.3">
      <c r="A76" s="69">
        <v>2</v>
      </c>
      <c r="B76" s="64" t="s">
        <v>112</v>
      </c>
      <c r="C76" s="64" t="s">
        <v>650</v>
      </c>
      <c r="D76" s="96" t="s">
        <v>642</v>
      </c>
      <c r="E76" s="239">
        <v>42.08</v>
      </c>
      <c r="F76" s="239">
        <f t="shared" si="2"/>
        <v>84.16</v>
      </c>
      <c r="G76" s="68"/>
    </row>
    <row r="77" spans="1:7" ht="15.6" x14ac:dyDescent="0.3">
      <c r="A77" s="69">
        <v>1</v>
      </c>
      <c r="B77" s="64" t="s">
        <v>647</v>
      </c>
      <c r="C77" s="64" t="s">
        <v>648</v>
      </c>
      <c r="D77" s="96" t="s">
        <v>642</v>
      </c>
      <c r="E77" s="239">
        <v>1619.56</v>
      </c>
      <c r="F77" s="239">
        <f t="shared" si="2"/>
        <v>1619.56</v>
      </c>
      <c r="G77" s="68"/>
    </row>
    <row r="78" spans="1:7" ht="15.6" x14ac:dyDescent="0.3">
      <c r="A78" s="70"/>
      <c r="B78" s="71"/>
      <c r="C78" s="71"/>
      <c r="D78" s="72"/>
      <c r="E78" s="231"/>
      <c r="F78" s="240">
        <f t="shared" si="2"/>
        <v>0</v>
      </c>
      <c r="G78" s="75"/>
    </row>
    <row r="79" spans="1:7" ht="17.399999999999999" x14ac:dyDescent="0.3">
      <c r="A79" s="76"/>
      <c r="B79" s="77"/>
      <c r="C79" s="114" t="s">
        <v>27</v>
      </c>
      <c r="D79" s="232"/>
      <c r="E79" s="233"/>
      <c r="F79" s="241">
        <f>SUM(F68:F77)</f>
        <v>4600.03</v>
      </c>
      <c r="G79" s="80"/>
    </row>
    <row r="80" spans="1:7" ht="17.399999999999999" x14ac:dyDescent="0.3">
      <c r="A80" s="81"/>
      <c r="B80" s="82"/>
      <c r="C80" s="106" t="s">
        <v>28</v>
      </c>
      <c r="D80" s="234"/>
      <c r="E80" s="235"/>
      <c r="F80" s="242">
        <f>F79*0.16</f>
        <v>736.00479999999993</v>
      </c>
      <c r="G80" s="85"/>
    </row>
    <row r="81" spans="1:7" ht="17.399999999999999" x14ac:dyDescent="0.3">
      <c r="A81" s="81"/>
      <c r="B81" s="82"/>
      <c r="C81" s="107" t="s">
        <v>29</v>
      </c>
      <c r="D81" s="236"/>
      <c r="E81" s="237"/>
      <c r="F81" s="243">
        <f>F79+F80</f>
        <v>5336.0347999999994</v>
      </c>
      <c r="G81" s="88"/>
    </row>
    <row r="82" spans="1:7" ht="15.6" x14ac:dyDescent="0.3">
      <c r="A82" s="108" t="s">
        <v>30</v>
      </c>
      <c r="B82" s="89"/>
      <c r="C82" s="89" t="s">
        <v>31</v>
      </c>
      <c r="D82" s="232"/>
      <c r="E82" s="89" t="s">
        <v>32</v>
      </c>
      <c r="F82" s="89"/>
      <c r="G82" s="109"/>
    </row>
    <row r="83" spans="1:7" ht="15.6" x14ac:dyDescent="0.3">
      <c r="A83" s="134" t="s">
        <v>649</v>
      </c>
      <c r="B83" s="90"/>
      <c r="C83" s="90" t="s">
        <v>33</v>
      </c>
      <c r="D83" s="236"/>
      <c r="E83" s="90" t="s">
        <v>273</v>
      </c>
      <c r="F83" s="90"/>
      <c r="G83" s="110"/>
    </row>
    <row r="87" spans="1:7" ht="24.6" x14ac:dyDescent="0.3">
      <c r="A87" s="184" t="s">
        <v>48</v>
      </c>
      <c r="B87" s="197"/>
      <c r="C87" s="185"/>
      <c r="D87" s="200" t="s">
        <v>36</v>
      </c>
      <c r="E87" s="201"/>
      <c r="F87" s="201"/>
      <c r="G87" s="202"/>
    </row>
    <row r="88" spans="1:7" ht="21" x14ac:dyDescent="0.4">
      <c r="A88" s="186"/>
      <c r="B88" s="198"/>
      <c r="C88" s="187"/>
      <c r="D88" s="118" t="s">
        <v>1</v>
      </c>
      <c r="E88" s="196" t="s">
        <v>636</v>
      </c>
      <c r="F88" s="195"/>
      <c r="G88" s="115"/>
    </row>
    <row r="89" spans="1:7" ht="21" x14ac:dyDescent="0.4">
      <c r="A89" s="186"/>
      <c r="B89" s="198"/>
      <c r="C89" s="187"/>
      <c r="D89" s="118" t="s">
        <v>334</v>
      </c>
      <c r="E89" s="176">
        <v>24</v>
      </c>
      <c r="F89" s="195"/>
      <c r="G89" s="115"/>
    </row>
    <row r="90" spans="1:7" ht="30" x14ac:dyDescent="0.3">
      <c r="A90" s="188"/>
      <c r="B90" s="199"/>
      <c r="C90" s="189"/>
      <c r="D90" s="119" t="s">
        <v>38</v>
      </c>
      <c r="E90" s="180" t="s">
        <v>655</v>
      </c>
      <c r="F90" s="181"/>
      <c r="G90" s="117"/>
    </row>
    <row r="91" spans="1:7" ht="20.399999999999999" x14ac:dyDescent="0.35">
      <c r="A91" s="52" t="s">
        <v>39</v>
      </c>
      <c r="B91" s="53" t="s">
        <v>279</v>
      </c>
      <c r="C91" s="54"/>
      <c r="D91" s="54"/>
      <c r="E91" s="120"/>
      <c r="F91" s="121"/>
      <c r="G91" s="122"/>
    </row>
    <row r="92" spans="1:7" ht="20.399999999999999" x14ac:dyDescent="0.35">
      <c r="A92" s="52" t="s">
        <v>40</v>
      </c>
      <c r="B92" s="111"/>
      <c r="C92" s="112"/>
      <c r="D92" s="112"/>
      <c r="E92" s="244"/>
      <c r="F92" s="245"/>
      <c r="G92" s="246"/>
    </row>
    <row r="93" spans="1:7" ht="20.399999999999999" x14ac:dyDescent="0.35">
      <c r="A93" s="52" t="s">
        <v>41</v>
      </c>
      <c r="B93" s="111" t="s">
        <v>664</v>
      </c>
      <c r="C93" s="112"/>
      <c r="D93" s="112"/>
      <c r="E93" s="126"/>
      <c r="F93" s="127"/>
      <c r="G93" s="128"/>
    </row>
    <row r="94" spans="1:7" ht="20.399999999999999" x14ac:dyDescent="0.35">
      <c r="A94" s="52" t="s">
        <v>42</v>
      </c>
      <c r="B94" s="111" t="s">
        <v>175</v>
      </c>
      <c r="C94" s="112"/>
      <c r="D94" s="112"/>
      <c r="E94" s="112"/>
      <c r="F94" s="112"/>
      <c r="G94" s="113"/>
    </row>
    <row r="95" spans="1:7" ht="15" x14ac:dyDescent="0.3">
      <c r="A95" s="103" t="s">
        <v>8</v>
      </c>
      <c r="B95" s="103" t="s">
        <v>9</v>
      </c>
      <c r="C95" s="103" t="s">
        <v>10</v>
      </c>
      <c r="D95" s="103" t="s">
        <v>43</v>
      </c>
      <c r="E95" s="103" t="s">
        <v>12</v>
      </c>
      <c r="F95" s="103" t="s">
        <v>13</v>
      </c>
      <c r="G95" s="103" t="s">
        <v>14</v>
      </c>
    </row>
    <row r="96" spans="1:7" ht="15.6" x14ac:dyDescent="0.3">
      <c r="A96" s="57">
        <v>4</v>
      </c>
      <c r="B96" s="58" t="s">
        <v>112</v>
      </c>
      <c r="C96" s="58" t="s">
        <v>653</v>
      </c>
      <c r="D96" s="95"/>
      <c r="E96" s="238">
        <v>4036</v>
      </c>
      <c r="F96" s="238">
        <f t="shared" ref="F96:F110" si="3">A96*E96</f>
        <v>16144</v>
      </c>
      <c r="G96" s="129"/>
    </row>
    <row r="97" spans="1:7" ht="15.6" x14ac:dyDescent="0.3">
      <c r="A97" s="63"/>
      <c r="B97" s="64"/>
      <c r="C97" s="64"/>
      <c r="D97" s="96"/>
      <c r="E97" s="239"/>
      <c r="F97" s="239">
        <f t="shared" si="3"/>
        <v>0</v>
      </c>
      <c r="G97" s="129"/>
    </row>
    <row r="98" spans="1:7" ht="15.6" x14ac:dyDescent="0.3">
      <c r="A98" s="63"/>
      <c r="B98" s="64"/>
      <c r="C98" s="64"/>
      <c r="D98" s="96"/>
      <c r="E98" s="239"/>
      <c r="F98" s="239">
        <f t="shared" si="3"/>
        <v>0</v>
      </c>
      <c r="G98" s="129"/>
    </row>
    <row r="99" spans="1:7" ht="15.6" x14ac:dyDescent="0.3">
      <c r="A99" s="63"/>
      <c r="B99" s="130"/>
      <c r="C99" s="130"/>
      <c r="D99" s="96"/>
      <c r="E99" s="239"/>
      <c r="F99" s="239">
        <f t="shared" si="3"/>
        <v>0</v>
      </c>
      <c r="G99" s="68"/>
    </row>
    <row r="100" spans="1:7" ht="15.6" x14ac:dyDescent="0.3">
      <c r="A100" s="63"/>
      <c r="B100" s="130"/>
      <c r="C100" s="130"/>
      <c r="D100" s="96"/>
      <c r="E100" s="239"/>
      <c r="F100" s="239">
        <f t="shared" si="3"/>
        <v>0</v>
      </c>
      <c r="G100" s="68"/>
    </row>
    <row r="101" spans="1:7" ht="15.6" x14ac:dyDescent="0.3">
      <c r="A101" s="63"/>
      <c r="B101" s="130"/>
      <c r="C101" s="130"/>
      <c r="D101" s="96"/>
      <c r="E101" s="239"/>
      <c r="F101" s="239">
        <f t="shared" si="3"/>
        <v>0</v>
      </c>
      <c r="G101" s="68"/>
    </row>
    <row r="102" spans="1:7" ht="15.6" x14ac:dyDescent="0.3">
      <c r="A102" s="63"/>
      <c r="B102" s="130"/>
      <c r="C102" s="130"/>
      <c r="D102" s="96"/>
      <c r="E102" s="239"/>
      <c r="F102" s="239">
        <f t="shared" si="3"/>
        <v>0</v>
      </c>
      <c r="G102" s="68"/>
    </row>
    <row r="103" spans="1:7" ht="15.6" x14ac:dyDescent="0.3">
      <c r="A103" s="69"/>
      <c r="B103" s="130"/>
      <c r="C103" s="130"/>
      <c r="D103" s="96"/>
      <c r="E103" s="239"/>
      <c r="F103" s="239">
        <f t="shared" si="3"/>
        <v>0</v>
      </c>
      <c r="G103" s="68"/>
    </row>
    <row r="104" spans="1:7" ht="15.6" x14ac:dyDescent="0.3">
      <c r="A104" s="69"/>
      <c r="B104" s="130"/>
      <c r="C104" s="130"/>
      <c r="D104" s="96"/>
      <c r="E104" s="239"/>
      <c r="F104" s="239">
        <f t="shared" si="3"/>
        <v>0</v>
      </c>
      <c r="G104" s="68"/>
    </row>
    <row r="105" spans="1:7" ht="15.6" x14ac:dyDescent="0.3">
      <c r="A105" s="69"/>
      <c r="B105" s="64"/>
      <c r="C105" s="130"/>
      <c r="D105" s="96"/>
      <c r="E105" s="239"/>
      <c r="F105" s="239">
        <f t="shared" si="3"/>
        <v>0</v>
      </c>
      <c r="G105" s="68"/>
    </row>
    <row r="106" spans="1:7" ht="15.6" x14ac:dyDescent="0.3">
      <c r="A106" s="69"/>
      <c r="B106" s="64"/>
      <c r="C106" s="64"/>
      <c r="D106" s="65"/>
      <c r="E106" s="239"/>
      <c r="F106" s="239">
        <f t="shared" si="3"/>
        <v>0</v>
      </c>
      <c r="G106" s="68"/>
    </row>
    <row r="107" spans="1:7" ht="15.6" x14ac:dyDescent="0.3">
      <c r="A107" s="69"/>
      <c r="B107" s="64"/>
      <c r="C107" s="64"/>
      <c r="D107" s="65"/>
      <c r="E107" s="239"/>
      <c r="F107" s="239">
        <f t="shared" si="3"/>
        <v>0</v>
      </c>
      <c r="G107" s="68"/>
    </row>
    <row r="108" spans="1:7" ht="15.6" x14ac:dyDescent="0.3">
      <c r="A108" s="69"/>
      <c r="B108" s="64"/>
      <c r="C108" s="64"/>
      <c r="D108" s="65"/>
      <c r="E108" s="239"/>
      <c r="F108" s="239">
        <f t="shared" si="3"/>
        <v>0</v>
      </c>
      <c r="G108" s="68"/>
    </row>
    <row r="109" spans="1:7" ht="15.6" x14ac:dyDescent="0.3">
      <c r="A109" s="69"/>
      <c r="B109" s="64"/>
      <c r="C109" s="64"/>
      <c r="D109" s="65"/>
      <c r="E109" s="239"/>
      <c r="F109" s="239">
        <f t="shared" si="3"/>
        <v>0</v>
      </c>
      <c r="G109" s="68"/>
    </row>
    <row r="110" spans="1:7" ht="15.6" x14ac:dyDescent="0.3">
      <c r="A110" s="70"/>
      <c r="B110" s="71"/>
      <c r="C110" s="71"/>
      <c r="D110" s="72"/>
      <c r="E110" s="240"/>
      <c r="F110" s="240">
        <f t="shared" si="3"/>
        <v>0</v>
      </c>
      <c r="G110" s="75"/>
    </row>
    <row r="111" spans="1:7" ht="17.399999999999999" x14ac:dyDescent="0.3">
      <c r="A111" s="76"/>
      <c r="B111" s="77"/>
      <c r="C111" s="114" t="s">
        <v>27</v>
      </c>
      <c r="D111" s="114"/>
      <c r="E111" s="247"/>
      <c r="F111" s="241">
        <f>SUM(F96:F109)</f>
        <v>16144</v>
      </c>
      <c r="G111" s="80"/>
    </row>
    <row r="112" spans="1:7" ht="17.399999999999999" x14ac:dyDescent="0.3">
      <c r="A112" s="81"/>
      <c r="B112" s="82"/>
      <c r="C112" s="106" t="s">
        <v>28</v>
      </c>
      <c r="D112" s="106"/>
      <c r="E112" s="248"/>
      <c r="F112" s="242">
        <f>F111*0.16</f>
        <v>2583.04</v>
      </c>
      <c r="G112" s="85"/>
    </row>
    <row r="113" spans="1:7" ht="17.399999999999999" x14ac:dyDescent="0.3">
      <c r="A113" s="81"/>
      <c r="B113" s="82"/>
      <c r="C113" s="107" t="s">
        <v>29</v>
      </c>
      <c r="D113" s="107"/>
      <c r="E113" s="249"/>
      <c r="F113" s="243">
        <f>F111+F112</f>
        <v>18727.04</v>
      </c>
      <c r="G113" s="88"/>
    </row>
    <row r="114" spans="1:7" ht="15.6" x14ac:dyDescent="0.3">
      <c r="A114" s="108" t="s">
        <v>30</v>
      </c>
      <c r="B114" s="89"/>
      <c r="C114" s="89" t="s">
        <v>31</v>
      </c>
      <c r="D114" s="89"/>
      <c r="E114" s="89" t="s">
        <v>32</v>
      </c>
      <c r="F114" s="89"/>
      <c r="G114" s="109"/>
    </row>
    <row r="115" spans="1:7" ht="15.6" x14ac:dyDescent="0.3">
      <c r="A115" s="134" t="s">
        <v>467</v>
      </c>
      <c r="B115" s="90"/>
      <c r="C115" s="90" t="s">
        <v>33</v>
      </c>
      <c r="D115" s="90"/>
      <c r="E115" s="90" t="s">
        <v>273</v>
      </c>
      <c r="F115" s="90"/>
      <c r="G115" s="110"/>
    </row>
    <row r="118" spans="1:7" ht="21" x14ac:dyDescent="0.4">
      <c r="A118" s="49"/>
      <c r="B118" s="184" t="s">
        <v>45</v>
      </c>
      <c r="C118" s="185"/>
      <c r="D118" s="190" t="s">
        <v>36</v>
      </c>
      <c r="E118" s="191"/>
      <c r="F118" s="191"/>
      <c r="G118" s="192"/>
    </row>
    <row r="119" spans="1:7" ht="21" x14ac:dyDescent="0.4">
      <c r="A119" s="50"/>
      <c r="B119" s="186"/>
      <c r="C119" s="187"/>
      <c r="D119" s="193" t="s">
        <v>1</v>
      </c>
      <c r="E119" s="194"/>
      <c r="F119" s="195" t="s">
        <v>636</v>
      </c>
      <c r="G119" s="177"/>
    </row>
    <row r="120" spans="1:7" ht="21" x14ac:dyDescent="0.4">
      <c r="A120" s="50"/>
      <c r="B120" s="186"/>
      <c r="C120" s="187"/>
      <c r="D120" s="193" t="s">
        <v>267</v>
      </c>
      <c r="E120" s="194"/>
      <c r="F120" s="176">
        <v>24</v>
      </c>
      <c r="G120" s="177"/>
    </row>
    <row r="121" spans="1:7" ht="21" x14ac:dyDescent="0.4">
      <c r="A121" s="51"/>
      <c r="B121" s="188"/>
      <c r="C121" s="189"/>
      <c r="D121" s="178" t="s">
        <v>38</v>
      </c>
      <c r="E121" s="179"/>
      <c r="F121" s="180" t="s">
        <v>658</v>
      </c>
      <c r="G121" s="181"/>
    </row>
    <row r="122" spans="1:7" ht="20.399999999999999" x14ac:dyDescent="0.35">
      <c r="A122" s="52" t="s">
        <v>39</v>
      </c>
      <c r="B122" s="53" t="s">
        <v>273</v>
      </c>
      <c r="C122" s="54"/>
      <c r="D122" s="54"/>
      <c r="E122" s="182" t="s">
        <v>659</v>
      </c>
      <c r="F122" s="182"/>
      <c r="G122" s="183"/>
    </row>
    <row r="123" spans="1:7" ht="20.399999999999999" x14ac:dyDescent="0.35">
      <c r="A123" s="52" t="s">
        <v>40</v>
      </c>
      <c r="B123" s="173"/>
      <c r="C123" s="174"/>
      <c r="D123" s="174"/>
      <c r="E123" s="174"/>
      <c r="F123" s="174"/>
      <c r="G123" s="175"/>
    </row>
    <row r="124" spans="1:7" ht="20.399999999999999" x14ac:dyDescent="0.35">
      <c r="A124" s="52" t="s">
        <v>41</v>
      </c>
      <c r="B124" s="173" t="s">
        <v>272</v>
      </c>
      <c r="C124" s="174"/>
      <c r="D124" s="174"/>
      <c r="E124" s="174"/>
      <c r="F124" s="174"/>
      <c r="G124" s="175"/>
    </row>
    <row r="125" spans="1:7" ht="20.399999999999999" x14ac:dyDescent="0.35">
      <c r="A125" s="52" t="s">
        <v>42</v>
      </c>
      <c r="B125" s="173" t="s">
        <v>280</v>
      </c>
      <c r="C125" s="174"/>
      <c r="D125" s="174"/>
      <c r="E125" s="174"/>
      <c r="F125" s="174"/>
      <c r="G125" s="175"/>
    </row>
    <row r="126" spans="1:7" ht="15" x14ac:dyDescent="0.3">
      <c r="A126" s="103" t="s">
        <v>8</v>
      </c>
      <c r="B126" s="103" t="s">
        <v>9</v>
      </c>
      <c r="C126" s="103" t="s">
        <v>10</v>
      </c>
      <c r="D126" s="103" t="s">
        <v>43</v>
      </c>
      <c r="E126" s="103" t="s">
        <v>12</v>
      </c>
      <c r="F126" s="103" t="s">
        <v>13</v>
      </c>
      <c r="G126" s="103" t="s">
        <v>14</v>
      </c>
    </row>
    <row r="127" spans="1:7" ht="15.6" x14ac:dyDescent="0.3">
      <c r="A127" s="57">
        <v>7</v>
      </c>
      <c r="B127" s="58" t="s">
        <v>281</v>
      </c>
      <c r="C127" s="58" t="s">
        <v>282</v>
      </c>
      <c r="D127" s="59"/>
      <c r="E127" s="60">
        <v>1447.03</v>
      </c>
      <c r="F127" s="60">
        <f t="shared" ref="F127:F143" si="4">A127*E127</f>
        <v>10129.209999999999</v>
      </c>
      <c r="G127" s="62"/>
    </row>
    <row r="128" spans="1:7" ht="15.6" x14ac:dyDescent="0.3">
      <c r="A128" s="63"/>
      <c r="B128" s="64"/>
      <c r="C128" s="64"/>
      <c r="D128" s="65"/>
      <c r="E128" s="66"/>
      <c r="F128" s="66">
        <f t="shared" si="4"/>
        <v>0</v>
      </c>
      <c r="G128" s="68"/>
    </row>
    <row r="129" spans="1:7" ht="15.6" x14ac:dyDescent="0.3">
      <c r="A129" s="63">
        <v>3</v>
      </c>
      <c r="B129" s="64" t="s">
        <v>112</v>
      </c>
      <c r="C129" s="64" t="s">
        <v>552</v>
      </c>
      <c r="D129" s="65"/>
      <c r="E129" s="66">
        <v>58.58</v>
      </c>
      <c r="F129" s="66">
        <f t="shared" si="4"/>
        <v>175.74</v>
      </c>
      <c r="G129" s="68"/>
    </row>
    <row r="130" spans="1:7" ht="31.2" x14ac:dyDescent="0.3">
      <c r="A130" s="63">
        <v>4</v>
      </c>
      <c r="B130" s="64" t="s">
        <v>288</v>
      </c>
      <c r="C130" s="64" t="s">
        <v>285</v>
      </c>
      <c r="D130" s="65"/>
      <c r="E130" s="66">
        <v>148.58000000000001</v>
      </c>
      <c r="F130" s="66">
        <f t="shared" si="4"/>
        <v>594.32000000000005</v>
      </c>
      <c r="G130" s="68"/>
    </row>
    <row r="131" spans="1:7" ht="15.6" x14ac:dyDescent="0.3">
      <c r="A131" s="63">
        <v>1</v>
      </c>
      <c r="B131" s="64" t="s">
        <v>656</v>
      </c>
      <c r="C131" s="64" t="s">
        <v>545</v>
      </c>
      <c r="D131" s="65"/>
      <c r="E131" s="66">
        <v>271.5</v>
      </c>
      <c r="F131" s="66">
        <f t="shared" si="4"/>
        <v>271.5</v>
      </c>
      <c r="G131" s="68"/>
    </row>
    <row r="132" spans="1:7" ht="15.6" x14ac:dyDescent="0.3">
      <c r="A132" s="69">
        <v>25</v>
      </c>
      <c r="B132" s="64" t="s">
        <v>112</v>
      </c>
      <c r="C132" s="64" t="s">
        <v>544</v>
      </c>
      <c r="D132" s="65"/>
      <c r="E132" s="66">
        <v>11.34</v>
      </c>
      <c r="F132" s="66">
        <f t="shared" si="4"/>
        <v>283.5</v>
      </c>
      <c r="G132" s="68"/>
    </row>
    <row r="133" spans="1:7" ht="15.6" x14ac:dyDescent="0.3">
      <c r="A133" s="69">
        <v>10</v>
      </c>
      <c r="B133" s="64" t="s">
        <v>112</v>
      </c>
      <c r="C133" s="64" t="s">
        <v>657</v>
      </c>
      <c r="D133" s="65"/>
      <c r="E133" s="66">
        <v>63.62</v>
      </c>
      <c r="F133" s="66">
        <f t="shared" si="4"/>
        <v>636.19999999999993</v>
      </c>
      <c r="G133" s="68"/>
    </row>
    <row r="134" spans="1:7" ht="15.6" x14ac:dyDescent="0.3">
      <c r="A134" s="69"/>
      <c r="B134" s="64"/>
      <c r="C134" s="64"/>
      <c r="D134" s="65"/>
      <c r="E134" s="66"/>
      <c r="F134" s="66">
        <f t="shared" si="4"/>
        <v>0</v>
      </c>
      <c r="G134" s="68"/>
    </row>
    <row r="135" spans="1:7" ht="15.6" x14ac:dyDescent="0.3">
      <c r="A135" s="69"/>
      <c r="B135" s="64"/>
      <c r="C135" s="64"/>
      <c r="D135" s="65"/>
      <c r="E135" s="66"/>
      <c r="F135" s="67">
        <f t="shared" si="4"/>
        <v>0</v>
      </c>
      <c r="G135" s="68"/>
    </row>
    <row r="136" spans="1:7" ht="15.6" x14ac:dyDescent="0.3">
      <c r="A136" s="69"/>
      <c r="B136" s="64"/>
      <c r="C136" s="64"/>
      <c r="D136" s="65"/>
      <c r="E136" s="66"/>
      <c r="F136" s="67">
        <f t="shared" si="4"/>
        <v>0</v>
      </c>
      <c r="G136" s="68"/>
    </row>
    <row r="137" spans="1:7" ht="15.6" x14ac:dyDescent="0.3">
      <c r="A137" s="69"/>
      <c r="B137" s="64"/>
      <c r="C137" s="64"/>
      <c r="D137" s="65"/>
      <c r="E137" s="66"/>
      <c r="F137" s="67">
        <f t="shared" si="4"/>
        <v>0</v>
      </c>
      <c r="G137" s="68"/>
    </row>
    <row r="138" spans="1:7" ht="15.6" x14ac:dyDescent="0.3">
      <c r="A138" s="69"/>
      <c r="B138" s="64"/>
      <c r="C138" s="64"/>
      <c r="D138" s="65"/>
      <c r="E138" s="66"/>
      <c r="F138" s="67">
        <f t="shared" si="4"/>
        <v>0</v>
      </c>
      <c r="G138" s="68"/>
    </row>
    <row r="139" spans="1:7" ht="15.6" x14ac:dyDescent="0.3">
      <c r="A139" s="69"/>
      <c r="B139" s="64"/>
      <c r="C139" s="64"/>
      <c r="D139" s="65"/>
      <c r="E139" s="66"/>
      <c r="F139" s="67">
        <f t="shared" si="4"/>
        <v>0</v>
      </c>
      <c r="G139" s="68"/>
    </row>
    <row r="140" spans="1:7" ht="15.6" x14ac:dyDescent="0.3">
      <c r="A140" s="69"/>
      <c r="B140" s="64"/>
      <c r="C140" s="64"/>
      <c r="D140" s="65"/>
      <c r="E140" s="66"/>
      <c r="F140" s="67">
        <f t="shared" si="4"/>
        <v>0</v>
      </c>
      <c r="G140" s="68"/>
    </row>
    <row r="141" spans="1:7" ht="15.6" x14ac:dyDescent="0.3">
      <c r="A141" s="69"/>
      <c r="B141" s="64"/>
      <c r="C141" s="64"/>
      <c r="D141" s="65"/>
      <c r="E141" s="66"/>
      <c r="F141" s="67">
        <f t="shared" si="4"/>
        <v>0</v>
      </c>
      <c r="G141" s="68"/>
    </row>
    <row r="142" spans="1:7" ht="15.6" x14ac:dyDescent="0.3">
      <c r="A142" s="69"/>
      <c r="B142" s="64"/>
      <c r="C142" s="64"/>
      <c r="D142" s="65"/>
      <c r="E142" s="66"/>
      <c r="F142" s="67">
        <f t="shared" si="4"/>
        <v>0</v>
      </c>
      <c r="G142" s="68"/>
    </row>
    <row r="143" spans="1:7" ht="15.6" x14ac:dyDescent="0.3">
      <c r="A143" s="70"/>
      <c r="B143" s="71"/>
      <c r="C143" s="71"/>
      <c r="D143" s="72"/>
      <c r="E143" s="73"/>
      <c r="F143" s="67">
        <f t="shared" si="4"/>
        <v>0</v>
      </c>
      <c r="G143" s="75"/>
    </row>
    <row r="144" spans="1:7" ht="17.399999999999999" x14ac:dyDescent="0.3">
      <c r="A144" s="76"/>
      <c r="B144" s="77"/>
      <c r="C144" s="164" t="s">
        <v>27</v>
      </c>
      <c r="D144" s="164"/>
      <c r="E144" s="78"/>
      <c r="F144" s="79">
        <f>SUM(F127:F142)</f>
        <v>12090.47</v>
      </c>
      <c r="G144" s="80"/>
    </row>
    <row r="145" spans="1:7" ht="17.399999999999999" x14ac:dyDescent="0.3">
      <c r="A145" s="81"/>
      <c r="B145" s="82"/>
      <c r="C145" s="165" t="s">
        <v>28</v>
      </c>
      <c r="D145" s="165"/>
      <c r="E145" s="83"/>
      <c r="F145" s="84">
        <f>F144*0.16</f>
        <v>1934.4751999999999</v>
      </c>
      <c r="G145" s="85"/>
    </row>
    <row r="146" spans="1:7" ht="17.399999999999999" x14ac:dyDescent="0.3">
      <c r="A146" s="81"/>
      <c r="B146" s="82"/>
      <c r="C146" s="166" t="s">
        <v>29</v>
      </c>
      <c r="D146" s="166"/>
      <c r="E146" s="86"/>
      <c r="F146" s="87">
        <f>F144+F145</f>
        <v>14024.945199999998</v>
      </c>
      <c r="G146" s="88"/>
    </row>
    <row r="147" spans="1:7" ht="15.6" x14ac:dyDescent="0.3">
      <c r="A147" s="167" t="s">
        <v>30</v>
      </c>
      <c r="B147" s="168"/>
      <c r="C147" s="89" t="s">
        <v>31</v>
      </c>
      <c r="D147" s="89"/>
      <c r="E147" s="168" t="s">
        <v>32</v>
      </c>
      <c r="F147" s="168"/>
      <c r="G147" s="169"/>
    </row>
    <row r="148" spans="1:7" ht="15.6" x14ac:dyDescent="0.3">
      <c r="A148" s="170" t="s">
        <v>467</v>
      </c>
      <c r="B148" s="171"/>
      <c r="C148" s="104" t="s">
        <v>33</v>
      </c>
      <c r="D148" s="90"/>
      <c r="E148" s="171" t="s">
        <v>273</v>
      </c>
      <c r="F148" s="171"/>
      <c r="G148" s="172"/>
    </row>
    <row r="152" spans="1:7" ht="24.6" x14ac:dyDescent="0.3">
      <c r="A152" s="184" t="s">
        <v>639</v>
      </c>
      <c r="B152" s="197"/>
      <c r="C152" s="185"/>
      <c r="D152" s="200" t="s">
        <v>36</v>
      </c>
      <c r="E152" s="201"/>
      <c r="F152" s="201"/>
      <c r="G152" s="202"/>
    </row>
    <row r="153" spans="1:7" ht="21" x14ac:dyDescent="0.4">
      <c r="A153" s="186"/>
      <c r="B153" s="198"/>
      <c r="C153" s="187"/>
      <c r="D153" s="118" t="s">
        <v>1</v>
      </c>
      <c r="E153" s="196" t="s">
        <v>636</v>
      </c>
      <c r="F153" s="195"/>
      <c r="G153" s="115"/>
    </row>
    <row r="154" spans="1:7" ht="21" x14ac:dyDescent="0.4">
      <c r="A154" s="186"/>
      <c r="B154" s="198"/>
      <c r="C154" s="187"/>
      <c r="D154" s="118" t="s">
        <v>334</v>
      </c>
      <c r="E154" s="176">
        <v>24</v>
      </c>
      <c r="F154" s="195"/>
      <c r="G154" s="115"/>
    </row>
    <row r="155" spans="1:7" ht="30" x14ac:dyDescent="0.3">
      <c r="A155" s="188"/>
      <c r="B155" s="199"/>
      <c r="C155" s="189"/>
      <c r="D155" s="119" t="s">
        <v>38</v>
      </c>
      <c r="E155" s="180" t="s">
        <v>665</v>
      </c>
      <c r="F155" s="181"/>
      <c r="G155" s="117"/>
    </row>
    <row r="156" spans="1:7" ht="20.399999999999999" x14ac:dyDescent="0.35">
      <c r="A156" s="52" t="s">
        <v>39</v>
      </c>
      <c r="B156" s="53" t="s">
        <v>660</v>
      </c>
      <c r="C156" s="54"/>
      <c r="D156" s="54"/>
      <c r="E156" s="120"/>
      <c r="F156" s="121"/>
      <c r="G156" s="122"/>
    </row>
    <row r="157" spans="1:7" ht="20.399999999999999" x14ac:dyDescent="0.35">
      <c r="A157" s="52" t="s">
        <v>40</v>
      </c>
      <c r="B157" s="111" t="s">
        <v>661</v>
      </c>
      <c r="C157" s="112"/>
      <c r="D157" s="112"/>
      <c r="E157" s="123"/>
      <c r="F157" s="124"/>
      <c r="G157" s="125"/>
    </row>
    <row r="158" spans="1:7" ht="20.399999999999999" x14ac:dyDescent="0.35">
      <c r="A158" s="52" t="s">
        <v>41</v>
      </c>
      <c r="B158" s="111" t="s">
        <v>664</v>
      </c>
      <c r="C158" s="112"/>
      <c r="D158" s="112"/>
      <c r="E158" s="126"/>
      <c r="F158" s="127"/>
      <c r="G158" s="128"/>
    </row>
    <row r="159" spans="1:7" ht="20.399999999999999" x14ac:dyDescent="0.35">
      <c r="A159" s="52" t="s">
        <v>42</v>
      </c>
      <c r="B159" s="111" t="s">
        <v>252</v>
      </c>
      <c r="C159" s="112"/>
      <c r="D159" s="112"/>
      <c r="E159" s="112"/>
      <c r="F159" s="112"/>
      <c r="G159" s="113"/>
    </row>
    <row r="160" spans="1:7" ht="15" x14ac:dyDescent="0.3">
      <c r="A160" s="103" t="s">
        <v>8</v>
      </c>
      <c r="B160" s="103" t="s">
        <v>9</v>
      </c>
      <c r="C160" s="103" t="s">
        <v>10</v>
      </c>
      <c r="D160" s="103" t="s">
        <v>43</v>
      </c>
      <c r="E160" s="103" t="s">
        <v>12</v>
      </c>
      <c r="F160" s="103" t="s">
        <v>13</v>
      </c>
      <c r="G160" s="103" t="s">
        <v>14</v>
      </c>
    </row>
    <row r="161" spans="1:7" ht="15.6" x14ac:dyDescent="0.3">
      <c r="A161" s="57"/>
      <c r="B161" s="58"/>
      <c r="C161" s="58"/>
      <c r="D161" s="95"/>
      <c r="E161" s="230"/>
      <c r="F161" s="230">
        <f t="shared" ref="F161:F171" si="5">A161*E161</f>
        <v>0</v>
      </c>
      <c r="G161" s="129"/>
    </row>
    <row r="162" spans="1:7" ht="15.6" x14ac:dyDescent="0.3">
      <c r="A162" s="63">
        <v>5</v>
      </c>
      <c r="B162" s="64" t="s">
        <v>112</v>
      </c>
      <c r="C162" s="64" t="s">
        <v>662</v>
      </c>
      <c r="D162" s="96" t="s">
        <v>663</v>
      </c>
      <c r="E162" s="239">
        <v>196.98</v>
      </c>
      <c r="F162" s="239">
        <f t="shared" si="5"/>
        <v>984.9</v>
      </c>
      <c r="G162" s="129"/>
    </row>
    <row r="163" spans="1:7" ht="15.6" x14ac:dyDescent="0.3">
      <c r="A163" s="63"/>
      <c r="B163" s="64"/>
      <c r="C163" s="64"/>
      <c r="D163" s="96"/>
      <c r="E163" s="239"/>
      <c r="F163" s="239">
        <f t="shared" si="5"/>
        <v>0</v>
      </c>
      <c r="G163" s="129"/>
    </row>
    <row r="164" spans="1:7" ht="15.6" x14ac:dyDescent="0.3">
      <c r="A164" s="63"/>
      <c r="B164" s="130"/>
      <c r="C164" s="130"/>
      <c r="D164" s="96"/>
      <c r="E164" s="239"/>
      <c r="F164" s="239">
        <f t="shared" si="5"/>
        <v>0</v>
      </c>
      <c r="G164" s="68"/>
    </row>
    <row r="165" spans="1:7" ht="15.6" x14ac:dyDescent="0.3">
      <c r="A165" s="63"/>
      <c r="B165" s="130"/>
      <c r="C165" s="130"/>
      <c r="D165" s="96"/>
      <c r="E165" s="239"/>
      <c r="F165" s="239">
        <f t="shared" si="5"/>
        <v>0</v>
      </c>
      <c r="G165" s="68"/>
    </row>
    <row r="166" spans="1:7" ht="15.6" x14ac:dyDescent="0.3">
      <c r="A166" s="69"/>
      <c r="B166" s="130"/>
      <c r="C166" s="130"/>
      <c r="D166" s="96"/>
      <c r="E166" s="239"/>
      <c r="F166" s="239">
        <f t="shared" si="5"/>
        <v>0</v>
      </c>
      <c r="G166" s="68"/>
    </row>
    <row r="167" spans="1:7" ht="15.6" x14ac:dyDescent="0.3">
      <c r="A167" s="69"/>
      <c r="B167" s="64"/>
      <c r="C167" s="64"/>
      <c r="D167" s="65"/>
      <c r="E167" s="239"/>
      <c r="F167" s="239">
        <f t="shared" si="5"/>
        <v>0</v>
      </c>
      <c r="G167" s="68"/>
    </row>
    <row r="168" spans="1:7" ht="15.6" x14ac:dyDescent="0.3">
      <c r="A168" s="69"/>
      <c r="B168" s="64"/>
      <c r="C168" s="64"/>
      <c r="D168" s="96"/>
      <c r="E168" s="239"/>
      <c r="F168" s="239">
        <f t="shared" si="5"/>
        <v>0</v>
      </c>
      <c r="G168" s="68"/>
    </row>
    <row r="169" spans="1:7" ht="15.6" x14ac:dyDescent="0.3">
      <c r="A169" s="69"/>
      <c r="B169" s="64"/>
      <c r="C169" s="64"/>
      <c r="D169" s="65"/>
      <c r="E169" s="239"/>
      <c r="F169" s="239">
        <f t="shared" si="5"/>
        <v>0</v>
      </c>
      <c r="G169" s="68"/>
    </row>
    <row r="170" spans="1:7" ht="15.6" x14ac:dyDescent="0.3">
      <c r="A170" s="69"/>
      <c r="B170" s="64"/>
      <c r="C170" s="64"/>
      <c r="D170" s="96"/>
      <c r="E170" s="239"/>
      <c r="F170" s="239">
        <f t="shared" si="5"/>
        <v>0</v>
      </c>
      <c r="G170" s="68"/>
    </row>
    <row r="171" spans="1:7" ht="15.6" x14ac:dyDescent="0.3">
      <c r="A171" s="70"/>
      <c r="B171" s="71"/>
      <c r="C171" s="71"/>
      <c r="D171" s="72"/>
      <c r="E171" s="240"/>
      <c r="F171" s="240">
        <f t="shared" si="5"/>
        <v>0</v>
      </c>
      <c r="G171" s="75"/>
    </row>
    <row r="172" spans="1:7" ht="17.399999999999999" x14ac:dyDescent="0.3">
      <c r="A172" s="76"/>
      <c r="B172" s="77"/>
      <c r="C172" s="114" t="s">
        <v>27</v>
      </c>
      <c r="D172" s="232"/>
      <c r="E172" s="247"/>
      <c r="F172" s="241">
        <f>SUM(F161:F170)</f>
        <v>984.9</v>
      </c>
      <c r="G172" s="80"/>
    </row>
    <row r="173" spans="1:7" ht="17.399999999999999" x14ac:dyDescent="0.3">
      <c r="A173" s="81"/>
      <c r="B173" s="82"/>
      <c r="C173" s="106" t="s">
        <v>28</v>
      </c>
      <c r="D173" s="234"/>
      <c r="E173" s="248"/>
      <c r="F173" s="242">
        <f>F172*0.16</f>
        <v>157.584</v>
      </c>
      <c r="G173" s="85"/>
    </row>
    <row r="174" spans="1:7" ht="17.399999999999999" x14ac:dyDescent="0.3">
      <c r="A174" s="81"/>
      <c r="B174" s="82"/>
      <c r="C174" s="107" t="s">
        <v>29</v>
      </c>
      <c r="D174" s="236"/>
      <c r="E174" s="249"/>
      <c r="F174" s="243">
        <f>F172+F173</f>
        <v>1142.4839999999999</v>
      </c>
      <c r="G174" s="88"/>
    </row>
    <row r="175" spans="1:7" ht="15.6" x14ac:dyDescent="0.3">
      <c r="A175" s="108" t="s">
        <v>30</v>
      </c>
      <c r="B175" s="89"/>
      <c r="C175" s="89" t="s">
        <v>31</v>
      </c>
      <c r="D175" s="232"/>
      <c r="E175" s="89" t="s">
        <v>32</v>
      </c>
      <c r="F175" s="89"/>
      <c r="G175" s="109"/>
    </row>
    <row r="176" spans="1:7" ht="15.6" x14ac:dyDescent="0.3">
      <c r="A176" s="134" t="s">
        <v>649</v>
      </c>
      <c r="B176" s="90"/>
      <c r="C176" s="90" t="s">
        <v>33</v>
      </c>
      <c r="D176" s="236"/>
      <c r="E176" s="90" t="s">
        <v>273</v>
      </c>
      <c r="F176" s="90"/>
      <c r="G176" s="110"/>
    </row>
  </sheetData>
  <mergeCells count="73">
    <mergeCell ref="C146:D146"/>
    <mergeCell ref="A147:B147"/>
    <mergeCell ref="E147:G147"/>
    <mergeCell ref="A148:B148"/>
    <mergeCell ref="E148:G148"/>
    <mergeCell ref="A152:C155"/>
    <mergeCell ref="D152:G152"/>
    <mergeCell ref="E153:F153"/>
    <mergeCell ref="E154:F154"/>
    <mergeCell ref="E155:F155"/>
    <mergeCell ref="E122:G122"/>
    <mergeCell ref="B123:G123"/>
    <mergeCell ref="B124:G124"/>
    <mergeCell ref="B125:G125"/>
    <mergeCell ref="C144:D144"/>
    <mergeCell ref="C145:D145"/>
    <mergeCell ref="B118:C121"/>
    <mergeCell ref="D118:G118"/>
    <mergeCell ref="D119:E119"/>
    <mergeCell ref="F119:G119"/>
    <mergeCell ref="D120:E120"/>
    <mergeCell ref="F120:G120"/>
    <mergeCell ref="D121:E121"/>
    <mergeCell ref="F121:G121"/>
    <mergeCell ref="A87:C90"/>
    <mergeCell ref="D87:G87"/>
    <mergeCell ref="E88:F88"/>
    <mergeCell ref="E89:F89"/>
    <mergeCell ref="E90:F90"/>
    <mergeCell ref="E92:G92"/>
    <mergeCell ref="A56:B56"/>
    <mergeCell ref="E56:G56"/>
    <mergeCell ref="A59:C62"/>
    <mergeCell ref="D59:G59"/>
    <mergeCell ref="E60:F60"/>
    <mergeCell ref="E61:F61"/>
    <mergeCell ref="E62:F62"/>
    <mergeCell ref="B40:G40"/>
    <mergeCell ref="C52:D52"/>
    <mergeCell ref="C53:D53"/>
    <mergeCell ref="C54:D54"/>
    <mergeCell ref="A55:B55"/>
    <mergeCell ref="E55:G55"/>
    <mergeCell ref="F35:G35"/>
    <mergeCell ref="D36:E36"/>
    <mergeCell ref="F36:G36"/>
    <mergeCell ref="E37:G37"/>
    <mergeCell ref="B38:G38"/>
    <mergeCell ref="B39:G39"/>
    <mergeCell ref="C27:D27"/>
    <mergeCell ref="A28:B28"/>
    <mergeCell ref="E28:G28"/>
    <mergeCell ref="A29:B29"/>
    <mergeCell ref="E29:G29"/>
    <mergeCell ref="B33:C36"/>
    <mergeCell ref="D33:G33"/>
    <mergeCell ref="D34:E34"/>
    <mergeCell ref="F34:G34"/>
    <mergeCell ref="D35:E35"/>
    <mergeCell ref="E8:G8"/>
    <mergeCell ref="B9:G9"/>
    <mergeCell ref="B10:G10"/>
    <mergeCell ref="B11:G11"/>
    <mergeCell ref="C25:D25"/>
    <mergeCell ref="C26:D26"/>
    <mergeCell ref="B4:C7"/>
    <mergeCell ref="D4:G4"/>
    <mergeCell ref="D5:E5"/>
    <mergeCell ref="F5:G5"/>
    <mergeCell ref="D6:E6"/>
    <mergeCell ref="F6:G6"/>
    <mergeCell ref="D7:E7"/>
    <mergeCell ref="F7:G7"/>
  </mergeCells>
  <dataValidations disablePrompts="1"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8 A55 A82 A114 A147 A175" xr:uid="{730E9FDB-F5CF-477E-A1EA-B852B0DC0761}">
      <formula1>0</formula1>
      <formula2>256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55916-AB5B-4C9C-9DB7-61956A9250FF}">
  <dimension ref="A5:K359"/>
  <sheetViews>
    <sheetView topLeftCell="A282" zoomScale="85" zoomScaleNormal="85" workbookViewId="0">
      <selection activeCell="D283" sqref="A283:G307"/>
    </sheetView>
  </sheetViews>
  <sheetFormatPr baseColWidth="10" defaultRowHeight="14.4" x14ac:dyDescent="0.3"/>
  <cols>
    <col min="1" max="1" width="23.5546875" customWidth="1"/>
    <col min="2" max="2" width="18.44140625" customWidth="1"/>
    <col min="3" max="3" width="36.21875" customWidth="1"/>
    <col min="4" max="4" width="26.6640625" customWidth="1"/>
    <col min="5" max="5" width="17.21875" customWidth="1"/>
    <col min="6" max="6" width="13.44140625" customWidth="1"/>
    <col min="7" max="7" width="22.88671875" customWidth="1"/>
  </cols>
  <sheetData>
    <row r="5" spans="1:7" ht="24.6" x14ac:dyDescent="0.3">
      <c r="A5" s="184" t="s">
        <v>48</v>
      </c>
      <c r="B5" s="197"/>
      <c r="C5" s="185"/>
      <c r="D5" s="200" t="s">
        <v>36</v>
      </c>
      <c r="E5" s="201"/>
      <c r="F5" s="201"/>
      <c r="G5" s="202"/>
    </row>
    <row r="6" spans="1:7" ht="21" x14ac:dyDescent="0.4">
      <c r="A6" s="186"/>
      <c r="B6" s="198"/>
      <c r="C6" s="187"/>
      <c r="D6" s="118" t="s">
        <v>1</v>
      </c>
      <c r="E6" s="196" t="s">
        <v>596</v>
      </c>
      <c r="F6" s="195"/>
      <c r="G6" s="115"/>
    </row>
    <row r="7" spans="1:7" ht="21" x14ac:dyDescent="0.4">
      <c r="A7" s="186"/>
      <c r="B7" s="198"/>
      <c r="C7" s="187"/>
      <c r="D7" s="118" t="s">
        <v>334</v>
      </c>
      <c r="E7" s="176">
        <v>23</v>
      </c>
      <c r="F7" s="195"/>
      <c r="G7" s="115"/>
    </row>
    <row r="8" spans="1:7" ht="30" x14ac:dyDescent="0.3">
      <c r="A8" s="188"/>
      <c r="B8" s="199"/>
      <c r="C8" s="189"/>
      <c r="D8" s="119" t="s">
        <v>38</v>
      </c>
      <c r="E8" s="180" t="s">
        <v>597</v>
      </c>
      <c r="F8" s="181"/>
      <c r="G8" s="117"/>
    </row>
    <row r="9" spans="1:7" ht="20.399999999999999" x14ac:dyDescent="0.35">
      <c r="A9" s="52" t="s">
        <v>39</v>
      </c>
      <c r="B9" s="53" t="s">
        <v>273</v>
      </c>
      <c r="C9" s="54"/>
      <c r="D9" s="54"/>
      <c r="E9" s="120"/>
      <c r="F9" s="121"/>
      <c r="G9" s="122"/>
    </row>
    <row r="10" spans="1:7" ht="20.399999999999999" x14ac:dyDescent="0.35">
      <c r="A10" s="52" t="s">
        <v>40</v>
      </c>
      <c r="B10" s="111" t="s">
        <v>440</v>
      </c>
      <c r="C10" s="112"/>
      <c r="D10" s="112"/>
      <c r="E10" s="123"/>
      <c r="F10" s="124"/>
      <c r="G10" s="125"/>
    </row>
    <row r="11" spans="1:7" ht="20.399999999999999" x14ac:dyDescent="0.35">
      <c r="A11" s="52" t="s">
        <v>41</v>
      </c>
      <c r="B11" s="111" t="s">
        <v>348</v>
      </c>
      <c r="C11" s="112"/>
      <c r="D11" s="112"/>
      <c r="E11" s="126"/>
      <c r="F11" s="127"/>
      <c r="G11" s="128"/>
    </row>
    <row r="12" spans="1:7" ht="20.399999999999999" x14ac:dyDescent="0.35">
      <c r="A12" s="52" t="s">
        <v>42</v>
      </c>
      <c r="B12" s="111" t="s">
        <v>441</v>
      </c>
      <c r="C12" s="112"/>
      <c r="D12" s="112"/>
      <c r="E12" s="112"/>
      <c r="F12" s="112"/>
      <c r="G12" s="113"/>
    </row>
    <row r="13" spans="1:7" ht="15" x14ac:dyDescent="0.3">
      <c r="A13" s="103" t="s">
        <v>8</v>
      </c>
      <c r="B13" s="103" t="s">
        <v>9</v>
      </c>
      <c r="C13" s="103" t="s">
        <v>10</v>
      </c>
      <c r="D13" s="103" t="s">
        <v>43</v>
      </c>
      <c r="E13" s="103" t="s">
        <v>12</v>
      </c>
      <c r="F13" s="103" t="s">
        <v>13</v>
      </c>
      <c r="G13" s="163" t="s">
        <v>14</v>
      </c>
    </row>
    <row r="14" spans="1:7" ht="15.6" x14ac:dyDescent="0.3">
      <c r="A14" s="57"/>
      <c r="B14" s="58"/>
      <c r="C14" s="58"/>
      <c r="D14" s="95"/>
      <c r="E14" s="60"/>
      <c r="F14" s="60">
        <f t="shared" ref="F14:F28" si="0">A14*E14</f>
        <v>0</v>
      </c>
      <c r="G14" s="129"/>
    </row>
    <row r="15" spans="1:7" ht="62.4" x14ac:dyDescent="0.3">
      <c r="A15" s="63">
        <v>2000</v>
      </c>
      <c r="B15" s="64" t="s">
        <v>112</v>
      </c>
      <c r="C15" s="64" t="s">
        <v>443</v>
      </c>
      <c r="D15" s="96"/>
      <c r="E15" s="66">
        <v>0.85</v>
      </c>
      <c r="F15" s="66">
        <f t="shared" si="0"/>
        <v>1700</v>
      </c>
      <c r="G15" s="129"/>
    </row>
    <row r="16" spans="1:7" ht="15.6" x14ac:dyDescent="0.3">
      <c r="A16" s="63"/>
      <c r="B16" s="64"/>
      <c r="C16" s="64"/>
      <c r="D16" s="96"/>
      <c r="E16" s="66"/>
      <c r="F16" s="66">
        <f t="shared" si="0"/>
        <v>0</v>
      </c>
      <c r="G16" s="129"/>
    </row>
    <row r="17" spans="1:7" ht="15.6" x14ac:dyDescent="0.3">
      <c r="A17" s="63"/>
      <c r="B17" s="130"/>
      <c r="C17" s="130"/>
      <c r="D17" s="96"/>
      <c r="E17" s="66"/>
      <c r="F17" s="66">
        <f t="shared" si="0"/>
        <v>0</v>
      </c>
      <c r="G17" s="68"/>
    </row>
    <row r="18" spans="1:7" ht="15.6" x14ac:dyDescent="0.3">
      <c r="A18" s="63"/>
      <c r="B18" s="130"/>
      <c r="C18" s="130"/>
      <c r="D18" s="96"/>
      <c r="E18" s="66"/>
      <c r="F18" s="66">
        <f t="shared" si="0"/>
        <v>0</v>
      </c>
      <c r="G18" s="68"/>
    </row>
    <row r="19" spans="1:7" ht="15.6" x14ac:dyDescent="0.3">
      <c r="A19" s="63"/>
      <c r="B19" s="130"/>
      <c r="C19" s="130"/>
      <c r="D19" s="96"/>
      <c r="E19" s="66"/>
      <c r="F19" s="66">
        <f t="shared" si="0"/>
        <v>0</v>
      </c>
      <c r="G19" s="68"/>
    </row>
    <row r="20" spans="1:7" ht="15.6" x14ac:dyDescent="0.3">
      <c r="A20" s="63"/>
      <c r="B20" s="130"/>
      <c r="C20" s="130"/>
      <c r="D20" s="96"/>
      <c r="E20" s="66"/>
      <c r="F20" s="66">
        <f t="shared" si="0"/>
        <v>0</v>
      </c>
      <c r="G20" s="68"/>
    </row>
    <row r="21" spans="1:7" ht="15.6" x14ac:dyDescent="0.3">
      <c r="A21" s="69"/>
      <c r="B21" s="130"/>
      <c r="C21" s="130"/>
      <c r="D21" s="96"/>
      <c r="E21" s="66"/>
      <c r="F21" s="66">
        <f t="shared" si="0"/>
        <v>0</v>
      </c>
      <c r="G21" s="68"/>
    </row>
    <row r="22" spans="1:7" ht="15.6" x14ac:dyDescent="0.3">
      <c r="A22" s="69"/>
      <c r="B22" s="130"/>
      <c r="C22" s="130"/>
      <c r="D22" s="96"/>
      <c r="E22" s="66"/>
      <c r="F22" s="66">
        <f t="shared" si="0"/>
        <v>0</v>
      </c>
      <c r="G22" s="68"/>
    </row>
    <row r="23" spans="1:7" ht="15.6" x14ac:dyDescent="0.3">
      <c r="A23" s="69"/>
      <c r="B23" s="64"/>
      <c r="C23" s="130"/>
      <c r="D23" s="96"/>
      <c r="E23" s="66"/>
      <c r="F23" s="66">
        <f t="shared" si="0"/>
        <v>0</v>
      </c>
      <c r="G23" s="68"/>
    </row>
    <row r="24" spans="1:7" ht="15.6" x14ac:dyDescent="0.3">
      <c r="A24" s="69"/>
      <c r="B24" s="64"/>
      <c r="C24" s="130"/>
      <c r="D24" s="96"/>
      <c r="E24" s="66"/>
      <c r="F24" s="66">
        <f t="shared" si="0"/>
        <v>0</v>
      </c>
      <c r="G24" s="68"/>
    </row>
    <row r="25" spans="1:7" ht="15.6" x14ac:dyDescent="0.3">
      <c r="A25" s="69"/>
      <c r="B25" s="64"/>
      <c r="C25" s="64"/>
      <c r="D25" s="65"/>
      <c r="E25" s="66"/>
      <c r="F25" s="66">
        <f t="shared" si="0"/>
        <v>0</v>
      </c>
      <c r="G25" s="68"/>
    </row>
    <row r="26" spans="1:7" ht="15.6" x14ac:dyDescent="0.3">
      <c r="A26" s="69"/>
      <c r="B26" s="64"/>
      <c r="C26" s="64"/>
      <c r="D26" s="65"/>
      <c r="E26" s="66"/>
      <c r="F26" s="66">
        <f t="shared" si="0"/>
        <v>0</v>
      </c>
      <c r="G26" s="68"/>
    </row>
    <row r="27" spans="1:7" ht="15.6" x14ac:dyDescent="0.3">
      <c r="A27" s="69"/>
      <c r="B27" s="64"/>
      <c r="C27" s="64"/>
      <c r="D27" s="65"/>
      <c r="E27" s="66"/>
      <c r="F27" s="66">
        <f t="shared" si="0"/>
        <v>0</v>
      </c>
      <c r="G27" s="68"/>
    </row>
    <row r="28" spans="1:7" ht="15.6" x14ac:dyDescent="0.3">
      <c r="A28" s="70"/>
      <c r="B28" s="71"/>
      <c r="C28" s="71"/>
      <c r="D28" s="72"/>
      <c r="E28" s="73"/>
      <c r="F28" s="73">
        <f t="shared" si="0"/>
        <v>0</v>
      </c>
      <c r="G28" s="75"/>
    </row>
    <row r="29" spans="1:7" ht="17.399999999999999" x14ac:dyDescent="0.3">
      <c r="A29" s="76"/>
      <c r="B29" s="77"/>
      <c r="C29" s="114" t="s">
        <v>27</v>
      </c>
      <c r="D29" s="114"/>
      <c r="E29" s="78"/>
      <c r="F29" s="131">
        <f>SUM(F14:F27)</f>
        <v>1700</v>
      </c>
      <c r="G29" s="80"/>
    </row>
    <row r="30" spans="1:7" ht="17.399999999999999" x14ac:dyDescent="0.3">
      <c r="A30" s="81"/>
      <c r="B30" s="82"/>
      <c r="C30" s="106" t="s">
        <v>28</v>
      </c>
      <c r="D30" s="106"/>
      <c r="E30" s="83"/>
      <c r="F30" s="132">
        <f>F29*0.16</f>
        <v>272</v>
      </c>
      <c r="G30" s="85"/>
    </row>
    <row r="31" spans="1:7" ht="17.399999999999999" x14ac:dyDescent="0.3">
      <c r="A31" s="81"/>
      <c r="B31" s="82"/>
      <c r="C31" s="107" t="s">
        <v>29</v>
      </c>
      <c r="D31" s="107"/>
      <c r="E31" s="86"/>
      <c r="F31" s="133">
        <f>F29+F30</f>
        <v>1972</v>
      </c>
      <c r="G31" s="88"/>
    </row>
    <row r="32" spans="1:7" ht="15.6" x14ac:dyDescent="0.3">
      <c r="A32" s="108" t="s">
        <v>30</v>
      </c>
      <c r="B32" s="89"/>
      <c r="C32" s="89" t="s">
        <v>31</v>
      </c>
      <c r="D32" s="89"/>
      <c r="E32" s="89" t="s">
        <v>32</v>
      </c>
      <c r="F32" s="89"/>
      <c r="G32" s="109"/>
    </row>
    <row r="33" spans="1:7" ht="15.6" x14ac:dyDescent="0.3">
      <c r="A33" s="134" t="s">
        <v>444</v>
      </c>
      <c r="B33" s="90"/>
      <c r="C33" s="90" t="s">
        <v>33</v>
      </c>
      <c r="D33" s="90"/>
      <c r="E33" s="90" t="s">
        <v>273</v>
      </c>
      <c r="F33" s="90"/>
      <c r="G33" s="110"/>
    </row>
    <row r="37" spans="1:7" ht="21" x14ac:dyDescent="0.4">
      <c r="A37" s="49"/>
      <c r="B37" s="184" t="s">
        <v>45</v>
      </c>
      <c r="C37" s="185"/>
      <c r="D37" s="190" t="s">
        <v>36</v>
      </c>
      <c r="E37" s="191"/>
      <c r="F37" s="191"/>
      <c r="G37" s="192"/>
    </row>
    <row r="38" spans="1:7" ht="21" x14ac:dyDescent="0.4">
      <c r="A38" s="50"/>
      <c r="B38" s="186"/>
      <c r="C38" s="187"/>
      <c r="D38" s="193" t="s">
        <v>1</v>
      </c>
      <c r="E38" s="194"/>
      <c r="F38" s="195" t="s">
        <v>596</v>
      </c>
      <c r="G38" s="177"/>
    </row>
    <row r="39" spans="1:7" ht="21" x14ac:dyDescent="0.4">
      <c r="A39" s="50"/>
      <c r="B39" s="186"/>
      <c r="C39" s="187"/>
      <c r="D39" s="193" t="s">
        <v>267</v>
      </c>
      <c r="E39" s="194"/>
      <c r="F39" s="176">
        <v>23</v>
      </c>
      <c r="G39" s="177"/>
    </row>
    <row r="40" spans="1:7" ht="21" x14ac:dyDescent="0.4">
      <c r="A40" s="51"/>
      <c r="B40" s="188"/>
      <c r="C40" s="189"/>
      <c r="D40" s="178" t="s">
        <v>38</v>
      </c>
      <c r="E40" s="179"/>
      <c r="F40" s="180" t="s">
        <v>598</v>
      </c>
      <c r="G40" s="181"/>
    </row>
    <row r="41" spans="1:7" ht="20.399999999999999" x14ac:dyDescent="0.35">
      <c r="A41" s="52" t="s">
        <v>39</v>
      </c>
      <c r="B41" s="53" t="s">
        <v>273</v>
      </c>
      <c r="C41" s="54"/>
      <c r="D41" s="54"/>
      <c r="E41" s="182" t="s">
        <v>599</v>
      </c>
      <c r="F41" s="182"/>
      <c r="G41" s="183"/>
    </row>
    <row r="42" spans="1:7" ht="20.399999999999999" x14ac:dyDescent="0.35">
      <c r="A42" s="52" t="s">
        <v>40</v>
      </c>
      <c r="B42" s="173"/>
      <c r="C42" s="174"/>
      <c r="D42" s="174"/>
      <c r="E42" s="174"/>
      <c r="F42" s="174"/>
      <c r="G42" s="175"/>
    </row>
    <row r="43" spans="1:7" ht="20.399999999999999" x14ac:dyDescent="0.35">
      <c r="A43" s="52" t="s">
        <v>41</v>
      </c>
      <c r="B43" s="173" t="s">
        <v>272</v>
      </c>
      <c r="C43" s="174"/>
      <c r="D43" s="174"/>
      <c r="E43" s="174"/>
      <c r="F43" s="174"/>
      <c r="G43" s="175"/>
    </row>
    <row r="44" spans="1:7" ht="20.399999999999999" x14ac:dyDescent="0.35">
      <c r="A44" s="52" t="s">
        <v>42</v>
      </c>
      <c r="B44" s="173" t="s">
        <v>7</v>
      </c>
      <c r="C44" s="174"/>
      <c r="D44" s="174"/>
      <c r="E44" s="174"/>
      <c r="F44" s="174"/>
      <c r="G44" s="175"/>
    </row>
    <row r="45" spans="1:7" ht="15" x14ac:dyDescent="0.3">
      <c r="A45" s="103" t="s">
        <v>8</v>
      </c>
      <c r="B45" s="103" t="s">
        <v>9</v>
      </c>
      <c r="C45" s="103" t="s">
        <v>10</v>
      </c>
      <c r="D45" s="103" t="s">
        <v>43</v>
      </c>
      <c r="E45" s="103" t="s">
        <v>12</v>
      </c>
      <c r="F45" s="103" t="s">
        <v>13</v>
      </c>
      <c r="G45" s="103" t="s">
        <v>14</v>
      </c>
    </row>
    <row r="46" spans="1:7" ht="15.6" x14ac:dyDescent="0.3">
      <c r="A46" s="57">
        <v>40</v>
      </c>
      <c r="B46" s="58" t="s">
        <v>65</v>
      </c>
      <c r="C46" s="58" t="s">
        <v>580</v>
      </c>
      <c r="D46" s="59"/>
      <c r="E46" s="60">
        <v>80</v>
      </c>
      <c r="F46" s="61">
        <f t="shared" ref="F46:F55" si="1">A46*E46</f>
        <v>3200</v>
      </c>
      <c r="G46" s="62"/>
    </row>
    <row r="47" spans="1:7" ht="15.6" x14ac:dyDescent="0.3">
      <c r="A47" s="63">
        <v>100</v>
      </c>
      <c r="B47" s="64" t="s">
        <v>65</v>
      </c>
      <c r="C47" s="64" t="s">
        <v>64</v>
      </c>
      <c r="D47" s="65"/>
      <c r="E47" s="66">
        <v>111</v>
      </c>
      <c r="F47" s="67">
        <f t="shared" si="1"/>
        <v>11100</v>
      </c>
      <c r="G47" s="68"/>
    </row>
    <row r="48" spans="1:7" ht="31.2" x14ac:dyDescent="0.3">
      <c r="A48" s="63">
        <v>5</v>
      </c>
      <c r="B48" s="64" t="s">
        <v>281</v>
      </c>
      <c r="C48" s="64" t="s">
        <v>600</v>
      </c>
      <c r="D48" s="65">
        <v>170451</v>
      </c>
      <c r="E48" s="66">
        <v>446.9</v>
      </c>
      <c r="F48" s="67">
        <f t="shared" si="1"/>
        <v>2234.5</v>
      </c>
      <c r="G48" s="68"/>
    </row>
    <row r="49" spans="1:7" ht="31.2" x14ac:dyDescent="0.3">
      <c r="A49" s="63">
        <v>8</v>
      </c>
      <c r="B49" s="64" t="s">
        <v>601</v>
      </c>
      <c r="C49" s="64" t="s">
        <v>602</v>
      </c>
      <c r="D49" s="65">
        <v>133902</v>
      </c>
      <c r="E49" s="66">
        <v>46.19</v>
      </c>
      <c r="F49" s="67">
        <f t="shared" si="1"/>
        <v>369.52</v>
      </c>
      <c r="G49" s="68"/>
    </row>
    <row r="50" spans="1:7" ht="31.2" x14ac:dyDescent="0.3">
      <c r="A50" s="69">
        <v>5</v>
      </c>
      <c r="B50" s="64" t="s">
        <v>601</v>
      </c>
      <c r="C50" s="64" t="s">
        <v>603</v>
      </c>
      <c r="D50" s="65">
        <v>711819</v>
      </c>
      <c r="E50" s="66">
        <v>57.26</v>
      </c>
      <c r="F50" s="67">
        <f t="shared" si="1"/>
        <v>286.3</v>
      </c>
      <c r="G50" s="68"/>
    </row>
    <row r="51" spans="1:7" ht="31.2" x14ac:dyDescent="0.3">
      <c r="A51" s="69">
        <v>10</v>
      </c>
      <c r="B51" s="64" t="s">
        <v>112</v>
      </c>
      <c r="C51" s="64" t="s">
        <v>604</v>
      </c>
      <c r="D51" s="65">
        <v>165128</v>
      </c>
      <c r="E51" s="66">
        <v>57.7</v>
      </c>
      <c r="F51" s="67">
        <f t="shared" si="1"/>
        <v>577</v>
      </c>
      <c r="G51" s="68"/>
    </row>
    <row r="52" spans="1:7" ht="15.6" x14ac:dyDescent="0.3">
      <c r="A52" s="69"/>
      <c r="B52" s="64"/>
      <c r="C52" s="64"/>
      <c r="D52" s="65"/>
      <c r="E52" s="66"/>
      <c r="F52" s="67">
        <f t="shared" si="1"/>
        <v>0</v>
      </c>
      <c r="G52" s="68"/>
    </row>
    <row r="53" spans="1:7" ht="15.6" x14ac:dyDescent="0.3">
      <c r="A53" s="69"/>
      <c r="B53" s="64"/>
      <c r="C53" s="64"/>
      <c r="D53" s="65"/>
      <c r="E53" s="66"/>
      <c r="F53" s="67">
        <f t="shared" si="1"/>
        <v>0</v>
      </c>
      <c r="G53" s="68"/>
    </row>
    <row r="54" spans="1:7" ht="15.6" x14ac:dyDescent="0.3">
      <c r="A54" s="69"/>
      <c r="B54" s="64"/>
      <c r="C54" s="64"/>
      <c r="D54" s="65"/>
      <c r="E54" s="66"/>
      <c r="F54" s="67">
        <f t="shared" si="1"/>
        <v>0</v>
      </c>
      <c r="G54" s="68"/>
    </row>
    <row r="55" spans="1:7" ht="15.6" x14ac:dyDescent="0.3">
      <c r="A55" s="70"/>
      <c r="B55" s="71"/>
      <c r="C55" s="71"/>
      <c r="D55" s="72"/>
      <c r="E55" s="73"/>
      <c r="F55" s="74">
        <f t="shared" si="1"/>
        <v>0</v>
      </c>
      <c r="G55" s="75"/>
    </row>
    <row r="56" spans="1:7" ht="17.399999999999999" x14ac:dyDescent="0.3">
      <c r="A56" s="76"/>
      <c r="B56" s="77"/>
      <c r="C56" s="164" t="s">
        <v>27</v>
      </c>
      <c r="D56" s="164"/>
      <c r="E56" s="78"/>
      <c r="F56" s="79">
        <f>SUM(F46:F54)</f>
        <v>17767.32</v>
      </c>
      <c r="G56" s="80"/>
    </row>
    <row r="57" spans="1:7" ht="17.399999999999999" x14ac:dyDescent="0.3">
      <c r="A57" s="81"/>
      <c r="B57" s="82"/>
      <c r="C57" s="165" t="s">
        <v>28</v>
      </c>
      <c r="D57" s="165"/>
      <c r="E57" s="83"/>
      <c r="F57" s="84">
        <f>F56*0.16</f>
        <v>2842.7712000000001</v>
      </c>
      <c r="G57" s="85"/>
    </row>
    <row r="58" spans="1:7" ht="17.399999999999999" x14ac:dyDescent="0.3">
      <c r="A58" s="81"/>
      <c r="B58" s="82"/>
      <c r="C58" s="166" t="s">
        <v>29</v>
      </c>
      <c r="D58" s="166"/>
      <c r="E58" s="86"/>
      <c r="F58" s="87">
        <f>F56+F57</f>
        <v>20610.091199999999</v>
      </c>
      <c r="G58" s="88"/>
    </row>
    <row r="59" spans="1:7" ht="15.6" x14ac:dyDescent="0.3">
      <c r="A59" s="167" t="s">
        <v>30</v>
      </c>
      <c r="B59" s="168"/>
      <c r="C59" s="89" t="s">
        <v>31</v>
      </c>
      <c r="D59" s="89"/>
      <c r="E59" s="168" t="s">
        <v>32</v>
      </c>
      <c r="F59" s="168"/>
      <c r="G59" s="169"/>
    </row>
    <row r="60" spans="1:7" ht="15.6" x14ac:dyDescent="0.3">
      <c r="A60" s="170" t="s">
        <v>444</v>
      </c>
      <c r="B60" s="171"/>
      <c r="C60" s="104" t="s">
        <v>33</v>
      </c>
      <c r="D60" s="90"/>
      <c r="E60" s="171" t="s">
        <v>273</v>
      </c>
      <c r="F60" s="171"/>
      <c r="G60" s="172"/>
    </row>
    <row r="64" spans="1:7" ht="24.6" x14ac:dyDescent="0.3">
      <c r="A64" s="184" t="s">
        <v>48</v>
      </c>
      <c r="B64" s="197"/>
      <c r="C64" s="185"/>
      <c r="D64" s="200" t="s">
        <v>36</v>
      </c>
      <c r="E64" s="201"/>
      <c r="F64" s="201"/>
      <c r="G64" s="202"/>
    </row>
    <row r="65" spans="1:7" ht="21" x14ac:dyDescent="0.4">
      <c r="A65" s="186"/>
      <c r="B65" s="198"/>
      <c r="C65" s="187"/>
      <c r="D65" s="118" t="s">
        <v>1</v>
      </c>
      <c r="E65" s="196" t="s">
        <v>596</v>
      </c>
      <c r="F65" s="195"/>
      <c r="G65" s="115"/>
    </row>
    <row r="66" spans="1:7" ht="21" x14ac:dyDescent="0.4">
      <c r="A66" s="186"/>
      <c r="B66" s="198"/>
      <c r="C66" s="187"/>
      <c r="D66" s="118" t="s">
        <v>334</v>
      </c>
      <c r="E66" s="176">
        <v>23</v>
      </c>
      <c r="F66" s="195"/>
      <c r="G66" s="115"/>
    </row>
    <row r="67" spans="1:7" ht="30" x14ac:dyDescent="0.3">
      <c r="A67" s="188"/>
      <c r="B67" s="199"/>
      <c r="C67" s="189"/>
      <c r="D67" s="119" t="s">
        <v>38</v>
      </c>
      <c r="E67" s="180" t="s">
        <v>611</v>
      </c>
      <c r="F67" s="181"/>
      <c r="G67" s="117"/>
    </row>
    <row r="68" spans="1:7" ht="20.399999999999999" x14ac:dyDescent="0.35">
      <c r="A68" s="52" t="s">
        <v>39</v>
      </c>
      <c r="B68" s="53" t="s">
        <v>354</v>
      </c>
      <c r="C68" s="54"/>
      <c r="D68" s="54"/>
      <c r="E68" s="54" t="s">
        <v>612</v>
      </c>
      <c r="F68" s="54"/>
      <c r="G68" s="98"/>
    </row>
    <row r="69" spans="1:7" ht="20.399999999999999" x14ac:dyDescent="0.35">
      <c r="A69" s="52" t="s">
        <v>40</v>
      </c>
      <c r="B69" s="111"/>
      <c r="C69" s="112"/>
      <c r="D69" s="112"/>
      <c r="E69" s="112"/>
      <c r="F69" s="112"/>
      <c r="G69" s="113"/>
    </row>
    <row r="70" spans="1:7" ht="20.399999999999999" x14ac:dyDescent="0.35">
      <c r="A70" s="52" t="s">
        <v>41</v>
      </c>
      <c r="B70" s="173" t="s">
        <v>400</v>
      </c>
      <c r="C70" s="174"/>
      <c r="D70" s="174"/>
      <c r="E70" s="174"/>
      <c r="F70" s="174"/>
      <c r="G70" s="175"/>
    </row>
    <row r="71" spans="1:7" ht="20.399999999999999" x14ac:dyDescent="0.35">
      <c r="A71" s="52" t="s">
        <v>42</v>
      </c>
      <c r="B71" s="111" t="s">
        <v>356</v>
      </c>
      <c r="C71" s="112"/>
      <c r="D71" s="112"/>
      <c r="E71" s="112"/>
      <c r="F71" s="112"/>
      <c r="G71" s="113"/>
    </row>
    <row r="72" spans="1:7" ht="15" x14ac:dyDescent="0.3">
      <c r="A72" s="103" t="s">
        <v>8</v>
      </c>
      <c r="B72" s="103" t="s">
        <v>9</v>
      </c>
      <c r="C72" s="103" t="s">
        <v>10</v>
      </c>
      <c r="D72" s="103" t="s">
        <v>43</v>
      </c>
      <c r="E72" s="103" t="s">
        <v>12</v>
      </c>
      <c r="F72" s="103" t="s">
        <v>13</v>
      </c>
      <c r="G72" s="103" t="s">
        <v>14</v>
      </c>
    </row>
    <row r="73" spans="1:7" ht="31.2" x14ac:dyDescent="0.3">
      <c r="A73" s="57">
        <v>280</v>
      </c>
      <c r="B73" s="58" t="s">
        <v>112</v>
      </c>
      <c r="C73" s="58" t="s">
        <v>605</v>
      </c>
      <c r="D73" s="95"/>
      <c r="E73" s="60">
        <v>4.33</v>
      </c>
      <c r="F73" s="60">
        <f t="shared" ref="F73:F87" si="2">A73*E73</f>
        <v>1212.4000000000001</v>
      </c>
      <c r="G73" s="129"/>
    </row>
    <row r="74" spans="1:7" ht="31.2" x14ac:dyDescent="0.3">
      <c r="A74" s="63">
        <v>5</v>
      </c>
      <c r="B74" s="64" t="s">
        <v>112</v>
      </c>
      <c r="C74" s="64" t="s">
        <v>606</v>
      </c>
      <c r="D74" s="96"/>
      <c r="E74" s="66">
        <v>149.44999999999999</v>
      </c>
      <c r="F74" s="66">
        <f t="shared" si="2"/>
        <v>747.25</v>
      </c>
      <c r="G74" s="129"/>
    </row>
    <row r="75" spans="1:7" ht="31.2" x14ac:dyDescent="0.3">
      <c r="A75" s="63">
        <v>5</v>
      </c>
      <c r="B75" s="64" t="s">
        <v>112</v>
      </c>
      <c r="C75" s="64" t="s">
        <v>607</v>
      </c>
      <c r="D75" s="96"/>
      <c r="E75" s="66">
        <v>12.9</v>
      </c>
      <c r="F75" s="66">
        <f t="shared" si="2"/>
        <v>64.5</v>
      </c>
      <c r="G75" s="129"/>
    </row>
    <row r="76" spans="1:7" ht="31.2" x14ac:dyDescent="0.3">
      <c r="A76" s="63">
        <v>5</v>
      </c>
      <c r="B76" s="130" t="s">
        <v>112</v>
      </c>
      <c r="C76" s="130" t="s">
        <v>608</v>
      </c>
      <c r="D76" s="96"/>
      <c r="E76" s="66">
        <v>11.97</v>
      </c>
      <c r="F76" s="66">
        <f t="shared" si="2"/>
        <v>59.85</v>
      </c>
      <c r="G76" s="68"/>
    </row>
    <row r="77" spans="1:7" ht="15.6" x14ac:dyDescent="0.3">
      <c r="A77" s="63"/>
      <c r="B77" s="130"/>
      <c r="C77" s="130"/>
      <c r="D77" s="96"/>
      <c r="E77" s="66"/>
      <c r="F77" s="66">
        <f>A77*E77</f>
        <v>0</v>
      </c>
      <c r="G77" s="68"/>
    </row>
    <row r="78" spans="1:7" ht="15.6" x14ac:dyDescent="0.3">
      <c r="A78" s="63"/>
      <c r="B78" s="130"/>
      <c r="C78" s="130"/>
      <c r="D78" s="96"/>
      <c r="E78" s="66"/>
      <c r="F78" s="66">
        <f>A78*E78</f>
        <v>0</v>
      </c>
      <c r="G78" s="68"/>
    </row>
    <row r="79" spans="1:7" ht="15.6" x14ac:dyDescent="0.3">
      <c r="A79" s="63"/>
      <c r="B79" s="130"/>
      <c r="C79" s="130"/>
      <c r="D79" s="96"/>
      <c r="E79" s="66"/>
      <c r="F79" s="66">
        <f t="shared" si="2"/>
        <v>0</v>
      </c>
      <c r="G79" s="68"/>
    </row>
    <row r="80" spans="1:7" ht="15.6" x14ac:dyDescent="0.3">
      <c r="A80" s="69"/>
      <c r="B80" s="130"/>
      <c r="C80" s="130"/>
      <c r="D80" s="96"/>
      <c r="E80" s="66"/>
      <c r="F80" s="66">
        <f t="shared" si="2"/>
        <v>0</v>
      </c>
      <c r="G80" s="68"/>
    </row>
    <row r="81" spans="1:7" ht="15.6" x14ac:dyDescent="0.3">
      <c r="A81" s="69"/>
      <c r="B81" s="130"/>
      <c r="C81" s="130"/>
      <c r="D81" s="135"/>
      <c r="E81" s="66"/>
      <c r="F81" s="66">
        <f t="shared" si="2"/>
        <v>0</v>
      </c>
      <c r="G81" s="68"/>
    </row>
    <row r="82" spans="1:7" ht="15.6" x14ac:dyDescent="0.3">
      <c r="A82" s="69"/>
      <c r="B82" s="64"/>
      <c r="C82" s="64"/>
      <c r="D82" s="65"/>
      <c r="E82" s="66"/>
      <c r="F82" s="66">
        <f t="shared" si="2"/>
        <v>0</v>
      </c>
      <c r="G82" s="68"/>
    </row>
    <row r="83" spans="1:7" ht="15.6" x14ac:dyDescent="0.3">
      <c r="A83" s="69"/>
      <c r="B83" s="64"/>
      <c r="C83" s="64"/>
      <c r="D83" s="65"/>
      <c r="E83" s="66"/>
      <c r="F83" s="66">
        <f t="shared" si="2"/>
        <v>0</v>
      </c>
      <c r="G83" s="68"/>
    </row>
    <row r="84" spans="1:7" ht="15.6" x14ac:dyDescent="0.3">
      <c r="A84" s="69"/>
      <c r="B84" s="64"/>
      <c r="C84" s="64"/>
      <c r="D84" s="65"/>
      <c r="E84" s="66"/>
      <c r="F84" s="66">
        <f t="shared" si="2"/>
        <v>0</v>
      </c>
      <c r="G84" s="68"/>
    </row>
    <row r="85" spans="1:7" ht="15.6" x14ac:dyDescent="0.3">
      <c r="A85" s="69"/>
      <c r="B85" s="64"/>
      <c r="C85" s="64"/>
      <c r="D85" s="65"/>
      <c r="E85" s="66"/>
      <c r="F85" s="66">
        <f t="shared" si="2"/>
        <v>0</v>
      </c>
      <c r="G85" s="68"/>
    </row>
    <row r="86" spans="1:7" ht="15.6" x14ac:dyDescent="0.3">
      <c r="A86" s="69"/>
      <c r="B86" s="64"/>
      <c r="C86" s="64"/>
      <c r="D86" s="65"/>
      <c r="E86" s="66"/>
      <c r="F86" s="66">
        <f t="shared" si="2"/>
        <v>0</v>
      </c>
      <c r="G86" s="68"/>
    </row>
    <row r="87" spans="1:7" ht="15.6" x14ac:dyDescent="0.3">
      <c r="A87" s="70"/>
      <c r="B87" s="71"/>
      <c r="C87" s="71"/>
      <c r="D87" s="72"/>
      <c r="E87" s="73"/>
      <c r="F87" s="73">
        <f t="shared" si="2"/>
        <v>0</v>
      </c>
      <c r="G87" s="75"/>
    </row>
    <row r="88" spans="1:7" ht="17.399999999999999" x14ac:dyDescent="0.3">
      <c r="A88" s="76"/>
      <c r="B88" s="77"/>
      <c r="C88" s="114" t="s">
        <v>27</v>
      </c>
      <c r="D88" s="114"/>
      <c r="E88" s="78"/>
      <c r="F88" s="79">
        <f>SUM(F73:F86)</f>
        <v>2084</v>
      </c>
      <c r="G88" s="80"/>
    </row>
    <row r="89" spans="1:7" ht="17.399999999999999" x14ac:dyDescent="0.3">
      <c r="A89" s="81"/>
      <c r="B89" s="82"/>
      <c r="C89" s="106" t="s">
        <v>28</v>
      </c>
      <c r="D89" s="106"/>
      <c r="E89" s="83"/>
      <c r="F89" s="84">
        <f>F88*0.16</f>
        <v>333.44</v>
      </c>
      <c r="G89" s="85"/>
    </row>
    <row r="90" spans="1:7" ht="17.399999999999999" x14ac:dyDescent="0.3">
      <c r="A90" s="81"/>
      <c r="B90" s="82"/>
      <c r="C90" s="107" t="s">
        <v>29</v>
      </c>
      <c r="D90" s="107"/>
      <c r="E90" s="86"/>
      <c r="F90" s="87">
        <f>F88+F89</f>
        <v>2417.44</v>
      </c>
      <c r="G90" s="88"/>
    </row>
    <row r="91" spans="1:7" ht="15.6" x14ac:dyDescent="0.3">
      <c r="A91" s="108" t="s">
        <v>30</v>
      </c>
      <c r="B91" s="89"/>
      <c r="C91" s="89" t="s">
        <v>31</v>
      </c>
      <c r="D91" s="89"/>
      <c r="E91" s="89" t="s">
        <v>32</v>
      </c>
      <c r="F91" s="89"/>
      <c r="G91" s="109"/>
    </row>
    <row r="92" spans="1:7" ht="15.6" x14ac:dyDescent="0.3">
      <c r="A92" s="134" t="s">
        <v>444</v>
      </c>
      <c r="B92" s="90"/>
      <c r="C92" s="90" t="s">
        <v>33</v>
      </c>
      <c r="D92" s="90"/>
      <c r="E92" s="90" t="s">
        <v>354</v>
      </c>
      <c r="F92" s="90"/>
      <c r="G92" s="110"/>
    </row>
    <row r="96" spans="1:7" ht="24.6" x14ac:dyDescent="0.3">
      <c r="A96" s="184" t="s">
        <v>48</v>
      </c>
      <c r="B96" s="197"/>
      <c r="C96" s="185"/>
      <c r="D96" s="200" t="s">
        <v>36</v>
      </c>
      <c r="E96" s="201"/>
      <c r="F96" s="201"/>
      <c r="G96" s="202"/>
    </row>
    <row r="97" spans="1:7" ht="21" x14ac:dyDescent="0.4">
      <c r="A97" s="186"/>
      <c r="B97" s="198"/>
      <c r="C97" s="187"/>
      <c r="D97" s="118" t="s">
        <v>1</v>
      </c>
      <c r="E97" s="196" t="s">
        <v>596</v>
      </c>
      <c r="F97" s="195"/>
      <c r="G97" s="115"/>
    </row>
    <row r="98" spans="1:7" ht="21" x14ac:dyDescent="0.4">
      <c r="A98" s="186"/>
      <c r="B98" s="198"/>
      <c r="C98" s="187"/>
      <c r="D98" s="118" t="s">
        <v>334</v>
      </c>
      <c r="E98" s="176">
        <v>23</v>
      </c>
      <c r="F98" s="195"/>
      <c r="G98" s="115"/>
    </row>
    <row r="99" spans="1:7" ht="30" x14ac:dyDescent="0.3">
      <c r="A99" s="188"/>
      <c r="B99" s="199"/>
      <c r="C99" s="189"/>
      <c r="D99" s="119" t="s">
        <v>38</v>
      </c>
      <c r="E99" s="180" t="s">
        <v>613</v>
      </c>
      <c r="F99" s="181"/>
      <c r="G99" s="117"/>
    </row>
    <row r="100" spans="1:7" ht="20.399999999999999" x14ac:dyDescent="0.35">
      <c r="A100" s="52" t="s">
        <v>39</v>
      </c>
      <c r="B100" s="53" t="s">
        <v>354</v>
      </c>
      <c r="C100" s="54"/>
      <c r="D100" s="54"/>
      <c r="E100" s="54" t="s">
        <v>612</v>
      </c>
      <c r="F100" s="54"/>
      <c r="G100" s="98"/>
    </row>
    <row r="101" spans="1:7" ht="20.399999999999999" x14ac:dyDescent="0.35">
      <c r="A101" s="52" t="s">
        <v>40</v>
      </c>
      <c r="B101" s="111" t="s">
        <v>610</v>
      </c>
      <c r="C101" s="112"/>
      <c r="D101" s="112"/>
      <c r="E101" s="112"/>
      <c r="F101" s="112"/>
      <c r="G101" s="113"/>
    </row>
    <row r="102" spans="1:7" ht="20.399999999999999" x14ac:dyDescent="0.35">
      <c r="A102" s="52" t="s">
        <v>41</v>
      </c>
      <c r="B102" s="173" t="s">
        <v>400</v>
      </c>
      <c r="C102" s="174"/>
      <c r="D102" s="174"/>
      <c r="E102" s="174"/>
      <c r="F102" s="174"/>
      <c r="G102" s="175"/>
    </row>
    <row r="103" spans="1:7" ht="20.399999999999999" x14ac:dyDescent="0.35">
      <c r="A103" s="52" t="s">
        <v>42</v>
      </c>
      <c r="B103" s="111" t="s">
        <v>361</v>
      </c>
      <c r="C103" s="112"/>
      <c r="D103" s="112"/>
      <c r="E103" s="112"/>
      <c r="F103" s="112"/>
      <c r="G103" s="113"/>
    </row>
    <row r="104" spans="1:7" ht="15" x14ac:dyDescent="0.3">
      <c r="A104" s="103" t="s">
        <v>8</v>
      </c>
      <c r="B104" s="103" t="s">
        <v>9</v>
      </c>
      <c r="C104" s="103" t="s">
        <v>10</v>
      </c>
      <c r="D104" s="103" t="s">
        <v>43</v>
      </c>
      <c r="E104" s="103" t="s">
        <v>12</v>
      </c>
      <c r="F104" s="103" t="s">
        <v>13</v>
      </c>
      <c r="G104" s="103" t="s">
        <v>14</v>
      </c>
    </row>
    <row r="105" spans="1:7" ht="46.8" x14ac:dyDescent="0.3">
      <c r="A105" s="57">
        <v>5</v>
      </c>
      <c r="B105" s="58" t="s">
        <v>112</v>
      </c>
      <c r="C105" s="58" t="s">
        <v>609</v>
      </c>
      <c r="D105" s="95"/>
      <c r="E105" s="60">
        <v>198.8</v>
      </c>
      <c r="F105" s="60">
        <f t="shared" ref="F105:F108" si="3">A105*E105</f>
        <v>994</v>
      </c>
      <c r="G105" s="129"/>
    </row>
    <row r="106" spans="1:7" ht="15.6" x14ac:dyDescent="0.3">
      <c r="A106" s="63"/>
      <c r="B106" s="64"/>
      <c r="C106" s="64"/>
      <c r="D106" s="96"/>
      <c r="E106" s="66"/>
      <c r="F106" s="66">
        <f t="shared" si="3"/>
        <v>0</v>
      </c>
      <c r="G106" s="129"/>
    </row>
    <row r="107" spans="1:7" ht="15.6" x14ac:dyDescent="0.3">
      <c r="A107" s="63"/>
      <c r="B107" s="64"/>
      <c r="C107" s="64"/>
      <c r="D107" s="96"/>
      <c r="E107" s="66"/>
      <c r="F107" s="66">
        <f t="shared" si="3"/>
        <v>0</v>
      </c>
      <c r="G107" s="129"/>
    </row>
    <row r="108" spans="1:7" ht="15.6" x14ac:dyDescent="0.3">
      <c r="A108" s="63"/>
      <c r="B108" s="130"/>
      <c r="C108" s="130"/>
      <c r="D108" s="96"/>
      <c r="E108" s="66"/>
      <c r="F108" s="66">
        <f t="shared" si="3"/>
        <v>0</v>
      </c>
      <c r="G108" s="68"/>
    </row>
    <row r="109" spans="1:7" ht="15.6" x14ac:dyDescent="0.3">
      <c r="A109" s="63"/>
      <c r="B109" s="130"/>
      <c r="C109" s="130"/>
      <c r="D109" s="96"/>
      <c r="E109" s="66"/>
      <c r="F109" s="66">
        <f>A109*E109</f>
        <v>0</v>
      </c>
      <c r="G109" s="68"/>
    </row>
    <row r="110" spans="1:7" ht="15.6" x14ac:dyDescent="0.3">
      <c r="A110" s="63"/>
      <c r="B110" s="130"/>
      <c r="C110" s="130"/>
      <c r="D110" s="96"/>
      <c r="E110" s="66"/>
      <c r="F110" s="66">
        <f>A110*E110</f>
        <v>0</v>
      </c>
      <c r="G110" s="68"/>
    </row>
    <row r="111" spans="1:7" ht="15.6" x14ac:dyDescent="0.3">
      <c r="A111" s="63"/>
      <c r="B111" s="130"/>
      <c r="C111" s="130"/>
      <c r="D111" s="96"/>
      <c r="E111" s="66"/>
      <c r="F111" s="66">
        <f t="shared" ref="F111:F119" si="4">A111*E111</f>
        <v>0</v>
      </c>
      <c r="G111" s="68"/>
    </row>
    <row r="112" spans="1:7" ht="15.6" x14ac:dyDescent="0.3">
      <c r="A112" s="69"/>
      <c r="B112" s="130"/>
      <c r="C112" s="130"/>
      <c r="D112" s="96"/>
      <c r="E112" s="66"/>
      <c r="F112" s="66">
        <f t="shared" si="4"/>
        <v>0</v>
      </c>
      <c r="G112" s="68"/>
    </row>
    <row r="113" spans="1:7" ht="15.6" x14ac:dyDescent="0.3">
      <c r="A113" s="69"/>
      <c r="B113" s="130"/>
      <c r="C113" s="130"/>
      <c r="D113" s="135"/>
      <c r="E113" s="66"/>
      <c r="F113" s="66">
        <f t="shared" si="4"/>
        <v>0</v>
      </c>
      <c r="G113" s="68"/>
    </row>
    <row r="114" spans="1:7" ht="15.6" x14ac:dyDescent="0.3">
      <c r="A114" s="69"/>
      <c r="B114" s="64"/>
      <c r="C114" s="64"/>
      <c r="D114" s="65"/>
      <c r="E114" s="66"/>
      <c r="F114" s="66">
        <f t="shared" si="4"/>
        <v>0</v>
      </c>
      <c r="G114" s="68"/>
    </row>
    <row r="115" spans="1:7" ht="15.6" x14ac:dyDescent="0.3">
      <c r="A115" s="69"/>
      <c r="B115" s="64"/>
      <c r="C115" s="64"/>
      <c r="D115" s="65"/>
      <c r="E115" s="66"/>
      <c r="F115" s="66">
        <f t="shared" si="4"/>
        <v>0</v>
      </c>
      <c r="G115" s="68"/>
    </row>
    <row r="116" spans="1:7" ht="15.6" x14ac:dyDescent="0.3">
      <c r="A116" s="69"/>
      <c r="B116" s="64"/>
      <c r="C116" s="64"/>
      <c r="D116" s="65"/>
      <c r="E116" s="66"/>
      <c r="F116" s="66">
        <f t="shared" si="4"/>
        <v>0</v>
      </c>
      <c r="G116" s="68"/>
    </row>
    <row r="117" spans="1:7" ht="15.6" x14ac:dyDescent="0.3">
      <c r="A117" s="69"/>
      <c r="B117" s="64"/>
      <c r="C117" s="64"/>
      <c r="D117" s="65"/>
      <c r="E117" s="66"/>
      <c r="F117" s="66">
        <f t="shared" si="4"/>
        <v>0</v>
      </c>
      <c r="G117" s="68"/>
    </row>
    <row r="118" spans="1:7" ht="15.6" x14ac:dyDescent="0.3">
      <c r="A118" s="69"/>
      <c r="B118" s="64"/>
      <c r="C118" s="64"/>
      <c r="D118" s="65"/>
      <c r="E118" s="66"/>
      <c r="F118" s="66">
        <f t="shared" si="4"/>
        <v>0</v>
      </c>
      <c r="G118" s="68"/>
    </row>
    <row r="119" spans="1:7" ht="15.6" x14ac:dyDescent="0.3">
      <c r="A119" s="70"/>
      <c r="B119" s="71"/>
      <c r="C119" s="71"/>
      <c r="D119" s="72"/>
      <c r="E119" s="73"/>
      <c r="F119" s="73">
        <f t="shared" si="4"/>
        <v>0</v>
      </c>
      <c r="G119" s="75"/>
    </row>
    <row r="120" spans="1:7" ht="17.399999999999999" x14ac:dyDescent="0.3">
      <c r="A120" s="76"/>
      <c r="B120" s="77"/>
      <c r="C120" s="114" t="s">
        <v>27</v>
      </c>
      <c r="D120" s="114"/>
      <c r="E120" s="78"/>
      <c r="F120" s="79">
        <f>SUM(F105:F118)</f>
        <v>994</v>
      </c>
      <c r="G120" s="80"/>
    </row>
    <row r="121" spans="1:7" ht="17.399999999999999" x14ac:dyDescent="0.3">
      <c r="A121" s="81"/>
      <c r="B121" s="82"/>
      <c r="C121" s="106" t="s">
        <v>28</v>
      </c>
      <c r="D121" s="106"/>
      <c r="E121" s="83"/>
      <c r="F121" s="84">
        <f>F120*0.16</f>
        <v>159.04</v>
      </c>
      <c r="G121" s="85"/>
    </row>
    <row r="122" spans="1:7" ht="17.399999999999999" x14ac:dyDescent="0.3">
      <c r="A122" s="81"/>
      <c r="B122" s="82"/>
      <c r="C122" s="107" t="s">
        <v>29</v>
      </c>
      <c r="D122" s="107"/>
      <c r="E122" s="86"/>
      <c r="F122" s="87">
        <f>F120+F121</f>
        <v>1153.04</v>
      </c>
      <c r="G122" s="88"/>
    </row>
    <row r="123" spans="1:7" ht="15.6" x14ac:dyDescent="0.3">
      <c r="A123" s="108" t="s">
        <v>30</v>
      </c>
      <c r="B123" s="89"/>
      <c r="C123" s="89" t="s">
        <v>31</v>
      </c>
      <c r="D123" s="89"/>
      <c r="E123" s="89" t="s">
        <v>32</v>
      </c>
      <c r="F123" s="89"/>
      <c r="G123" s="109"/>
    </row>
    <row r="124" spans="1:7" ht="15.6" x14ac:dyDescent="0.3">
      <c r="A124" s="134" t="s">
        <v>444</v>
      </c>
      <c r="B124" s="90"/>
      <c r="C124" s="90" t="s">
        <v>33</v>
      </c>
      <c r="D124" s="90"/>
      <c r="E124" s="90" t="s">
        <v>354</v>
      </c>
      <c r="F124" s="90"/>
      <c r="G124" s="110"/>
    </row>
    <row r="128" spans="1:7" ht="21" x14ac:dyDescent="0.4">
      <c r="A128" s="49"/>
      <c r="B128" s="184" t="s">
        <v>45</v>
      </c>
      <c r="C128" s="185"/>
      <c r="D128" s="190" t="s">
        <v>36</v>
      </c>
      <c r="E128" s="191"/>
      <c r="F128" s="191"/>
      <c r="G128" s="192"/>
    </row>
    <row r="129" spans="1:7" ht="21" x14ac:dyDescent="0.4">
      <c r="A129" s="50"/>
      <c r="B129" s="186"/>
      <c r="C129" s="187"/>
      <c r="D129" s="193" t="s">
        <v>1</v>
      </c>
      <c r="E129" s="194"/>
      <c r="F129" s="196" t="s">
        <v>615</v>
      </c>
      <c r="G129" s="177"/>
    </row>
    <row r="130" spans="1:7" ht="21" x14ac:dyDescent="0.4">
      <c r="A130" s="50"/>
      <c r="B130" s="186"/>
      <c r="C130" s="187"/>
      <c r="D130" s="193" t="s">
        <v>267</v>
      </c>
      <c r="E130" s="194"/>
      <c r="F130" s="176">
        <v>22</v>
      </c>
      <c r="G130" s="177"/>
    </row>
    <row r="131" spans="1:7" ht="21" x14ac:dyDescent="0.4">
      <c r="A131" s="51"/>
      <c r="B131" s="188"/>
      <c r="C131" s="189"/>
      <c r="D131" s="178" t="s">
        <v>38</v>
      </c>
      <c r="E131" s="179"/>
      <c r="F131" s="180" t="s">
        <v>614</v>
      </c>
      <c r="G131" s="181"/>
    </row>
    <row r="132" spans="1:7" ht="20.399999999999999" x14ac:dyDescent="0.35">
      <c r="A132" s="52" t="s">
        <v>39</v>
      </c>
      <c r="B132" s="53" t="s">
        <v>279</v>
      </c>
      <c r="C132" s="54"/>
      <c r="D132" s="54"/>
      <c r="E132" s="182"/>
      <c r="F132" s="182"/>
      <c r="G132" s="183"/>
    </row>
    <row r="133" spans="1:7" ht="20.399999999999999" x14ac:dyDescent="0.35">
      <c r="A133" s="52" t="s">
        <v>40</v>
      </c>
      <c r="B133" s="173" t="s">
        <v>468</v>
      </c>
      <c r="C133" s="174"/>
      <c r="D133" s="174"/>
      <c r="E133" s="174"/>
      <c r="F133" s="174"/>
      <c r="G133" s="175"/>
    </row>
    <row r="134" spans="1:7" ht="20.399999999999999" x14ac:dyDescent="0.35">
      <c r="A134" s="52" t="s">
        <v>41</v>
      </c>
      <c r="B134" s="173">
        <v>79</v>
      </c>
      <c r="C134" s="174"/>
      <c r="D134" s="174"/>
      <c r="E134" s="174"/>
      <c r="F134" s="174"/>
      <c r="G134" s="175"/>
    </row>
    <row r="135" spans="1:7" ht="20.399999999999999" x14ac:dyDescent="0.35">
      <c r="A135" s="52" t="s">
        <v>42</v>
      </c>
      <c r="B135" s="173" t="s">
        <v>236</v>
      </c>
      <c r="C135" s="174"/>
      <c r="D135" s="174"/>
      <c r="E135" s="174"/>
      <c r="F135" s="174"/>
      <c r="G135" s="175"/>
    </row>
    <row r="136" spans="1:7" ht="15" x14ac:dyDescent="0.3">
      <c r="A136" s="103" t="s">
        <v>8</v>
      </c>
      <c r="B136" s="103" t="s">
        <v>9</v>
      </c>
      <c r="C136" s="103" t="s">
        <v>10</v>
      </c>
      <c r="D136" s="103" t="s">
        <v>43</v>
      </c>
      <c r="E136" s="103" t="s">
        <v>12</v>
      </c>
      <c r="F136" s="103" t="s">
        <v>13</v>
      </c>
      <c r="G136" s="103" t="s">
        <v>14</v>
      </c>
    </row>
    <row r="137" spans="1:7" ht="15.6" x14ac:dyDescent="0.3">
      <c r="A137" s="57"/>
      <c r="B137" s="58"/>
      <c r="C137" s="58"/>
      <c r="D137" s="59"/>
      <c r="E137" s="60"/>
      <c r="F137" s="67">
        <f t="shared" ref="F137:F152" si="5">A137*E137</f>
        <v>0</v>
      </c>
      <c r="G137" s="62"/>
    </row>
    <row r="138" spans="1:7" ht="15.6" x14ac:dyDescent="0.3">
      <c r="A138" s="63"/>
      <c r="B138" s="64"/>
      <c r="C138" s="64"/>
      <c r="D138" s="65"/>
      <c r="E138" s="66"/>
      <c r="F138" s="67">
        <f t="shared" si="5"/>
        <v>0</v>
      </c>
      <c r="G138" s="68"/>
    </row>
    <row r="139" spans="1:7" ht="46.8" x14ac:dyDescent="0.3">
      <c r="A139" s="63">
        <v>4</v>
      </c>
      <c r="B139" s="64" t="s">
        <v>112</v>
      </c>
      <c r="C139" s="64" t="s">
        <v>465</v>
      </c>
      <c r="D139" s="65"/>
      <c r="E139" s="66">
        <v>492.53</v>
      </c>
      <c r="F139" s="67">
        <f t="shared" si="5"/>
        <v>1970.12</v>
      </c>
      <c r="G139" s="68"/>
    </row>
    <row r="140" spans="1:7" ht="15.6" x14ac:dyDescent="0.3">
      <c r="A140" s="63"/>
      <c r="B140" s="64"/>
      <c r="C140" s="64"/>
      <c r="D140" s="65"/>
      <c r="E140" s="66"/>
      <c r="F140" s="67">
        <f t="shared" si="5"/>
        <v>0</v>
      </c>
      <c r="G140" s="68"/>
    </row>
    <row r="141" spans="1:7" ht="15.6" x14ac:dyDescent="0.3">
      <c r="A141" s="63"/>
      <c r="B141" s="64"/>
      <c r="C141" s="64"/>
      <c r="D141" s="65"/>
      <c r="E141" s="66"/>
      <c r="F141" s="67">
        <f t="shared" si="5"/>
        <v>0</v>
      </c>
      <c r="G141" s="68"/>
    </row>
    <row r="142" spans="1:7" ht="15.6" x14ac:dyDescent="0.3">
      <c r="A142" s="63"/>
      <c r="B142" s="64"/>
      <c r="C142" s="64"/>
      <c r="D142" s="65"/>
      <c r="E142" s="66"/>
      <c r="F142" s="67">
        <f t="shared" si="5"/>
        <v>0</v>
      </c>
      <c r="G142" s="68"/>
    </row>
    <row r="143" spans="1:7" ht="15.6" x14ac:dyDescent="0.3">
      <c r="A143" s="63"/>
      <c r="B143" s="64"/>
      <c r="C143" s="64"/>
      <c r="D143" s="65"/>
      <c r="E143" s="66"/>
      <c r="F143" s="67">
        <f t="shared" si="5"/>
        <v>0</v>
      </c>
      <c r="G143" s="68"/>
    </row>
    <row r="144" spans="1:7" ht="15.6" x14ac:dyDescent="0.3">
      <c r="A144" s="63"/>
      <c r="B144" s="64"/>
      <c r="C144" s="64"/>
      <c r="D144" s="65"/>
      <c r="E144" s="66"/>
      <c r="F144" s="67">
        <f t="shared" si="5"/>
        <v>0</v>
      </c>
      <c r="G144" s="68"/>
    </row>
    <row r="145" spans="1:7" ht="15.6" x14ac:dyDescent="0.3">
      <c r="A145" s="63"/>
      <c r="B145" s="64"/>
      <c r="C145" s="64"/>
      <c r="D145" s="65"/>
      <c r="E145" s="66"/>
      <c r="F145" s="67">
        <f t="shared" si="5"/>
        <v>0</v>
      </c>
      <c r="G145" s="68"/>
    </row>
    <row r="146" spans="1:7" ht="15.6" x14ac:dyDescent="0.3">
      <c r="A146" s="63"/>
      <c r="B146" s="64"/>
      <c r="C146" s="64"/>
      <c r="D146" s="65"/>
      <c r="E146" s="66"/>
      <c r="F146" s="67">
        <f t="shared" si="5"/>
        <v>0</v>
      </c>
      <c r="G146" s="68"/>
    </row>
    <row r="147" spans="1:7" ht="15.6" x14ac:dyDescent="0.3">
      <c r="A147" s="69"/>
      <c r="B147" s="64"/>
      <c r="C147" s="64"/>
      <c r="D147" s="65"/>
      <c r="E147" s="66"/>
      <c r="F147" s="67">
        <f t="shared" si="5"/>
        <v>0</v>
      </c>
      <c r="G147" s="68"/>
    </row>
    <row r="148" spans="1:7" ht="15.6" x14ac:dyDescent="0.3">
      <c r="A148" s="69"/>
      <c r="B148" s="64"/>
      <c r="C148" s="64"/>
      <c r="D148" s="65"/>
      <c r="E148" s="66"/>
      <c r="F148" s="67">
        <f t="shared" si="5"/>
        <v>0</v>
      </c>
      <c r="G148" s="68"/>
    </row>
    <row r="149" spans="1:7" ht="15.6" x14ac:dyDescent="0.3">
      <c r="A149" s="69"/>
      <c r="B149" s="64"/>
      <c r="C149" s="64"/>
      <c r="D149" s="65"/>
      <c r="E149" s="66"/>
      <c r="F149" s="67">
        <f t="shared" si="5"/>
        <v>0</v>
      </c>
      <c r="G149" s="68"/>
    </row>
    <row r="150" spans="1:7" ht="15.6" x14ac:dyDescent="0.3">
      <c r="A150" s="69"/>
      <c r="B150" s="64"/>
      <c r="C150" s="64"/>
      <c r="D150" s="65"/>
      <c r="E150" s="66"/>
      <c r="F150" s="67">
        <f t="shared" si="5"/>
        <v>0</v>
      </c>
      <c r="G150" s="68"/>
    </row>
    <row r="151" spans="1:7" ht="15.6" x14ac:dyDescent="0.3">
      <c r="A151" s="69"/>
      <c r="B151" s="64"/>
      <c r="C151" s="64"/>
      <c r="D151" s="65"/>
      <c r="E151" s="66"/>
      <c r="F151" s="67">
        <f t="shared" si="5"/>
        <v>0</v>
      </c>
      <c r="G151" s="68"/>
    </row>
    <row r="152" spans="1:7" ht="15.6" x14ac:dyDescent="0.3">
      <c r="A152" s="70"/>
      <c r="B152" s="71"/>
      <c r="C152" s="71"/>
      <c r="D152" s="72"/>
      <c r="E152" s="73"/>
      <c r="F152" s="74">
        <f t="shared" si="5"/>
        <v>0</v>
      </c>
      <c r="G152" s="75"/>
    </row>
    <row r="153" spans="1:7" ht="17.399999999999999" x14ac:dyDescent="0.3">
      <c r="A153" s="76"/>
      <c r="B153" s="77"/>
      <c r="C153" s="164" t="s">
        <v>27</v>
      </c>
      <c r="D153" s="164"/>
      <c r="E153" s="78"/>
      <c r="F153" s="79">
        <f>SUM(F137:F151)</f>
        <v>1970.12</v>
      </c>
      <c r="G153" s="80"/>
    </row>
    <row r="154" spans="1:7" ht="17.399999999999999" x14ac:dyDescent="0.3">
      <c r="A154" s="81"/>
      <c r="B154" s="82"/>
      <c r="C154" s="165" t="s">
        <v>28</v>
      </c>
      <c r="D154" s="165"/>
      <c r="E154" s="83"/>
      <c r="F154" s="84">
        <f>F153*0.16</f>
        <v>315.2192</v>
      </c>
      <c r="G154" s="85"/>
    </row>
    <row r="155" spans="1:7" ht="17.399999999999999" x14ac:dyDescent="0.3">
      <c r="A155" s="81"/>
      <c r="B155" s="82"/>
      <c r="C155" s="166" t="s">
        <v>29</v>
      </c>
      <c r="D155" s="166"/>
      <c r="E155" s="86"/>
      <c r="F155" s="87">
        <f>F153+F154</f>
        <v>2285.3391999999999</v>
      </c>
      <c r="G155" s="88"/>
    </row>
    <row r="156" spans="1:7" ht="15.6" x14ac:dyDescent="0.3">
      <c r="A156" s="167" t="s">
        <v>30</v>
      </c>
      <c r="B156" s="168"/>
      <c r="C156" s="89" t="s">
        <v>31</v>
      </c>
      <c r="D156" s="89"/>
      <c r="E156" s="168" t="s">
        <v>32</v>
      </c>
      <c r="F156" s="168"/>
      <c r="G156" s="169"/>
    </row>
    <row r="157" spans="1:7" ht="15.6" x14ac:dyDescent="0.3">
      <c r="A157" s="170" t="s">
        <v>467</v>
      </c>
      <c r="B157" s="171"/>
      <c r="C157" s="104" t="s">
        <v>33</v>
      </c>
      <c r="D157" s="90"/>
      <c r="E157" s="171" t="s">
        <v>273</v>
      </c>
      <c r="F157" s="171"/>
      <c r="G157" s="172"/>
    </row>
    <row r="161" spans="1:7" ht="21" x14ac:dyDescent="0.4">
      <c r="A161" s="49"/>
      <c r="B161" s="184" t="s">
        <v>45</v>
      </c>
      <c r="C161" s="185"/>
      <c r="D161" s="190" t="s">
        <v>36</v>
      </c>
      <c r="E161" s="191"/>
      <c r="F161" s="191"/>
      <c r="G161" s="192"/>
    </row>
    <row r="162" spans="1:7" ht="21" x14ac:dyDescent="0.4">
      <c r="A162" s="50"/>
      <c r="B162" s="186"/>
      <c r="C162" s="187"/>
      <c r="D162" s="193" t="s">
        <v>1</v>
      </c>
      <c r="E162" s="194"/>
      <c r="F162" s="196" t="s">
        <v>487</v>
      </c>
      <c r="G162" s="177"/>
    </row>
    <row r="163" spans="1:7" ht="21" x14ac:dyDescent="0.4">
      <c r="A163" s="50"/>
      <c r="B163" s="186"/>
      <c r="C163" s="187"/>
      <c r="D163" s="193" t="s">
        <v>267</v>
      </c>
      <c r="E163" s="194"/>
      <c r="F163" s="176">
        <v>20</v>
      </c>
      <c r="G163" s="177"/>
    </row>
    <row r="164" spans="1:7" ht="21" x14ac:dyDescent="0.4">
      <c r="A164" s="51"/>
      <c r="B164" s="188"/>
      <c r="C164" s="189"/>
      <c r="D164" s="178" t="s">
        <v>38</v>
      </c>
      <c r="E164" s="179"/>
      <c r="F164" s="180" t="s">
        <v>469</v>
      </c>
      <c r="G164" s="181"/>
    </row>
    <row r="165" spans="1:7" ht="20.399999999999999" x14ac:dyDescent="0.35">
      <c r="A165" s="52" t="s">
        <v>39</v>
      </c>
      <c r="B165" s="53" t="s">
        <v>279</v>
      </c>
      <c r="C165" s="54"/>
      <c r="D165" s="54"/>
      <c r="E165" s="182" t="s">
        <v>476</v>
      </c>
      <c r="F165" s="182"/>
      <c r="G165" s="183"/>
    </row>
    <row r="166" spans="1:7" ht="20.399999999999999" x14ac:dyDescent="0.35">
      <c r="A166" s="52" t="s">
        <v>40</v>
      </c>
      <c r="B166" s="173" t="s">
        <v>460</v>
      </c>
      <c r="C166" s="174"/>
      <c r="D166" s="174"/>
      <c r="E166" s="174"/>
      <c r="F166" s="174"/>
      <c r="G166" s="175"/>
    </row>
    <row r="167" spans="1:7" ht="20.399999999999999" x14ac:dyDescent="0.35">
      <c r="A167" s="52" t="s">
        <v>41</v>
      </c>
      <c r="B167" s="173" t="s">
        <v>484</v>
      </c>
      <c r="C167" s="174"/>
      <c r="D167" s="174"/>
      <c r="E167" s="174"/>
      <c r="F167" s="174"/>
      <c r="G167" s="175"/>
    </row>
    <row r="168" spans="1:7" ht="20.399999999999999" x14ac:dyDescent="0.35">
      <c r="A168" s="52" t="s">
        <v>42</v>
      </c>
      <c r="B168" s="173" t="s">
        <v>236</v>
      </c>
      <c r="C168" s="174"/>
      <c r="D168" s="174"/>
      <c r="E168" s="174"/>
      <c r="F168" s="174"/>
      <c r="G168" s="175"/>
    </row>
    <row r="169" spans="1:7" ht="15" x14ac:dyDescent="0.3">
      <c r="A169" s="103" t="s">
        <v>8</v>
      </c>
      <c r="B169" s="103" t="s">
        <v>9</v>
      </c>
      <c r="C169" s="103" t="s">
        <v>10</v>
      </c>
      <c r="D169" s="103" t="s">
        <v>43</v>
      </c>
      <c r="E169" s="103" t="s">
        <v>12</v>
      </c>
      <c r="F169" s="103" t="s">
        <v>13</v>
      </c>
      <c r="G169" s="103" t="s">
        <v>14</v>
      </c>
    </row>
    <row r="170" spans="1:7" ht="31.2" x14ac:dyDescent="0.3">
      <c r="A170" s="57"/>
      <c r="B170" s="58" t="s">
        <v>112</v>
      </c>
      <c r="C170" s="58" t="s">
        <v>470</v>
      </c>
      <c r="D170" s="59"/>
      <c r="E170" s="60">
        <v>356.37</v>
      </c>
      <c r="F170" s="67">
        <f t="shared" ref="F170:F181" si="6">A170*E170</f>
        <v>0</v>
      </c>
      <c r="G170" s="62" t="s">
        <v>498</v>
      </c>
    </row>
    <row r="171" spans="1:7" ht="46.8" x14ac:dyDescent="0.3">
      <c r="A171" s="63"/>
      <c r="B171" s="64" t="s">
        <v>112</v>
      </c>
      <c r="C171" s="64" t="s">
        <v>471</v>
      </c>
      <c r="D171" s="65"/>
      <c r="E171" s="66">
        <v>215.03</v>
      </c>
      <c r="F171" s="67">
        <f t="shared" si="6"/>
        <v>0</v>
      </c>
      <c r="G171" s="68" t="s">
        <v>498</v>
      </c>
    </row>
    <row r="172" spans="1:7" ht="31.2" x14ac:dyDescent="0.3">
      <c r="A172" s="63"/>
      <c r="B172" s="64" t="s">
        <v>112</v>
      </c>
      <c r="C172" s="64" t="s">
        <v>472</v>
      </c>
      <c r="D172" s="65"/>
      <c r="E172" s="66">
        <v>486.5</v>
      </c>
      <c r="F172" s="67">
        <f t="shared" si="6"/>
        <v>0</v>
      </c>
      <c r="G172" s="68"/>
    </row>
    <row r="173" spans="1:7" ht="62.4" x14ac:dyDescent="0.3">
      <c r="A173" s="63"/>
      <c r="B173" s="64" t="s">
        <v>112</v>
      </c>
      <c r="C173" s="64" t="s">
        <v>479</v>
      </c>
      <c r="D173" s="65"/>
      <c r="E173" s="66">
        <v>1929.62</v>
      </c>
      <c r="F173" s="67">
        <f t="shared" si="6"/>
        <v>0</v>
      </c>
      <c r="G173" s="68"/>
    </row>
    <row r="174" spans="1:7" ht="46.8" x14ac:dyDescent="0.3">
      <c r="A174" s="63"/>
      <c r="B174" s="64" t="s">
        <v>112</v>
      </c>
      <c r="C174" s="64" t="s">
        <v>480</v>
      </c>
      <c r="D174" s="65"/>
      <c r="E174" s="66">
        <v>427.2</v>
      </c>
      <c r="F174" s="67">
        <f t="shared" si="6"/>
        <v>0</v>
      </c>
      <c r="G174" s="68"/>
    </row>
    <row r="175" spans="1:7" ht="46.8" x14ac:dyDescent="0.3">
      <c r="A175" s="63"/>
      <c r="B175" s="64" t="s">
        <v>112</v>
      </c>
      <c r="C175" s="64" t="s">
        <v>481</v>
      </c>
      <c r="D175" s="65"/>
      <c r="E175" s="66">
        <v>553.1</v>
      </c>
      <c r="F175" s="67">
        <f t="shared" si="6"/>
        <v>0</v>
      </c>
      <c r="G175" s="68"/>
    </row>
    <row r="176" spans="1:7" ht="46.8" x14ac:dyDescent="0.3">
      <c r="A176" s="63"/>
      <c r="B176" s="64" t="s">
        <v>112</v>
      </c>
      <c r="C176" s="64" t="s">
        <v>482</v>
      </c>
      <c r="D176" s="65"/>
      <c r="E176" s="66">
        <v>832.23</v>
      </c>
      <c r="F176" s="67">
        <f t="shared" si="6"/>
        <v>0</v>
      </c>
      <c r="G176" s="68"/>
    </row>
    <row r="177" spans="1:7" ht="62.4" x14ac:dyDescent="0.3">
      <c r="A177" s="63"/>
      <c r="B177" s="64" t="s">
        <v>112</v>
      </c>
      <c r="C177" s="64" t="s">
        <v>483</v>
      </c>
      <c r="D177" s="65"/>
      <c r="E177" s="66">
        <v>232.79</v>
      </c>
      <c r="F177" s="67">
        <f t="shared" si="6"/>
        <v>0</v>
      </c>
      <c r="G177" s="68"/>
    </row>
    <row r="178" spans="1:7" ht="15.6" x14ac:dyDescent="0.3">
      <c r="A178" s="69"/>
      <c r="B178" s="64"/>
      <c r="C178" s="64"/>
      <c r="D178" s="65"/>
      <c r="E178" s="66"/>
      <c r="F178" s="67">
        <f t="shared" si="6"/>
        <v>0</v>
      </c>
      <c r="G178" s="68"/>
    </row>
    <row r="179" spans="1:7" ht="15.6" x14ac:dyDescent="0.3">
      <c r="A179" s="69"/>
      <c r="B179" s="64"/>
      <c r="C179" s="64"/>
      <c r="D179" s="65"/>
      <c r="E179" s="66"/>
      <c r="F179" s="67">
        <f t="shared" si="6"/>
        <v>0</v>
      </c>
      <c r="G179" s="68"/>
    </row>
    <row r="180" spans="1:7" ht="15.6" x14ac:dyDescent="0.3">
      <c r="A180" s="69"/>
      <c r="B180" s="64"/>
      <c r="C180" s="64"/>
      <c r="D180" s="65"/>
      <c r="E180" s="66"/>
      <c r="F180" s="67">
        <f t="shared" si="6"/>
        <v>0</v>
      </c>
      <c r="G180" s="68"/>
    </row>
    <row r="181" spans="1:7" ht="15.6" x14ac:dyDescent="0.3">
      <c r="A181" s="70"/>
      <c r="B181" s="71"/>
      <c r="C181" s="71"/>
      <c r="D181" s="72"/>
      <c r="E181" s="73"/>
      <c r="F181" s="74">
        <f t="shared" si="6"/>
        <v>0</v>
      </c>
      <c r="G181" s="75"/>
    </row>
    <row r="182" spans="1:7" ht="17.399999999999999" x14ac:dyDescent="0.3">
      <c r="A182" s="76"/>
      <c r="B182" s="77"/>
      <c r="C182" s="164" t="s">
        <v>27</v>
      </c>
      <c r="D182" s="164"/>
      <c r="E182" s="78"/>
      <c r="F182" s="79">
        <f>SUM(F170:F180)</f>
        <v>0</v>
      </c>
      <c r="G182" s="80"/>
    </row>
    <row r="183" spans="1:7" ht="17.399999999999999" x14ac:dyDescent="0.3">
      <c r="A183" s="81"/>
      <c r="B183" s="82"/>
      <c r="C183" s="165" t="s">
        <v>28</v>
      </c>
      <c r="D183" s="165"/>
      <c r="E183" s="83"/>
      <c r="F183" s="84">
        <f>F182*0.16</f>
        <v>0</v>
      </c>
      <c r="G183" s="85"/>
    </row>
    <row r="184" spans="1:7" ht="17.399999999999999" x14ac:dyDescent="0.3">
      <c r="A184" s="81"/>
      <c r="B184" s="82"/>
      <c r="C184" s="166" t="s">
        <v>29</v>
      </c>
      <c r="D184" s="166"/>
      <c r="E184" s="86"/>
      <c r="F184" s="87">
        <f>F182+F183</f>
        <v>0</v>
      </c>
      <c r="G184" s="88"/>
    </row>
    <row r="185" spans="1:7" ht="15.6" x14ac:dyDescent="0.3">
      <c r="A185" s="167" t="s">
        <v>30</v>
      </c>
      <c r="B185" s="168"/>
      <c r="C185" s="89" t="s">
        <v>31</v>
      </c>
      <c r="D185" s="89"/>
      <c r="E185" s="168" t="s">
        <v>32</v>
      </c>
      <c r="F185" s="168"/>
      <c r="G185" s="169"/>
    </row>
    <row r="186" spans="1:7" ht="15.6" x14ac:dyDescent="0.3">
      <c r="A186" s="170" t="s">
        <v>52</v>
      </c>
      <c r="B186" s="171"/>
      <c r="C186" s="104" t="s">
        <v>33</v>
      </c>
      <c r="D186" s="90"/>
      <c r="E186" s="171" t="s">
        <v>273</v>
      </c>
      <c r="F186" s="171"/>
      <c r="G186" s="172"/>
    </row>
    <row r="190" spans="1:7" ht="21" x14ac:dyDescent="0.4">
      <c r="A190" s="49"/>
      <c r="B190" s="184" t="s">
        <v>45</v>
      </c>
      <c r="C190" s="185"/>
      <c r="D190" s="190" t="s">
        <v>36</v>
      </c>
      <c r="E190" s="191"/>
      <c r="F190" s="191"/>
      <c r="G190" s="192"/>
    </row>
    <row r="191" spans="1:7" ht="21" x14ac:dyDescent="0.4">
      <c r="A191" s="50"/>
      <c r="B191" s="186"/>
      <c r="C191" s="187"/>
      <c r="D191" s="193" t="s">
        <v>1</v>
      </c>
      <c r="E191" s="194"/>
      <c r="F191" s="196" t="s">
        <v>620</v>
      </c>
      <c r="G191" s="177"/>
    </row>
    <row r="192" spans="1:7" ht="21" x14ac:dyDescent="0.4">
      <c r="A192" s="50"/>
      <c r="B192" s="186"/>
      <c r="C192" s="187"/>
      <c r="D192" s="193" t="s">
        <v>267</v>
      </c>
      <c r="E192" s="194"/>
      <c r="F192" s="176">
        <v>23</v>
      </c>
      <c r="G192" s="177"/>
    </row>
    <row r="193" spans="1:7" ht="21" x14ac:dyDescent="0.4">
      <c r="A193" s="51"/>
      <c r="B193" s="188"/>
      <c r="C193" s="189"/>
      <c r="D193" s="178" t="s">
        <v>38</v>
      </c>
      <c r="E193" s="179"/>
      <c r="F193" s="180" t="s">
        <v>621</v>
      </c>
      <c r="G193" s="181"/>
    </row>
    <row r="194" spans="1:7" ht="20.399999999999999" x14ac:dyDescent="0.35">
      <c r="A194" s="52" t="s">
        <v>39</v>
      </c>
      <c r="B194" s="53" t="s">
        <v>279</v>
      </c>
      <c r="C194" s="54"/>
      <c r="D194" s="54"/>
      <c r="E194" s="182" t="s">
        <v>617</v>
      </c>
      <c r="F194" s="182"/>
      <c r="G194" s="183"/>
    </row>
    <row r="195" spans="1:7" ht="20.399999999999999" x14ac:dyDescent="0.35">
      <c r="A195" s="52" t="s">
        <v>40</v>
      </c>
      <c r="B195" s="173" t="s">
        <v>486</v>
      </c>
      <c r="C195" s="174"/>
      <c r="D195" s="174"/>
      <c r="E195" s="174"/>
      <c r="F195" s="174"/>
      <c r="G195" s="175"/>
    </row>
    <row r="196" spans="1:7" ht="20.399999999999999" x14ac:dyDescent="0.35">
      <c r="A196" s="52" t="s">
        <v>41</v>
      </c>
      <c r="B196" s="173" t="s">
        <v>616</v>
      </c>
      <c r="C196" s="174"/>
      <c r="D196" s="174"/>
      <c r="E196" s="174"/>
      <c r="F196" s="174"/>
      <c r="G196" s="175"/>
    </row>
    <row r="197" spans="1:7" ht="20.399999999999999" x14ac:dyDescent="0.35">
      <c r="A197" s="52" t="s">
        <v>42</v>
      </c>
      <c r="B197" s="173" t="s">
        <v>236</v>
      </c>
      <c r="C197" s="174"/>
      <c r="D197" s="174"/>
      <c r="E197" s="174"/>
      <c r="F197" s="174"/>
      <c r="G197" s="175"/>
    </row>
    <row r="198" spans="1:7" ht="15" x14ac:dyDescent="0.3">
      <c r="A198" s="103" t="s">
        <v>8</v>
      </c>
      <c r="B198" s="103" t="s">
        <v>9</v>
      </c>
      <c r="C198" s="103" t="s">
        <v>10</v>
      </c>
      <c r="D198" s="103" t="s">
        <v>43</v>
      </c>
      <c r="E198" s="103" t="s">
        <v>12</v>
      </c>
      <c r="F198" s="103" t="s">
        <v>13</v>
      </c>
      <c r="G198" s="103" t="s">
        <v>14</v>
      </c>
    </row>
    <row r="199" spans="1:7" ht="62.4" x14ac:dyDescent="0.3">
      <c r="A199" s="57">
        <v>9</v>
      </c>
      <c r="B199" s="58" t="s">
        <v>112</v>
      </c>
      <c r="C199" s="58" t="s">
        <v>478</v>
      </c>
      <c r="D199" s="59"/>
      <c r="E199" s="60">
        <v>1650.66</v>
      </c>
      <c r="F199" s="67">
        <f t="shared" ref="F199:F210" si="7">A199*E199</f>
        <v>14855.94</v>
      </c>
      <c r="G199" s="62"/>
    </row>
    <row r="200" spans="1:7" ht="46.8" x14ac:dyDescent="0.3">
      <c r="A200" s="63">
        <v>1</v>
      </c>
      <c r="B200" s="64" t="s">
        <v>112</v>
      </c>
      <c r="C200" s="64" t="s">
        <v>473</v>
      </c>
      <c r="D200" s="65"/>
      <c r="E200" s="66">
        <v>640.55999999999995</v>
      </c>
      <c r="F200" s="67">
        <f t="shared" si="7"/>
        <v>640.55999999999995</v>
      </c>
      <c r="G200" s="68"/>
    </row>
    <row r="201" spans="1:7" ht="78" x14ac:dyDescent="0.3">
      <c r="A201" s="63">
        <v>10</v>
      </c>
      <c r="B201" s="64" t="s">
        <v>112</v>
      </c>
      <c r="C201" s="64" t="s">
        <v>474</v>
      </c>
      <c r="D201" s="65"/>
      <c r="E201" s="66">
        <v>204.79</v>
      </c>
      <c r="F201" s="67">
        <f t="shared" si="7"/>
        <v>2047.8999999999999</v>
      </c>
      <c r="G201" s="68"/>
    </row>
    <row r="202" spans="1:7" ht="62.4" x14ac:dyDescent="0.3">
      <c r="A202" s="63">
        <v>10</v>
      </c>
      <c r="B202" s="64" t="s">
        <v>112</v>
      </c>
      <c r="C202" s="64" t="s">
        <v>475</v>
      </c>
      <c r="D202" s="65"/>
      <c r="E202" s="66">
        <v>159.85</v>
      </c>
      <c r="F202" s="67">
        <f t="shared" si="7"/>
        <v>1598.5</v>
      </c>
      <c r="G202" s="68"/>
    </row>
    <row r="203" spans="1:7" ht="15.6" x14ac:dyDescent="0.3">
      <c r="A203" s="63"/>
      <c r="B203" s="64"/>
      <c r="C203" s="64"/>
      <c r="D203" s="65"/>
      <c r="E203" s="66"/>
      <c r="F203" s="67">
        <f t="shared" si="7"/>
        <v>0</v>
      </c>
      <c r="G203" s="68"/>
    </row>
    <row r="204" spans="1:7" ht="15.6" x14ac:dyDescent="0.3">
      <c r="A204" s="63"/>
      <c r="B204" s="64"/>
      <c r="C204" s="64"/>
      <c r="D204" s="65"/>
      <c r="E204" s="66"/>
      <c r="F204" s="67">
        <f t="shared" si="7"/>
        <v>0</v>
      </c>
      <c r="G204" s="68"/>
    </row>
    <row r="205" spans="1:7" ht="15.6" x14ac:dyDescent="0.3">
      <c r="A205" s="63"/>
      <c r="B205" s="64"/>
      <c r="C205" s="64"/>
      <c r="D205" s="65"/>
      <c r="E205" s="66"/>
      <c r="F205" s="67">
        <f t="shared" si="7"/>
        <v>0</v>
      </c>
      <c r="G205" s="68"/>
    </row>
    <row r="206" spans="1:7" ht="15.6" x14ac:dyDescent="0.3">
      <c r="A206" s="63"/>
      <c r="B206" s="64"/>
      <c r="C206" s="64"/>
      <c r="D206" s="65"/>
      <c r="E206" s="66"/>
      <c r="F206" s="67">
        <f t="shared" si="7"/>
        <v>0</v>
      </c>
      <c r="G206" s="68"/>
    </row>
    <row r="207" spans="1:7" ht="15.6" x14ac:dyDescent="0.3">
      <c r="A207" s="69"/>
      <c r="B207" s="64"/>
      <c r="C207" s="64"/>
      <c r="D207" s="65"/>
      <c r="E207" s="66"/>
      <c r="F207" s="67">
        <f t="shared" si="7"/>
        <v>0</v>
      </c>
      <c r="G207" s="68"/>
    </row>
    <row r="208" spans="1:7" ht="15.6" x14ac:dyDescent="0.3">
      <c r="A208" s="69"/>
      <c r="B208" s="64"/>
      <c r="C208" s="64"/>
      <c r="D208" s="65"/>
      <c r="E208" s="66"/>
      <c r="F208" s="67">
        <f t="shared" si="7"/>
        <v>0</v>
      </c>
      <c r="G208" s="68"/>
    </row>
    <row r="209" spans="1:7" ht="15.6" x14ac:dyDescent="0.3">
      <c r="A209" s="69"/>
      <c r="B209" s="64"/>
      <c r="C209" s="64"/>
      <c r="D209" s="65"/>
      <c r="E209" s="66"/>
      <c r="F209" s="67">
        <f t="shared" si="7"/>
        <v>0</v>
      </c>
      <c r="G209" s="68"/>
    </row>
    <row r="210" spans="1:7" ht="15.6" x14ac:dyDescent="0.3">
      <c r="A210" s="70"/>
      <c r="B210" s="71"/>
      <c r="C210" s="71"/>
      <c r="D210" s="72"/>
      <c r="E210" s="73"/>
      <c r="F210" s="74">
        <f t="shared" si="7"/>
        <v>0</v>
      </c>
      <c r="G210" s="75"/>
    </row>
    <row r="211" spans="1:7" ht="17.399999999999999" x14ac:dyDescent="0.3">
      <c r="A211" s="76"/>
      <c r="B211" s="77"/>
      <c r="C211" s="164" t="s">
        <v>27</v>
      </c>
      <c r="D211" s="164"/>
      <c r="E211" s="78"/>
      <c r="F211" s="79">
        <f>SUM(F199:F209)</f>
        <v>19142.900000000001</v>
      </c>
      <c r="G211" s="80"/>
    </row>
    <row r="212" spans="1:7" ht="17.399999999999999" x14ac:dyDescent="0.3">
      <c r="A212" s="81"/>
      <c r="B212" s="82"/>
      <c r="C212" s="165" t="s">
        <v>28</v>
      </c>
      <c r="D212" s="165"/>
      <c r="E212" s="83"/>
      <c r="F212" s="84">
        <f>F211*0.16</f>
        <v>3062.8640000000005</v>
      </c>
      <c r="G212" s="85"/>
    </row>
    <row r="213" spans="1:7" ht="17.399999999999999" x14ac:dyDescent="0.3">
      <c r="A213" s="81"/>
      <c r="B213" s="82"/>
      <c r="C213" s="166" t="s">
        <v>29</v>
      </c>
      <c r="D213" s="166"/>
      <c r="E213" s="86"/>
      <c r="F213" s="87">
        <f>F211+F212</f>
        <v>22205.764000000003</v>
      </c>
      <c r="G213" s="88"/>
    </row>
    <row r="214" spans="1:7" ht="15.6" x14ac:dyDescent="0.3">
      <c r="A214" s="167" t="s">
        <v>30</v>
      </c>
      <c r="B214" s="168"/>
      <c r="C214" s="89" t="s">
        <v>31</v>
      </c>
      <c r="D214" s="89"/>
      <c r="E214" s="168" t="s">
        <v>32</v>
      </c>
      <c r="F214" s="168"/>
      <c r="G214" s="169"/>
    </row>
    <row r="215" spans="1:7" ht="15.6" x14ac:dyDescent="0.3">
      <c r="A215" s="170" t="s">
        <v>467</v>
      </c>
      <c r="B215" s="171"/>
      <c r="C215" s="104" t="s">
        <v>33</v>
      </c>
      <c r="D215" s="90"/>
      <c r="E215" s="171" t="s">
        <v>273</v>
      </c>
      <c r="F215" s="171"/>
      <c r="G215" s="172"/>
    </row>
    <row r="219" spans="1:7" ht="21" x14ac:dyDescent="0.4">
      <c r="A219" s="49"/>
      <c r="B219" s="184" t="s">
        <v>45</v>
      </c>
      <c r="C219" s="185"/>
      <c r="D219" s="190" t="s">
        <v>36</v>
      </c>
      <c r="E219" s="191"/>
      <c r="F219" s="191"/>
      <c r="G219" s="192"/>
    </row>
    <row r="220" spans="1:7" ht="21" x14ac:dyDescent="0.4">
      <c r="A220" s="50"/>
      <c r="B220" s="186"/>
      <c r="C220" s="187"/>
      <c r="D220" s="193" t="s">
        <v>1</v>
      </c>
      <c r="E220" s="194"/>
      <c r="F220" s="196" t="s">
        <v>620</v>
      </c>
      <c r="G220" s="177"/>
    </row>
    <row r="221" spans="1:7" ht="21" x14ac:dyDescent="0.4">
      <c r="A221" s="50"/>
      <c r="B221" s="186"/>
      <c r="C221" s="187"/>
      <c r="D221" s="193" t="s">
        <v>267</v>
      </c>
      <c r="E221" s="194"/>
      <c r="F221" s="176">
        <v>23</v>
      </c>
      <c r="G221" s="177"/>
    </row>
    <row r="222" spans="1:7" ht="21" x14ac:dyDescent="0.4">
      <c r="A222" s="51"/>
      <c r="B222" s="188"/>
      <c r="C222" s="189"/>
      <c r="D222" s="178" t="s">
        <v>38</v>
      </c>
      <c r="E222" s="179"/>
      <c r="F222" s="180" t="s">
        <v>622</v>
      </c>
      <c r="G222" s="181"/>
    </row>
    <row r="223" spans="1:7" ht="20.399999999999999" x14ac:dyDescent="0.35">
      <c r="A223" s="52" t="s">
        <v>39</v>
      </c>
      <c r="B223" s="53" t="s">
        <v>273</v>
      </c>
      <c r="C223" s="54"/>
      <c r="D223" s="54"/>
      <c r="E223" s="182" t="s">
        <v>617</v>
      </c>
      <c r="F223" s="182"/>
      <c r="G223" s="183"/>
    </row>
    <row r="224" spans="1:7" ht="20.399999999999999" x14ac:dyDescent="0.35">
      <c r="A224" s="52" t="s">
        <v>40</v>
      </c>
      <c r="B224" s="111" t="s">
        <v>497</v>
      </c>
      <c r="C224" s="112"/>
      <c r="D224" s="112"/>
      <c r="E224" s="112"/>
      <c r="F224" s="112"/>
      <c r="G224" s="113"/>
    </row>
    <row r="225" spans="1:7" ht="20.399999999999999" x14ac:dyDescent="0.35">
      <c r="A225" s="52" t="s">
        <v>41</v>
      </c>
      <c r="B225" s="173" t="s">
        <v>616</v>
      </c>
      <c r="C225" s="174"/>
      <c r="D225" s="174"/>
      <c r="E225" s="174"/>
      <c r="F225" s="174"/>
      <c r="G225" s="175"/>
    </row>
    <row r="226" spans="1:7" ht="20.399999999999999" x14ac:dyDescent="0.35">
      <c r="A226" s="52" t="s">
        <v>42</v>
      </c>
      <c r="B226" s="111" t="s">
        <v>252</v>
      </c>
      <c r="C226" s="112"/>
      <c r="D226" s="112"/>
      <c r="E226" s="112"/>
      <c r="F226" s="112"/>
      <c r="G226" s="113"/>
    </row>
    <row r="227" spans="1:7" ht="15" x14ac:dyDescent="0.3">
      <c r="A227" s="103" t="s">
        <v>8</v>
      </c>
      <c r="B227" s="103" t="s">
        <v>9</v>
      </c>
      <c r="C227" s="103" t="s">
        <v>10</v>
      </c>
      <c r="D227" s="103" t="s">
        <v>43</v>
      </c>
      <c r="E227" s="103" t="s">
        <v>12</v>
      </c>
      <c r="F227" s="103" t="s">
        <v>13</v>
      </c>
      <c r="G227" s="103" t="s">
        <v>14</v>
      </c>
    </row>
    <row r="228" spans="1:7" ht="15.6" x14ac:dyDescent="0.3">
      <c r="A228" s="57"/>
      <c r="B228" s="58"/>
      <c r="C228" s="58"/>
      <c r="D228" s="95"/>
      <c r="E228" s="60"/>
      <c r="F228" s="60">
        <f t="shared" ref="F228:F242" si="8">A228*E228</f>
        <v>0</v>
      </c>
      <c r="G228" s="129"/>
    </row>
    <row r="229" spans="1:7" ht="15.6" x14ac:dyDescent="0.3">
      <c r="A229" s="63"/>
      <c r="B229" s="64"/>
      <c r="C229" s="64"/>
      <c r="D229" s="96"/>
      <c r="E229" s="66"/>
      <c r="F229" s="66">
        <f t="shared" si="8"/>
        <v>0</v>
      </c>
      <c r="G229" s="129"/>
    </row>
    <row r="230" spans="1:7" ht="15.6" x14ac:dyDescent="0.3">
      <c r="A230" s="63">
        <v>10</v>
      </c>
      <c r="B230" s="64" t="s">
        <v>488</v>
      </c>
      <c r="C230" s="64" t="s">
        <v>489</v>
      </c>
      <c r="D230" s="96" t="s">
        <v>490</v>
      </c>
      <c r="E230" s="66">
        <v>96.82</v>
      </c>
      <c r="F230" s="66">
        <f t="shared" si="8"/>
        <v>968.19999999999993</v>
      </c>
      <c r="G230" s="129"/>
    </row>
    <row r="231" spans="1:7" ht="15.6" x14ac:dyDescent="0.3">
      <c r="A231" s="63">
        <v>10</v>
      </c>
      <c r="B231" s="130" t="s">
        <v>488</v>
      </c>
      <c r="C231" s="130" t="s">
        <v>491</v>
      </c>
      <c r="D231" s="96" t="s">
        <v>492</v>
      </c>
      <c r="E231" s="66">
        <v>219.26</v>
      </c>
      <c r="F231" s="66">
        <f t="shared" si="8"/>
        <v>2192.6</v>
      </c>
      <c r="G231" s="68"/>
    </row>
    <row r="232" spans="1:7" ht="62.4" x14ac:dyDescent="0.3">
      <c r="A232" s="63">
        <v>10</v>
      </c>
      <c r="B232" s="130" t="s">
        <v>112</v>
      </c>
      <c r="C232" s="130" t="s">
        <v>494</v>
      </c>
      <c r="D232" s="96"/>
      <c r="E232" s="66">
        <v>90.23</v>
      </c>
      <c r="F232" s="66">
        <f>A232*E232</f>
        <v>902.30000000000007</v>
      </c>
      <c r="G232" s="68"/>
    </row>
    <row r="233" spans="1:7" ht="31.2" x14ac:dyDescent="0.3">
      <c r="A233" s="63">
        <v>10</v>
      </c>
      <c r="B233" s="130" t="s">
        <v>112</v>
      </c>
      <c r="C233" s="130" t="s">
        <v>495</v>
      </c>
      <c r="D233" s="96"/>
      <c r="E233" s="66">
        <v>22</v>
      </c>
      <c r="F233" s="66">
        <f>A233*E233</f>
        <v>220</v>
      </c>
      <c r="G233" s="68"/>
    </row>
    <row r="234" spans="1:7" ht="31.2" x14ac:dyDescent="0.3">
      <c r="A234" s="63">
        <v>2</v>
      </c>
      <c r="B234" s="130" t="s">
        <v>488</v>
      </c>
      <c r="C234" s="130" t="s">
        <v>618</v>
      </c>
      <c r="D234" s="96" t="s">
        <v>619</v>
      </c>
      <c r="E234" s="66">
        <v>390.44</v>
      </c>
      <c r="F234" s="66">
        <f t="shared" si="8"/>
        <v>780.88</v>
      </c>
      <c r="G234" s="68"/>
    </row>
    <row r="235" spans="1:7" ht="15.6" x14ac:dyDescent="0.3">
      <c r="A235" s="69"/>
      <c r="B235" s="130"/>
      <c r="C235" s="130"/>
      <c r="D235" s="96"/>
      <c r="E235" s="66"/>
      <c r="F235" s="66">
        <f t="shared" si="8"/>
        <v>0</v>
      </c>
      <c r="G235" s="68"/>
    </row>
    <row r="236" spans="1:7" ht="15.6" x14ac:dyDescent="0.3">
      <c r="A236" s="69"/>
      <c r="B236" s="130"/>
      <c r="C236" s="130"/>
      <c r="D236" s="135"/>
      <c r="E236" s="66"/>
      <c r="F236" s="66">
        <f t="shared" si="8"/>
        <v>0</v>
      </c>
      <c r="G236" s="68"/>
    </row>
    <row r="237" spans="1:7" ht="15.6" x14ac:dyDescent="0.3">
      <c r="A237" s="69"/>
      <c r="B237" s="64"/>
      <c r="C237" s="64"/>
      <c r="D237" s="65"/>
      <c r="E237" s="66"/>
      <c r="F237" s="66">
        <f t="shared" si="8"/>
        <v>0</v>
      </c>
      <c r="G237" s="68"/>
    </row>
    <row r="238" spans="1:7" ht="15.6" x14ac:dyDescent="0.3">
      <c r="A238" s="69"/>
      <c r="B238" s="64"/>
      <c r="C238" s="64"/>
      <c r="D238" s="65"/>
      <c r="E238" s="66"/>
      <c r="F238" s="66">
        <f t="shared" si="8"/>
        <v>0</v>
      </c>
      <c r="G238" s="68"/>
    </row>
    <row r="239" spans="1:7" ht="15.6" x14ac:dyDescent="0.3">
      <c r="A239" s="69"/>
      <c r="B239" s="64"/>
      <c r="C239" s="64"/>
      <c r="D239" s="65"/>
      <c r="E239" s="66"/>
      <c r="F239" s="66">
        <f t="shared" si="8"/>
        <v>0</v>
      </c>
      <c r="G239" s="68"/>
    </row>
    <row r="240" spans="1:7" ht="15.6" x14ac:dyDescent="0.3">
      <c r="A240" s="69"/>
      <c r="B240" s="64"/>
      <c r="C240" s="64"/>
      <c r="D240" s="65"/>
      <c r="E240" s="66"/>
      <c r="F240" s="66">
        <f t="shared" si="8"/>
        <v>0</v>
      </c>
      <c r="G240" s="68"/>
    </row>
    <row r="241" spans="1:7" ht="15.6" x14ac:dyDescent="0.3">
      <c r="A241" s="69"/>
      <c r="B241" s="64"/>
      <c r="C241" s="64"/>
      <c r="D241" s="65"/>
      <c r="E241" s="66"/>
      <c r="F241" s="66">
        <f t="shared" si="8"/>
        <v>0</v>
      </c>
      <c r="G241" s="68"/>
    </row>
    <row r="242" spans="1:7" ht="15.6" x14ac:dyDescent="0.3">
      <c r="A242" s="70"/>
      <c r="B242" s="71"/>
      <c r="C242" s="71"/>
      <c r="D242" s="72"/>
      <c r="E242" s="73"/>
      <c r="F242" s="73">
        <f t="shared" si="8"/>
        <v>0</v>
      </c>
      <c r="G242" s="75"/>
    </row>
    <row r="243" spans="1:7" ht="17.399999999999999" x14ac:dyDescent="0.3">
      <c r="A243" s="76"/>
      <c r="B243" s="77"/>
      <c r="C243" s="114" t="s">
        <v>27</v>
      </c>
      <c r="D243" s="114"/>
      <c r="E243" s="78"/>
      <c r="F243" s="79">
        <f>SUM(F228:F241)</f>
        <v>5063.9800000000005</v>
      </c>
      <c r="G243" s="80"/>
    </row>
    <row r="244" spans="1:7" ht="17.399999999999999" x14ac:dyDescent="0.3">
      <c r="A244" s="81"/>
      <c r="B244" s="82"/>
      <c r="C244" s="106" t="s">
        <v>28</v>
      </c>
      <c r="D244" s="106"/>
      <c r="E244" s="83"/>
      <c r="F244" s="84">
        <f>F243*0.16</f>
        <v>810.23680000000013</v>
      </c>
      <c r="G244" s="85"/>
    </row>
    <row r="245" spans="1:7" ht="17.399999999999999" x14ac:dyDescent="0.3">
      <c r="A245" s="81"/>
      <c r="B245" s="82"/>
      <c r="C245" s="107" t="s">
        <v>29</v>
      </c>
      <c r="D245" s="107"/>
      <c r="E245" s="86"/>
      <c r="F245" s="87">
        <f>F243+F244</f>
        <v>5874.2168000000001</v>
      </c>
      <c r="G245" s="88"/>
    </row>
    <row r="246" spans="1:7" ht="15.6" x14ac:dyDescent="0.3">
      <c r="A246" s="108" t="s">
        <v>30</v>
      </c>
      <c r="B246" s="89"/>
      <c r="C246" s="89" t="s">
        <v>31</v>
      </c>
      <c r="D246" s="89"/>
      <c r="E246" s="89" t="s">
        <v>32</v>
      </c>
      <c r="F246" s="89"/>
      <c r="G246" s="109"/>
    </row>
    <row r="247" spans="1:7" ht="15.6" x14ac:dyDescent="0.3">
      <c r="A247" s="134" t="s">
        <v>467</v>
      </c>
      <c r="B247" s="90"/>
      <c r="C247" s="90" t="s">
        <v>33</v>
      </c>
      <c r="D247" s="90"/>
      <c r="E247" s="90" t="s">
        <v>354</v>
      </c>
      <c r="F247" s="90"/>
      <c r="G247" s="110"/>
    </row>
    <row r="251" spans="1:7" ht="21" x14ac:dyDescent="0.4">
      <c r="A251" s="49"/>
      <c r="B251" s="184" t="s">
        <v>45</v>
      </c>
      <c r="C251" s="185"/>
      <c r="D251" s="190" t="s">
        <v>36</v>
      </c>
      <c r="E251" s="191"/>
      <c r="F251" s="191"/>
      <c r="G251" s="192"/>
    </row>
    <row r="252" spans="1:7" ht="21" x14ac:dyDescent="0.4">
      <c r="A252" s="50"/>
      <c r="B252" s="186"/>
      <c r="C252" s="187"/>
      <c r="D252" s="193" t="s">
        <v>1</v>
      </c>
      <c r="E252" s="194"/>
      <c r="F252" s="196" t="s">
        <v>487</v>
      </c>
      <c r="G252" s="177"/>
    </row>
    <row r="253" spans="1:7" ht="21" x14ac:dyDescent="0.4">
      <c r="A253" s="50"/>
      <c r="B253" s="186"/>
      <c r="C253" s="187"/>
      <c r="D253" s="193" t="s">
        <v>267</v>
      </c>
      <c r="E253" s="194"/>
      <c r="F253" s="176">
        <v>20</v>
      </c>
      <c r="G253" s="177"/>
    </row>
    <row r="254" spans="1:7" ht="21" x14ac:dyDescent="0.4">
      <c r="A254" s="51"/>
      <c r="B254" s="188"/>
      <c r="C254" s="189"/>
      <c r="D254" s="178" t="s">
        <v>38</v>
      </c>
      <c r="E254" s="179"/>
      <c r="F254" s="180" t="s">
        <v>623</v>
      </c>
      <c r="G254" s="181"/>
    </row>
    <row r="255" spans="1:7" ht="20.399999999999999" x14ac:dyDescent="0.35">
      <c r="A255" s="52" t="s">
        <v>39</v>
      </c>
      <c r="B255" s="53" t="s">
        <v>279</v>
      </c>
      <c r="C255" s="54"/>
      <c r="D255" s="54"/>
      <c r="E255" s="182" t="s">
        <v>617</v>
      </c>
      <c r="F255" s="182"/>
      <c r="G255" s="183"/>
    </row>
    <row r="256" spans="1:7" ht="20.399999999999999" x14ac:dyDescent="0.35">
      <c r="A256" s="52" t="s">
        <v>40</v>
      </c>
      <c r="B256" s="173" t="s">
        <v>468</v>
      </c>
      <c r="C256" s="174"/>
      <c r="D256" s="174"/>
      <c r="E256" s="174"/>
      <c r="F256" s="174"/>
      <c r="G256" s="175"/>
    </row>
    <row r="257" spans="1:7" ht="20.399999999999999" x14ac:dyDescent="0.35">
      <c r="A257" s="52" t="s">
        <v>41</v>
      </c>
      <c r="B257" s="173" t="s">
        <v>616</v>
      </c>
      <c r="C257" s="174"/>
      <c r="D257" s="174"/>
      <c r="E257" s="174"/>
      <c r="F257" s="174"/>
      <c r="G257" s="175"/>
    </row>
    <row r="258" spans="1:7" ht="20.399999999999999" x14ac:dyDescent="0.35">
      <c r="A258" s="52" t="s">
        <v>42</v>
      </c>
      <c r="B258" s="173" t="s">
        <v>236</v>
      </c>
      <c r="C258" s="174"/>
      <c r="D258" s="174"/>
      <c r="E258" s="174"/>
      <c r="F258" s="174"/>
      <c r="G258" s="175"/>
    </row>
    <row r="259" spans="1:7" ht="15" x14ac:dyDescent="0.3">
      <c r="A259" s="103" t="s">
        <v>8</v>
      </c>
      <c r="B259" s="103" t="s">
        <v>9</v>
      </c>
      <c r="C259" s="103" t="s">
        <v>10</v>
      </c>
      <c r="D259" s="103" t="s">
        <v>43</v>
      </c>
      <c r="E259" s="103" t="s">
        <v>12</v>
      </c>
      <c r="F259" s="103" t="s">
        <v>13</v>
      </c>
      <c r="G259" s="103" t="s">
        <v>14</v>
      </c>
    </row>
    <row r="260" spans="1:7" ht="31.2" x14ac:dyDescent="0.3">
      <c r="A260" s="57">
        <v>8</v>
      </c>
      <c r="B260" s="58" t="s">
        <v>112</v>
      </c>
      <c r="C260" s="58" t="s">
        <v>463</v>
      </c>
      <c r="D260" s="59"/>
      <c r="E260" s="60">
        <v>2200</v>
      </c>
      <c r="F260" s="67">
        <f t="shared" ref="F260:F275" si="9">A260*E260</f>
        <v>17600</v>
      </c>
      <c r="G260" s="62"/>
    </row>
    <row r="261" spans="1:7" ht="31.2" x14ac:dyDescent="0.3">
      <c r="A261" s="63">
        <v>1</v>
      </c>
      <c r="B261" s="64" t="s">
        <v>112</v>
      </c>
      <c r="C261" s="64" t="s">
        <v>464</v>
      </c>
      <c r="D261" s="65"/>
      <c r="E261" s="66">
        <v>1406</v>
      </c>
      <c r="F261" s="67">
        <f t="shared" si="9"/>
        <v>1406</v>
      </c>
      <c r="G261" s="68"/>
    </row>
    <row r="262" spans="1:7" ht="31.2" x14ac:dyDescent="0.3">
      <c r="A262" s="63">
        <v>9</v>
      </c>
      <c r="B262" s="64" t="s">
        <v>112</v>
      </c>
      <c r="C262" s="64" t="s">
        <v>465</v>
      </c>
      <c r="D262" s="65"/>
      <c r="E262" s="66">
        <v>492.53</v>
      </c>
      <c r="F262" s="67">
        <f t="shared" si="9"/>
        <v>4432.7699999999995</v>
      </c>
      <c r="G262" s="68"/>
    </row>
    <row r="263" spans="1:7" ht="31.2" x14ac:dyDescent="0.3">
      <c r="A263" s="63">
        <v>1</v>
      </c>
      <c r="B263" s="64" t="s">
        <v>112</v>
      </c>
      <c r="C263" s="64" t="s">
        <v>466</v>
      </c>
      <c r="D263" s="65"/>
      <c r="E263" s="66">
        <v>639.04</v>
      </c>
      <c r="F263" s="67">
        <f t="shared" si="9"/>
        <v>639.04</v>
      </c>
      <c r="G263" s="68"/>
    </row>
    <row r="264" spans="1:7" ht="15.6" x14ac:dyDescent="0.3">
      <c r="A264" s="63"/>
      <c r="B264" s="64"/>
      <c r="C264" s="64"/>
      <c r="D264" s="65"/>
      <c r="E264" s="66"/>
      <c r="F264" s="67">
        <f t="shared" si="9"/>
        <v>0</v>
      </c>
      <c r="G264" s="68"/>
    </row>
    <row r="265" spans="1:7" ht="15.6" x14ac:dyDescent="0.3">
      <c r="A265" s="63"/>
      <c r="B265" s="64"/>
      <c r="C265" s="64"/>
      <c r="D265" s="65"/>
      <c r="E265" s="66"/>
      <c r="F265" s="67">
        <f t="shared" si="9"/>
        <v>0</v>
      </c>
      <c r="G265" s="68"/>
    </row>
    <row r="266" spans="1:7" ht="15.6" x14ac:dyDescent="0.3">
      <c r="A266" s="63"/>
      <c r="B266" s="64"/>
      <c r="C266" s="64"/>
      <c r="D266" s="65"/>
      <c r="E266" s="66"/>
      <c r="F266" s="67">
        <f t="shared" si="9"/>
        <v>0</v>
      </c>
      <c r="G266" s="68"/>
    </row>
    <row r="267" spans="1:7" ht="15.6" x14ac:dyDescent="0.3">
      <c r="A267" s="63"/>
      <c r="B267" s="64"/>
      <c r="C267" s="64"/>
      <c r="D267" s="65"/>
      <c r="E267" s="66"/>
      <c r="F267" s="67">
        <f t="shared" si="9"/>
        <v>0</v>
      </c>
      <c r="G267" s="68"/>
    </row>
    <row r="268" spans="1:7" ht="15.6" x14ac:dyDescent="0.3">
      <c r="A268" s="63"/>
      <c r="B268" s="64"/>
      <c r="C268" s="64"/>
      <c r="D268" s="65"/>
      <c r="E268" s="66"/>
      <c r="F268" s="67">
        <f t="shared" si="9"/>
        <v>0</v>
      </c>
      <c r="G268" s="68"/>
    </row>
    <row r="269" spans="1:7" ht="15.6" x14ac:dyDescent="0.3">
      <c r="A269" s="63"/>
      <c r="B269" s="64"/>
      <c r="C269" s="64"/>
      <c r="D269" s="65"/>
      <c r="E269" s="66"/>
      <c r="F269" s="67">
        <f t="shared" si="9"/>
        <v>0</v>
      </c>
      <c r="G269" s="68"/>
    </row>
    <row r="270" spans="1:7" ht="15.6" x14ac:dyDescent="0.3">
      <c r="A270" s="69"/>
      <c r="B270" s="64"/>
      <c r="C270" s="64"/>
      <c r="D270" s="65"/>
      <c r="E270" s="66"/>
      <c r="F270" s="67">
        <f t="shared" si="9"/>
        <v>0</v>
      </c>
      <c r="G270" s="68"/>
    </row>
    <row r="271" spans="1:7" ht="15.6" x14ac:dyDescent="0.3">
      <c r="A271" s="69"/>
      <c r="B271" s="64"/>
      <c r="C271" s="64"/>
      <c r="D271" s="65"/>
      <c r="E271" s="66"/>
      <c r="F271" s="67">
        <f t="shared" si="9"/>
        <v>0</v>
      </c>
      <c r="G271" s="68"/>
    </row>
    <row r="272" spans="1:7" ht="15.6" x14ac:dyDescent="0.3">
      <c r="A272" s="69"/>
      <c r="B272" s="64"/>
      <c r="C272" s="64"/>
      <c r="D272" s="65"/>
      <c r="E272" s="66"/>
      <c r="F272" s="67">
        <f t="shared" si="9"/>
        <v>0</v>
      </c>
      <c r="G272" s="68"/>
    </row>
    <row r="273" spans="1:7" ht="15.6" x14ac:dyDescent="0.3">
      <c r="A273" s="69"/>
      <c r="B273" s="64"/>
      <c r="C273" s="64"/>
      <c r="D273" s="65"/>
      <c r="E273" s="66"/>
      <c r="F273" s="67">
        <f t="shared" si="9"/>
        <v>0</v>
      </c>
      <c r="G273" s="68"/>
    </row>
    <row r="274" spans="1:7" ht="15.6" x14ac:dyDescent="0.3">
      <c r="A274" s="69"/>
      <c r="B274" s="64"/>
      <c r="C274" s="64"/>
      <c r="D274" s="65"/>
      <c r="E274" s="66"/>
      <c r="F274" s="67">
        <f t="shared" si="9"/>
        <v>0</v>
      </c>
      <c r="G274" s="68"/>
    </row>
    <row r="275" spans="1:7" ht="15.6" x14ac:dyDescent="0.3">
      <c r="A275" s="70"/>
      <c r="B275" s="71"/>
      <c r="C275" s="71"/>
      <c r="D275" s="72"/>
      <c r="E275" s="73"/>
      <c r="F275" s="74">
        <f t="shared" si="9"/>
        <v>0</v>
      </c>
      <c r="G275" s="75"/>
    </row>
    <row r="276" spans="1:7" ht="17.399999999999999" x14ac:dyDescent="0.3">
      <c r="A276" s="76"/>
      <c r="B276" s="77"/>
      <c r="C276" s="164" t="s">
        <v>27</v>
      </c>
      <c r="D276" s="164"/>
      <c r="E276" s="78"/>
      <c r="F276" s="79">
        <f>SUM(F260:F274)</f>
        <v>24077.81</v>
      </c>
      <c r="G276" s="80"/>
    </row>
    <row r="277" spans="1:7" ht="17.399999999999999" x14ac:dyDescent="0.3">
      <c r="A277" s="81"/>
      <c r="B277" s="82"/>
      <c r="C277" s="165" t="s">
        <v>28</v>
      </c>
      <c r="D277" s="165"/>
      <c r="E277" s="83"/>
      <c r="F277" s="84">
        <f>F276*0.16</f>
        <v>3852.4496000000004</v>
      </c>
      <c r="G277" s="85"/>
    </row>
    <row r="278" spans="1:7" ht="17.399999999999999" x14ac:dyDescent="0.3">
      <c r="A278" s="81"/>
      <c r="B278" s="82"/>
      <c r="C278" s="166" t="s">
        <v>29</v>
      </c>
      <c r="D278" s="166"/>
      <c r="E278" s="86"/>
      <c r="F278" s="87">
        <f>F276+F277</f>
        <v>27930.259600000001</v>
      </c>
      <c r="G278" s="88"/>
    </row>
    <row r="279" spans="1:7" ht="15.6" x14ac:dyDescent="0.3">
      <c r="A279" s="167" t="s">
        <v>30</v>
      </c>
      <c r="B279" s="168"/>
      <c r="C279" s="89" t="s">
        <v>31</v>
      </c>
      <c r="D279" s="89"/>
      <c r="E279" s="168" t="s">
        <v>32</v>
      </c>
      <c r="F279" s="168"/>
      <c r="G279" s="169"/>
    </row>
    <row r="280" spans="1:7" ht="15.6" x14ac:dyDescent="0.3">
      <c r="A280" s="170" t="s">
        <v>467</v>
      </c>
      <c r="B280" s="171"/>
      <c r="C280" s="104" t="s">
        <v>33</v>
      </c>
      <c r="D280" s="90"/>
      <c r="E280" s="171" t="s">
        <v>273</v>
      </c>
      <c r="F280" s="171"/>
      <c r="G280" s="172"/>
    </row>
    <row r="283" spans="1:7" ht="21" x14ac:dyDescent="0.4">
      <c r="A283" s="49"/>
      <c r="B283" s="184" t="s">
        <v>45</v>
      </c>
      <c r="C283" s="185"/>
      <c r="D283" s="190" t="s">
        <v>36</v>
      </c>
      <c r="E283" s="191"/>
      <c r="F283" s="191"/>
      <c r="G283" s="192"/>
    </row>
    <row r="284" spans="1:7" ht="21" x14ac:dyDescent="0.4">
      <c r="A284" s="50"/>
      <c r="B284" s="186"/>
      <c r="C284" s="187"/>
      <c r="D284" s="193" t="s">
        <v>1</v>
      </c>
      <c r="E284" s="194"/>
      <c r="F284" s="195" t="s">
        <v>620</v>
      </c>
      <c r="G284" s="177"/>
    </row>
    <row r="285" spans="1:7" ht="21" x14ac:dyDescent="0.4">
      <c r="A285" s="50"/>
      <c r="B285" s="186"/>
      <c r="C285" s="187"/>
      <c r="D285" s="193" t="s">
        <v>267</v>
      </c>
      <c r="E285" s="194"/>
      <c r="F285" s="176">
        <v>23</v>
      </c>
      <c r="G285" s="177"/>
    </row>
    <row r="286" spans="1:7" ht="21" x14ac:dyDescent="0.4">
      <c r="A286" s="51"/>
      <c r="B286" s="188"/>
      <c r="C286" s="189"/>
      <c r="D286" s="178" t="s">
        <v>38</v>
      </c>
      <c r="E286" s="179"/>
      <c r="F286" s="180" t="s">
        <v>625</v>
      </c>
      <c r="G286" s="181"/>
    </row>
    <row r="287" spans="1:7" ht="20.399999999999999" x14ac:dyDescent="0.35">
      <c r="A287" s="52" t="s">
        <v>39</v>
      </c>
      <c r="B287" s="53" t="s">
        <v>279</v>
      </c>
      <c r="C287" s="54"/>
      <c r="D287" s="54"/>
      <c r="E287" s="182" t="s">
        <v>624</v>
      </c>
      <c r="F287" s="182"/>
      <c r="G287" s="183"/>
    </row>
    <row r="288" spans="1:7" ht="20.399999999999999" x14ac:dyDescent="0.35">
      <c r="A288" s="52" t="s">
        <v>40</v>
      </c>
      <c r="B288" s="173" t="s">
        <v>616</v>
      </c>
      <c r="C288" s="174"/>
      <c r="D288" s="174"/>
      <c r="E288" s="174"/>
      <c r="F288" s="174"/>
      <c r="G288" s="175"/>
    </row>
    <row r="289" spans="1:11" ht="20.399999999999999" x14ac:dyDescent="0.35">
      <c r="A289" s="52" t="s">
        <v>41</v>
      </c>
      <c r="B289" s="173" t="s">
        <v>529</v>
      </c>
      <c r="C289" s="174"/>
      <c r="D289" s="174"/>
      <c r="E289" s="174"/>
      <c r="F289" s="174"/>
      <c r="G289" s="175"/>
    </row>
    <row r="290" spans="1:11" ht="20.399999999999999" x14ac:dyDescent="0.35">
      <c r="A290" s="52" t="s">
        <v>42</v>
      </c>
      <c r="B290" s="173" t="s">
        <v>175</v>
      </c>
      <c r="C290" s="174"/>
      <c r="D290" s="174"/>
      <c r="E290" s="174"/>
      <c r="F290" s="174"/>
      <c r="G290" s="175"/>
    </row>
    <row r="291" spans="1:11" ht="15" x14ac:dyDescent="0.3">
      <c r="A291" s="103" t="s">
        <v>8</v>
      </c>
      <c r="B291" s="103" t="s">
        <v>9</v>
      </c>
      <c r="C291" s="103" t="s">
        <v>10</v>
      </c>
      <c r="D291" s="103" t="s">
        <v>43</v>
      </c>
      <c r="E291" s="103" t="s">
        <v>12</v>
      </c>
      <c r="F291" s="103" t="s">
        <v>13</v>
      </c>
      <c r="G291" s="103" t="s">
        <v>14</v>
      </c>
    </row>
    <row r="292" spans="1:11" ht="62.4" x14ac:dyDescent="0.3">
      <c r="A292" s="57">
        <v>2</v>
      </c>
      <c r="B292" s="58" t="s">
        <v>15</v>
      </c>
      <c r="C292" s="58" t="s">
        <v>305</v>
      </c>
      <c r="D292" s="59"/>
      <c r="E292" s="60">
        <v>2978.13</v>
      </c>
      <c r="F292" s="61">
        <f t="shared" ref="F292:F301" si="10">A292*E292</f>
        <v>5956.26</v>
      </c>
      <c r="G292" s="62"/>
    </row>
    <row r="293" spans="1:11" ht="46.8" x14ac:dyDescent="0.3">
      <c r="A293" s="63">
        <v>2</v>
      </c>
      <c r="B293" s="64" t="s">
        <v>15</v>
      </c>
      <c r="C293" s="64" t="s">
        <v>306</v>
      </c>
      <c r="D293" s="65"/>
      <c r="E293" s="66">
        <v>460</v>
      </c>
      <c r="F293" s="67">
        <f t="shared" si="10"/>
        <v>920</v>
      </c>
      <c r="G293" s="68"/>
    </row>
    <row r="294" spans="1:11" ht="46.8" x14ac:dyDescent="0.3">
      <c r="A294" s="63">
        <v>2</v>
      </c>
      <c r="B294" s="64" t="s">
        <v>15</v>
      </c>
      <c r="C294" s="64" t="s">
        <v>307</v>
      </c>
      <c r="D294" s="65"/>
      <c r="E294" s="66">
        <v>17</v>
      </c>
      <c r="F294" s="67">
        <f t="shared" si="10"/>
        <v>34</v>
      </c>
      <c r="G294" s="68"/>
    </row>
    <row r="295" spans="1:11" ht="93.6" x14ac:dyDescent="0.3">
      <c r="A295" s="63">
        <v>1</v>
      </c>
      <c r="B295" s="64" t="s">
        <v>15</v>
      </c>
      <c r="C295" s="64" t="s">
        <v>308</v>
      </c>
      <c r="D295" s="65"/>
      <c r="E295" s="66">
        <v>245.6</v>
      </c>
      <c r="F295" s="67">
        <f t="shared" si="10"/>
        <v>245.6</v>
      </c>
      <c r="G295" s="68"/>
    </row>
    <row r="296" spans="1:11" ht="31.2" x14ac:dyDescent="0.3">
      <c r="A296" s="69">
        <v>3</v>
      </c>
      <c r="B296" s="64" t="s">
        <v>15</v>
      </c>
      <c r="C296" s="64" t="s">
        <v>516</v>
      </c>
      <c r="D296" s="65">
        <v>300003</v>
      </c>
      <c r="E296" s="66">
        <v>237.7</v>
      </c>
      <c r="F296" s="67">
        <f t="shared" si="10"/>
        <v>713.09999999999991</v>
      </c>
      <c r="G296" s="68"/>
    </row>
    <row r="297" spans="1:11" ht="15.6" x14ac:dyDescent="0.3">
      <c r="A297" s="69"/>
      <c r="B297" s="64"/>
      <c r="C297" s="64"/>
      <c r="D297" s="65"/>
      <c r="E297" s="66"/>
      <c r="F297" s="67">
        <f t="shared" si="10"/>
        <v>0</v>
      </c>
      <c r="G297" s="68"/>
      <c r="K297" t="s">
        <v>628</v>
      </c>
    </row>
    <row r="298" spans="1:11" ht="15.6" x14ac:dyDescent="0.3">
      <c r="A298" s="69"/>
      <c r="B298" s="64"/>
      <c r="C298" s="64"/>
      <c r="D298" s="65"/>
      <c r="E298" s="66"/>
      <c r="F298" s="67">
        <f t="shared" si="10"/>
        <v>0</v>
      </c>
      <c r="G298" s="68"/>
      <c r="K298" t="s">
        <v>629</v>
      </c>
    </row>
    <row r="299" spans="1:11" ht="15.6" x14ac:dyDescent="0.3">
      <c r="A299" s="69"/>
      <c r="B299" s="64"/>
      <c r="C299" s="64"/>
      <c r="D299" s="65"/>
      <c r="E299" s="66"/>
      <c r="F299" s="67">
        <f t="shared" si="10"/>
        <v>0</v>
      </c>
      <c r="G299" s="68"/>
    </row>
    <row r="300" spans="1:11" ht="15.6" x14ac:dyDescent="0.3">
      <c r="A300" s="69"/>
      <c r="B300" s="64"/>
      <c r="C300" s="64"/>
      <c r="D300" s="65"/>
      <c r="E300" s="66"/>
      <c r="F300" s="67">
        <f t="shared" si="10"/>
        <v>0</v>
      </c>
      <c r="G300" s="68"/>
    </row>
    <row r="301" spans="1:11" ht="15.6" x14ac:dyDescent="0.3">
      <c r="A301" s="70"/>
      <c r="B301" s="71"/>
      <c r="C301" s="71"/>
      <c r="D301" s="72"/>
      <c r="E301" s="73"/>
      <c r="F301" s="74">
        <f t="shared" si="10"/>
        <v>0</v>
      </c>
      <c r="G301" s="75"/>
    </row>
    <row r="302" spans="1:11" ht="17.399999999999999" x14ac:dyDescent="0.3">
      <c r="A302" s="76"/>
      <c r="B302" s="77"/>
      <c r="C302" s="164" t="s">
        <v>27</v>
      </c>
      <c r="D302" s="164"/>
      <c r="E302" s="78"/>
      <c r="F302" s="79">
        <f>SUM(F292:F300)</f>
        <v>7868.9600000000009</v>
      </c>
      <c r="G302" s="80"/>
    </row>
    <row r="303" spans="1:11" ht="17.399999999999999" x14ac:dyDescent="0.3">
      <c r="A303" s="81"/>
      <c r="B303" s="82"/>
      <c r="C303" s="165" t="s">
        <v>28</v>
      </c>
      <c r="D303" s="165"/>
      <c r="E303" s="83"/>
      <c r="F303" s="84">
        <f>F302*0.16</f>
        <v>1259.0336000000002</v>
      </c>
      <c r="G303" s="85"/>
    </row>
    <row r="304" spans="1:11" ht="17.399999999999999" x14ac:dyDescent="0.3">
      <c r="A304" s="81"/>
      <c r="B304" s="82"/>
      <c r="C304" s="166" t="s">
        <v>29</v>
      </c>
      <c r="D304" s="166"/>
      <c r="E304" s="86"/>
      <c r="F304" s="87">
        <f>F302+F303</f>
        <v>9127.9936000000016</v>
      </c>
      <c r="G304" s="88"/>
    </row>
    <row r="305" spans="1:7" ht="15.6" x14ac:dyDescent="0.3">
      <c r="A305" s="167" t="s">
        <v>30</v>
      </c>
      <c r="B305" s="168"/>
      <c r="C305" s="89" t="s">
        <v>31</v>
      </c>
      <c r="D305" s="89"/>
      <c r="E305" s="168" t="s">
        <v>32</v>
      </c>
      <c r="F305" s="168"/>
      <c r="G305" s="169"/>
    </row>
    <row r="306" spans="1:7" ht="15.6" x14ac:dyDescent="0.3">
      <c r="A306" s="170" t="s">
        <v>467</v>
      </c>
      <c r="B306" s="171"/>
      <c r="C306" s="90" t="s">
        <v>33</v>
      </c>
      <c r="D306" s="90"/>
      <c r="E306" s="171" t="s">
        <v>273</v>
      </c>
      <c r="F306" s="171"/>
      <c r="G306" s="172"/>
    </row>
    <row r="309" spans="1:7" ht="21" customHeight="1" x14ac:dyDescent="0.4">
      <c r="A309" s="49"/>
      <c r="B309" s="184" t="s">
        <v>45</v>
      </c>
      <c r="C309" s="185"/>
      <c r="D309" s="190" t="s">
        <v>36</v>
      </c>
      <c r="E309" s="191"/>
      <c r="F309" s="191"/>
      <c r="G309" s="192"/>
    </row>
    <row r="310" spans="1:7" ht="21" customHeight="1" x14ac:dyDescent="0.4">
      <c r="A310" s="50"/>
      <c r="B310" s="186"/>
      <c r="C310" s="187"/>
      <c r="D310" s="193" t="s">
        <v>1</v>
      </c>
      <c r="E310" s="194"/>
      <c r="F310" s="195" t="s">
        <v>620</v>
      </c>
      <c r="G310" s="177"/>
    </row>
    <row r="311" spans="1:7" ht="21" customHeight="1" x14ac:dyDescent="0.4">
      <c r="A311" s="50"/>
      <c r="B311" s="186"/>
      <c r="C311" s="187"/>
      <c r="D311" s="193" t="s">
        <v>267</v>
      </c>
      <c r="E311" s="194"/>
      <c r="F311" s="176">
        <v>23</v>
      </c>
      <c r="G311" s="177"/>
    </row>
    <row r="312" spans="1:7" ht="21" customHeight="1" x14ac:dyDescent="0.4">
      <c r="A312" s="51"/>
      <c r="B312" s="188"/>
      <c r="C312" s="189"/>
      <c r="D312" s="178" t="s">
        <v>38</v>
      </c>
      <c r="E312" s="179"/>
      <c r="F312" s="180" t="s">
        <v>627</v>
      </c>
      <c r="G312" s="181"/>
    </row>
    <row r="313" spans="1:7" ht="20.399999999999999" x14ac:dyDescent="0.35">
      <c r="A313" s="52" t="s">
        <v>39</v>
      </c>
      <c r="B313" s="53" t="s">
        <v>279</v>
      </c>
      <c r="C313" s="54"/>
      <c r="D313" s="54"/>
      <c r="E313" s="182" t="s">
        <v>624</v>
      </c>
      <c r="F313" s="182"/>
      <c r="G313" s="183"/>
    </row>
    <row r="314" spans="1:7" ht="20.399999999999999" x14ac:dyDescent="0.35">
      <c r="A314" s="52" t="s">
        <v>40</v>
      </c>
      <c r="B314" s="173"/>
      <c r="C314" s="174"/>
      <c r="D314" s="174"/>
      <c r="E314" s="174"/>
      <c r="F314" s="174"/>
      <c r="G314" s="175"/>
    </row>
    <row r="315" spans="1:7" ht="20.399999999999999" x14ac:dyDescent="0.35">
      <c r="A315" s="52" t="s">
        <v>41</v>
      </c>
      <c r="B315" s="173" t="s">
        <v>272</v>
      </c>
      <c r="C315" s="174"/>
      <c r="D315" s="174"/>
      <c r="E315" s="174"/>
      <c r="F315" s="174"/>
      <c r="G315" s="175"/>
    </row>
    <row r="316" spans="1:7" ht="20.399999999999999" x14ac:dyDescent="0.35">
      <c r="A316" s="52" t="s">
        <v>42</v>
      </c>
      <c r="B316" s="173" t="s">
        <v>278</v>
      </c>
      <c r="C316" s="174"/>
      <c r="D316" s="174"/>
      <c r="E316" s="174"/>
      <c r="F316" s="174"/>
      <c r="G316" s="175"/>
    </row>
    <row r="317" spans="1:7" ht="15" x14ac:dyDescent="0.3">
      <c r="A317" s="103" t="s">
        <v>8</v>
      </c>
      <c r="B317" s="103" t="s">
        <v>9</v>
      </c>
      <c r="C317" s="103" t="s">
        <v>10</v>
      </c>
      <c r="D317" s="103" t="s">
        <v>43</v>
      </c>
      <c r="E317" s="103" t="s">
        <v>12</v>
      </c>
      <c r="F317" s="103" t="s">
        <v>13</v>
      </c>
      <c r="G317" s="103" t="s">
        <v>14</v>
      </c>
    </row>
    <row r="318" spans="1:7" ht="31.2" x14ac:dyDescent="0.3">
      <c r="A318" s="57">
        <v>20</v>
      </c>
      <c r="B318" s="58" t="s">
        <v>112</v>
      </c>
      <c r="C318" s="58" t="s">
        <v>276</v>
      </c>
      <c r="D318" s="59" t="s">
        <v>277</v>
      </c>
      <c r="E318" s="60">
        <v>37.17</v>
      </c>
      <c r="F318" s="61">
        <f t="shared" ref="F318:F327" si="11">A318*E318</f>
        <v>743.40000000000009</v>
      </c>
      <c r="G318" s="62"/>
    </row>
    <row r="319" spans="1:7" ht="52.8" customHeight="1" x14ac:dyDescent="0.3">
      <c r="A319" s="63">
        <v>5</v>
      </c>
      <c r="B319" s="64" t="s">
        <v>112</v>
      </c>
      <c r="C319" s="64" t="s">
        <v>626</v>
      </c>
      <c r="D319" s="65"/>
      <c r="E319" s="66">
        <v>97.61</v>
      </c>
      <c r="F319" s="67">
        <f t="shared" si="11"/>
        <v>488.05</v>
      </c>
      <c r="G319" s="68"/>
    </row>
    <row r="320" spans="1:7" ht="15.6" x14ac:dyDescent="0.3">
      <c r="A320" s="63"/>
      <c r="B320" s="64"/>
      <c r="C320" s="64"/>
      <c r="D320" s="65"/>
      <c r="E320" s="66"/>
      <c r="F320" s="67">
        <f t="shared" si="11"/>
        <v>0</v>
      </c>
      <c r="G320" s="68"/>
    </row>
    <row r="321" spans="1:7" ht="15.6" x14ac:dyDescent="0.3">
      <c r="A321" s="63"/>
      <c r="B321" s="64"/>
      <c r="C321" s="64"/>
      <c r="D321" s="65"/>
      <c r="E321" s="66"/>
      <c r="F321" s="67">
        <f t="shared" si="11"/>
        <v>0</v>
      </c>
      <c r="G321" s="68"/>
    </row>
    <row r="322" spans="1:7" ht="15.6" x14ac:dyDescent="0.3">
      <c r="A322" s="69"/>
      <c r="B322" s="64"/>
      <c r="C322" s="64"/>
      <c r="D322" s="65"/>
      <c r="E322" s="66"/>
      <c r="F322" s="67">
        <f t="shared" si="11"/>
        <v>0</v>
      </c>
      <c r="G322" s="68"/>
    </row>
    <row r="323" spans="1:7" ht="15.6" x14ac:dyDescent="0.3">
      <c r="A323" s="69"/>
      <c r="B323" s="64"/>
      <c r="C323" s="64"/>
      <c r="D323" s="65"/>
      <c r="E323" s="66"/>
      <c r="F323" s="67">
        <f t="shared" si="11"/>
        <v>0</v>
      </c>
      <c r="G323" s="68"/>
    </row>
    <row r="324" spans="1:7" ht="15.6" x14ac:dyDescent="0.3">
      <c r="A324" s="69"/>
      <c r="B324" s="64"/>
      <c r="C324" s="64"/>
      <c r="D324" s="65"/>
      <c r="E324" s="66"/>
      <c r="F324" s="67">
        <f t="shared" si="11"/>
        <v>0</v>
      </c>
      <c r="G324" s="68"/>
    </row>
    <row r="325" spans="1:7" ht="15.6" x14ac:dyDescent="0.3">
      <c r="A325" s="69"/>
      <c r="B325" s="64"/>
      <c r="C325" s="64"/>
      <c r="D325" s="65"/>
      <c r="E325" s="66"/>
      <c r="F325" s="67">
        <f t="shared" si="11"/>
        <v>0</v>
      </c>
      <c r="G325" s="68"/>
    </row>
    <row r="326" spans="1:7" ht="15.6" x14ac:dyDescent="0.3">
      <c r="A326" s="69"/>
      <c r="B326" s="64"/>
      <c r="C326" s="64"/>
      <c r="D326" s="65"/>
      <c r="E326" s="66"/>
      <c r="F326" s="67">
        <f t="shared" si="11"/>
        <v>0</v>
      </c>
      <c r="G326" s="68"/>
    </row>
    <row r="327" spans="1:7" ht="15.6" x14ac:dyDescent="0.3">
      <c r="A327" s="70"/>
      <c r="B327" s="71"/>
      <c r="C327" s="71"/>
      <c r="D327" s="72"/>
      <c r="E327" s="73"/>
      <c r="F327" s="74">
        <f t="shared" si="11"/>
        <v>0</v>
      </c>
      <c r="G327" s="75"/>
    </row>
    <row r="328" spans="1:7" ht="17.399999999999999" x14ac:dyDescent="0.3">
      <c r="A328" s="76"/>
      <c r="B328" s="77"/>
      <c r="C328" s="164" t="s">
        <v>27</v>
      </c>
      <c r="D328" s="164"/>
      <c r="E328" s="78"/>
      <c r="F328" s="79">
        <f>SUM(F318:F326)</f>
        <v>1231.45</v>
      </c>
      <c r="G328" s="80"/>
    </row>
    <row r="329" spans="1:7" ht="17.399999999999999" x14ac:dyDescent="0.3">
      <c r="A329" s="81"/>
      <c r="B329" s="82"/>
      <c r="C329" s="165" t="s">
        <v>28</v>
      </c>
      <c r="D329" s="165"/>
      <c r="E329" s="83"/>
      <c r="F329" s="84">
        <f>F328*0.16</f>
        <v>197.03200000000001</v>
      </c>
      <c r="G329" s="85"/>
    </row>
    <row r="330" spans="1:7" ht="17.399999999999999" x14ac:dyDescent="0.3">
      <c r="A330" s="81"/>
      <c r="B330" s="82"/>
      <c r="C330" s="166" t="s">
        <v>29</v>
      </c>
      <c r="D330" s="166"/>
      <c r="E330" s="86"/>
      <c r="F330" s="87">
        <f>F328+F329</f>
        <v>1428.482</v>
      </c>
      <c r="G330" s="88"/>
    </row>
    <row r="331" spans="1:7" ht="15.6" x14ac:dyDescent="0.3">
      <c r="A331" s="167" t="s">
        <v>30</v>
      </c>
      <c r="B331" s="168"/>
      <c r="C331" s="89" t="s">
        <v>31</v>
      </c>
      <c r="D331" s="89"/>
      <c r="E331" s="168" t="s">
        <v>32</v>
      </c>
      <c r="F331" s="168"/>
      <c r="G331" s="169"/>
    </row>
    <row r="332" spans="1:7" ht="15.6" x14ac:dyDescent="0.3">
      <c r="A332" s="170" t="s">
        <v>467</v>
      </c>
      <c r="B332" s="171"/>
      <c r="C332" s="104" t="s">
        <v>33</v>
      </c>
      <c r="D332" s="90"/>
      <c r="E332" s="171" t="s">
        <v>273</v>
      </c>
      <c r="F332" s="171"/>
      <c r="G332" s="172"/>
    </row>
    <row r="336" spans="1:7" ht="21" x14ac:dyDescent="0.4">
      <c r="A336" s="49"/>
      <c r="B336" s="184" t="s">
        <v>45</v>
      </c>
      <c r="C336" s="185"/>
      <c r="D336" s="190" t="s">
        <v>36</v>
      </c>
      <c r="E336" s="191"/>
      <c r="F336" s="191"/>
      <c r="G336" s="192"/>
    </row>
    <row r="337" spans="1:7" ht="21" x14ac:dyDescent="0.4">
      <c r="A337" s="50"/>
      <c r="B337" s="186"/>
      <c r="C337" s="187"/>
      <c r="D337" s="193" t="s">
        <v>1</v>
      </c>
      <c r="E337" s="194"/>
      <c r="F337" s="195" t="s">
        <v>631</v>
      </c>
      <c r="G337" s="177"/>
    </row>
    <row r="338" spans="1:7" ht="21" x14ac:dyDescent="0.4">
      <c r="A338" s="50"/>
      <c r="B338" s="186"/>
      <c r="C338" s="187"/>
      <c r="D338" s="193" t="s">
        <v>267</v>
      </c>
      <c r="E338" s="194"/>
      <c r="F338" s="176">
        <v>23</v>
      </c>
      <c r="G338" s="177"/>
    </row>
    <row r="339" spans="1:7" ht="21" x14ac:dyDescent="0.4">
      <c r="A339" s="51"/>
      <c r="B339" s="188"/>
      <c r="C339" s="189"/>
      <c r="D339" s="178" t="s">
        <v>38</v>
      </c>
      <c r="E339" s="179"/>
      <c r="F339" s="180" t="s">
        <v>632</v>
      </c>
      <c r="G339" s="181"/>
    </row>
    <row r="340" spans="1:7" ht="20.399999999999999" x14ac:dyDescent="0.35">
      <c r="A340" s="52" t="s">
        <v>39</v>
      </c>
      <c r="B340" s="53" t="s">
        <v>273</v>
      </c>
      <c r="C340" s="54"/>
      <c r="D340" s="54"/>
      <c r="E340" s="182" t="s">
        <v>566</v>
      </c>
      <c r="F340" s="182"/>
      <c r="G340" s="183"/>
    </row>
    <row r="341" spans="1:7" ht="20.399999999999999" x14ac:dyDescent="0.35">
      <c r="A341" s="52" t="s">
        <v>40</v>
      </c>
      <c r="B341" s="173"/>
      <c r="C341" s="174"/>
      <c r="D341" s="174"/>
      <c r="E341" s="174"/>
      <c r="F341" s="174"/>
      <c r="G341" s="175"/>
    </row>
    <row r="342" spans="1:7" ht="20.399999999999999" x14ac:dyDescent="0.35">
      <c r="A342" s="52" t="s">
        <v>41</v>
      </c>
      <c r="B342" s="173" t="s">
        <v>272</v>
      </c>
      <c r="C342" s="174"/>
      <c r="D342" s="174"/>
      <c r="E342" s="174"/>
      <c r="F342" s="174"/>
      <c r="G342" s="175"/>
    </row>
    <row r="343" spans="1:7" ht="20.399999999999999" x14ac:dyDescent="0.35">
      <c r="A343" s="52" t="s">
        <v>42</v>
      </c>
      <c r="B343" s="173" t="s">
        <v>7</v>
      </c>
      <c r="C343" s="174"/>
      <c r="D343" s="174"/>
      <c r="E343" s="174"/>
      <c r="F343" s="174"/>
      <c r="G343" s="175"/>
    </row>
    <row r="344" spans="1:7" ht="15" x14ac:dyDescent="0.3">
      <c r="A344" s="103" t="s">
        <v>8</v>
      </c>
      <c r="B344" s="103" t="s">
        <v>9</v>
      </c>
      <c r="C344" s="103" t="s">
        <v>10</v>
      </c>
      <c r="D344" s="103" t="s">
        <v>43</v>
      </c>
      <c r="E344" s="103" t="s">
        <v>12</v>
      </c>
      <c r="F344" s="103" t="s">
        <v>13</v>
      </c>
      <c r="G344" s="103" t="s">
        <v>14</v>
      </c>
    </row>
    <row r="345" spans="1:7" ht="15.6" x14ac:dyDescent="0.3">
      <c r="A345" s="57">
        <v>0.48599999999999999</v>
      </c>
      <c r="B345" s="58" t="s">
        <v>562</v>
      </c>
      <c r="C345" s="58" t="s">
        <v>630</v>
      </c>
      <c r="D345" s="59">
        <v>480919</v>
      </c>
      <c r="E345" s="60">
        <v>16700</v>
      </c>
      <c r="F345" s="61">
        <f t="shared" ref="F345:F354" si="12">A345*E345</f>
        <v>8116.2</v>
      </c>
      <c r="G345" s="62"/>
    </row>
    <row r="346" spans="1:7" ht="15.6" x14ac:dyDescent="0.3">
      <c r="A346" s="63"/>
      <c r="B346" s="64"/>
      <c r="C346" s="64"/>
      <c r="D346" s="65"/>
      <c r="E346" s="66"/>
      <c r="F346" s="67">
        <f t="shared" si="12"/>
        <v>0</v>
      </c>
      <c r="G346" s="68"/>
    </row>
    <row r="347" spans="1:7" ht="15.6" x14ac:dyDescent="0.3">
      <c r="A347" s="63"/>
      <c r="B347" s="64"/>
      <c r="C347" s="64"/>
      <c r="D347" s="65"/>
      <c r="E347" s="66"/>
      <c r="F347" s="67">
        <f t="shared" si="12"/>
        <v>0</v>
      </c>
      <c r="G347" s="68"/>
    </row>
    <row r="348" spans="1:7" ht="15.6" x14ac:dyDescent="0.3">
      <c r="A348" s="63"/>
      <c r="B348" s="64"/>
      <c r="C348" s="64"/>
      <c r="D348" s="65"/>
      <c r="E348" s="66"/>
      <c r="F348" s="67">
        <f t="shared" si="12"/>
        <v>0</v>
      </c>
      <c r="G348" s="68"/>
    </row>
    <row r="349" spans="1:7" ht="15.6" x14ac:dyDescent="0.3">
      <c r="A349" s="69"/>
      <c r="B349" s="64"/>
      <c r="C349" s="64"/>
      <c r="D349" s="65"/>
      <c r="E349" s="66"/>
      <c r="F349" s="67">
        <f t="shared" si="12"/>
        <v>0</v>
      </c>
      <c r="G349" s="68"/>
    </row>
    <row r="350" spans="1:7" ht="15.6" x14ac:dyDescent="0.3">
      <c r="A350" s="69"/>
      <c r="B350" s="64"/>
      <c r="C350" s="64"/>
      <c r="D350" s="65"/>
      <c r="E350" s="66"/>
      <c r="F350" s="67">
        <f t="shared" si="12"/>
        <v>0</v>
      </c>
      <c r="G350" s="68"/>
    </row>
    <row r="351" spans="1:7" ht="15.6" x14ac:dyDescent="0.3">
      <c r="A351" s="69"/>
      <c r="B351" s="64"/>
      <c r="C351" s="64"/>
      <c r="D351" s="65"/>
      <c r="E351" s="66"/>
      <c r="F351" s="67">
        <f t="shared" si="12"/>
        <v>0</v>
      </c>
      <c r="G351" s="68"/>
    </row>
    <row r="352" spans="1:7" ht="15.6" x14ac:dyDescent="0.3">
      <c r="A352" s="69"/>
      <c r="B352" s="64"/>
      <c r="C352" s="64"/>
      <c r="D352" s="65"/>
      <c r="E352" s="66"/>
      <c r="F352" s="67">
        <f t="shared" si="12"/>
        <v>0</v>
      </c>
      <c r="G352" s="68"/>
    </row>
    <row r="353" spans="1:7" ht="15.6" x14ac:dyDescent="0.3">
      <c r="A353" s="69"/>
      <c r="B353" s="64"/>
      <c r="C353" s="64"/>
      <c r="D353" s="65"/>
      <c r="E353" s="66"/>
      <c r="F353" s="67">
        <f t="shared" si="12"/>
        <v>0</v>
      </c>
      <c r="G353" s="68"/>
    </row>
    <row r="354" spans="1:7" ht="15.6" x14ac:dyDescent="0.3">
      <c r="A354" s="70"/>
      <c r="B354" s="71"/>
      <c r="C354" s="71"/>
      <c r="D354" s="72"/>
      <c r="E354" s="73"/>
      <c r="F354" s="74">
        <f t="shared" si="12"/>
        <v>0</v>
      </c>
      <c r="G354" s="75"/>
    </row>
    <row r="355" spans="1:7" ht="17.399999999999999" x14ac:dyDescent="0.3">
      <c r="A355" s="76"/>
      <c r="B355" s="77"/>
      <c r="C355" s="164" t="s">
        <v>27</v>
      </c>
      <c r="D355" s="164"/>
      <c r="E355" s="78"/>
      <c r="F355" s="79">
        <f>SUM(F345:F353)</f>
        <v>8116.2</v>
      </c>
      <c r="G355" s="80"/>
    </row>
    <row r="356" spans="1:7" ht="17.399999999999999" x14ac:dyDescent="0.3">
      <c r="A356" s="81"/>
      <c r="B356" s="82"/>
      <c r="C356" s="165" t="s">
        <v>28</v>
      </c>
      <c r="D356" s="165"/>
      <c r="E356" s="83"/>
      <c r="F356" s="84">
        <f>F355*0.16</f>
        <v>1298.5920000000001</v>
      </c>
      <c r="G356" s="85"/>
    </row>
    <row r="357" spans="1:7" ht="17.399999999999999" x14ac:dyDescent="0.3">
      <c r="A357" s="81"/>
      <c r="B357" s="82"/>
      <c r="C357" s="166" t="s">
        <v>29</v>
      </c>
      <c r="D357" s="166"/>
      <c r="E357" s="86"/>
      <c r="F357" s="87">
        <f>F355+F356</f>
        <v>9414.7919999999995</v>
      </c>
      <c r="G357" s="88"/>
    </row>
    <row r="358" spans="1:7" ht="15.6" x14ac:dyDescent="0.3">
      <c r="A358" s="167" t="s">
        <v>30</v>
      </c>
      <c r="B358" s="168"/>
      <c r="C358" s="89" t="s">
        <v>31</v>
      </c>
      <c r="D358" s="89"/>
      <c r="E358" s="168" t="s">
        <v>32</v>
      </c>
      <c r="F358" s="168"/>
      <c r="G358" s="169"/>
    </row>
    <row r="359" spans="1:7" ht="15.6" x14ac:dyDescent="0.3">
      <c r="A359" s="170" t="s">
        <v>444</v>
      </c>
      <c r="B359" s="171"/>
      <c r="C359" s="104" t="s">
        <v>33</v>
      </c>
      <c r="D359" s="90"/>
      <c r="E359" s="171" t="s">
        <v>273</v>
      </c>
      <c r="F359" s="171"/>
      <c r="G359" s="172"/>
    </row>
  </sheetData>
  <mergeCells count="179">
    <mergeCell ref="B341:G341"/>
    <mergeCell ref="B342:G342"/>
    <mergeCell ref="B343:G343"/>
    <mergeCell ref="C355:D355"/>
    <mergeCell ref="C356:D356"/>
    <mergeCell ref="C357:D357"/>
    <mergeCell ref="A358:B358"/>
    <mergeCell ref="E358:G358"/>
    <mergeCell ref="A359:B359"/>
    <mergeCell ref="E359:G359"/>
    <mergeCell ref="B336:C339"/>
    <mergeCell ref="D336:G336"/>
    <mergeCell ref="D337:E337"/>
    <mergeCell ref="F337:G337"/>
    <mergeCell ref="D338:E338"/>
    <mergeCell ref="F338:G338"/>
    <mergeCell ref="D339:E339"/>
    <mergeCell ref="F339:G339"/>
    <mergeCell ref="E340:G340"/>
    <mergeCell ref="A5:C8"/>
    <mergeCell ref="D5:G5"/>
    <mergeCell ref="E6:F6"/>
    <mergeCell ref="E7:F7"/>
    <mergeCell ref="E8:F8"/>
    <mergeCell ref="B37:C40"/>
    <mergeCell ref="D37:G37"/>
    <mergeCell ref="D38:E38"/>
    <mergeCell ref="F38:G38"/>
    <mergeCell ref="D39:E39"/>
    <mergeCell ref="B44:G44"/>
    <mergeCell ref="C56:D56"/>
    <mergeCell ref="C57:D57"/>
    <mergeCell ref="C58:D58"/>
    <mergeCell ref="A59:B59"/>
    <mergeCell ref="E59:G59"/>
    <mergeCell ref="F39:G39"/>
    <mergeCell ref="D40:E40"/>
    <mergeCell ref="F40:G40"/>
    <mergeCell ref="E41:G41"/>
    <mergeCell ref="B42:G42"/>
    <mergeCell ref="B43:G43"/>
    <mergeCell ref="B70:G70"/>
    <mergeCell ref="A96:C99"/>
    <mergeCell ref="D96:G96"/>
    <mergeCell ref="E97:F97"/>
    <mergeCell ref="E98:F98"/>
    <mergeCell ref="E99:F99"/>
    <mergeCell ref="A60:B60"/>
    <mergeCell ref="E60:G60"/>
    <mergeCell ref="A64:C67"/>
    <mergeCell ref="D64:G64"/>
    <mergeCell ref="E65:F65"/>
    <mergeCell ref="E66:F66"/>
    <mergeCell ref="E67:F67"/>
    <mergeCell ref="E132:G132"/>
    <mergeCell ref="B133:G133"/>
    <mergeCell ref="B134:G134"/>
    <mergeCell ref="B135:G135"/>
    <mergeCell ref="C153:D153"/>
    <mergeCell ref="C154:D154"/>
    <mergeCell ref="B102:G102"/>
    <mergeCell ref="B128:C131"/>
    <mergeCell ref="D128:G128"/>
    <mergeCell ref="D129:E129"/>
    <mergeCell ref="F129:G129"/>
    <mergeCell ref="D130:E130"/>
    <mergeCell ref="F130:G130"/>
    <mergeCell ref="D131:E131"/>
    <mergeCell ref="F131:G131"/>
    <mergeCell ref="C155:D155"/>
    <mergeCell ref="A156:B156"/>
    <mergeCell ref="E156:G156"/>
    <mergeCell ref="A157:B157"/>
    <mergeCell ref="E157:G157"/>
    <mergeCell ref="B161:C164"/>
    <mergeCell ref="D161:G161"/>
    <mergeCell ref="D162:E162"/>
    <mergeCell ref="F162:G162"/>
    <mergeCell ref="D163:E163"/>
    <mergeCell ref="B168:G168"/>
    <mergeCell ref="C182:D182"/>
    <mergeCell ref="C183:D183"/>
    <mergeCell ref="C184:D184"/>
    <mergeCell ref="A185:B185"/>
    <mergeCell ref="E185:G185"/>
    <mergeCell ref="F163:G163"/>
    <mergeCell ref="D164:E164"/>
    <mergeCell ref="F164:G164"/>
    <mergeCell ref="E165:G165"/>
    <mergeCell ref="B166:G166"/>
    <mergeCell ref="B167:G167"/>
    <mergeCell ref="E194:G194"/>
    <mergeCell ref="B195:G195"/>
    <mergeCell ref="B196:G196"/>
    <mergeCell ref="B197:G197"/>
    <mergeCell ref="C211:D211"/>
    <mergeCell ref="C212:D212"/>
    <mergeCell ref="A186:B186"/>
    <mergeCell ref="E186:G186"/>
    <mergeCell ref="B190:C193"/>
    <mergeCell ref="D190:G190"/>
    <mergeCell ref="D191:E191"/>
    <mergeCell ref="F191:G191"/>
    <mergeCell ref="D192:E192"/>
    <mergeCell ref="F192:G192"/>
    <mergeCell ref="D193:E193"/>
    <mergeCell ref="F193:G193"/>
    <mergeCell ref="C213:D213"/>
    <mergeCell ref="A214:B214"/>
    <mergeCell ref="E214:G214"/>
    <mergeCell ref="A215:B215"/>
    <mergeCell ref="E215:G215"/>
    <mergeCell ref="B219:C222"/>
    <mergeCell ref="D219:G219"/>
    <mergeCell ref="D220:E220"/>
    <mergeCell ref="F220:G220"/>
    <mergeCell ref="D221:E221"/>
    <mergeCell ref="E255:G255"/>
    <mergeCell ref="B256:G256"/>
    <mergeCell ref="B257:G257"/>
    <mergeCell ref="B258:G258"/>
    <mergeCell ref="F221:G221"/>
    <mergeCell ref="D222:E222"/>
    <mergeCell ref="F222:G222"/>
    <mergeCell ref="B225:G225"/>
    <mergeCell ref="B251:C254"/>
    <mergeCell ref="D251:G251"/>
    <mergeCell ref="D252:E252"/>
    <mergeCell ref="F252:G252"/>
    <mergeCell ref="D253:E253"/>
    <mergeCell ref="F253:G253"/>
    <mergeCell ref="E287:G287"/>
    <mergeCell ref="B288:G288"/>
    <mergeCell ref="B289:G289"/>
    <mergeCell ref="B290:G290"/>
    <mergeCell ref="C302:D302"/>
    <mergeCell ref="C303:D303"/>
    <mergeCell ref="E223:G223"/>
    <mergeCell ref="B283:C286"/>
    <mergeCell ref="D283:G283"/>
    <mergeCell ref="D284:E284"/>
    <mergeCell ref="F284:G284"/>
    <mergeCell ref="D285:E285"/>
    <mergeCell ref="F285:G285"/>
    <mergeCell ref="D286:E286"/>
    <mergeCell ref="F286:G286"/>
    <mergeCell ref="C276:D276"/>
    <mergeCell ref="C277:D277"/>
    <mergeCell ref="C278:D278"/>
    <mergeCell ref="A279:B279"/>
    <mergeCell ref="E279:G279"/>
    <mergeCell ref="A280:B280"/>
    <mergeCell ref="E280:G280"/>
    <mergeCell ref="D254:E254"/>
    <mergeCell ref="F254:G254"/>
    <mergeCell ref="C304:D304"/>
    <mergeCell ref="A305:B305"/>
    <mergeCell ref="E305:G305"/>
    <mergeCell ref="A306:B306"/>
    <mergeCell ref="E306:G306"/>
    <mergeCell ref="B309:C312"/>
    <mergeCell ref="D309:G309"/>
    <mergeCell ref="D310:E310"/>
    <mergeCell ref="F310:G310"/>
    <mergeCell ref="D311:E311"/>
    <mergeCell ref="C328:D328"/>
    <mergeCell ref="C329:D329"/>
    <mergeCell ref="C330:D330"/>
    <mergeCell ref="A331:B331"/>
    <mergeCell ref="E331:G331"/>
    <mergeCell ref="A332:B332"/>
    <mergeCell ref="E332:G332"/>
    <mergeCell ref="B316:G316"/>
    <mergeCell ref="F311:G311"/>
    <mergeCell ref="D312:E312"/>
    <mergeCell ref="F312:G312"/>
    <mergeCell ref="E313:G313"/>
    <mergeCell ref="B314:G314"/>
    <mergeCell ref="B315:G315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32 A59 A91 A123 A156 A185 A214 A246 A279 A305 A331 A358" xr:uid="{FD14713B-69AC-4030-B7B6-5CCE4A641545}">
      <formula1>0</formula1>
      <formula2>256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EA967-D725-4C1A-BE92-7358018742AC}">
  <sheetPr>
    <pageSetUpPr fitToPage="1"/>
  </sheetPr>
  <dimension ref="A3:L357"/>
  <sheetViews>
    <sheetView topLeftCell="A147" zoomScale="70" zoomScaleNormal="70" workbookViewId="0">
      <selection activeCell="D152" sqref="A152:G184"/>
    </sheetView>
  </sheetViews>
  <sheetFormatPr baseColWidth="10" defaultRowHeight="14.4" x14ac:dyDescent="0.3"/>
  <cols>
    <col min="1" max="1" width="23.6640625" customWidth="1"/>
    <col min="2" max="2" width="19.21875" customWidth="1"/>
    <col min="3" max="3" width="36.109375" customWidth="1"/>
    <col min="4" max="4" width="18.6640625" customWidth="1"/>
    <col min="5" max="5" width="17.109375" customWidth="1"/>
    <col min="6" max="6" width="14.77734375" customWidth="1"/>
    <col min="7" max="7" width="22.5546875" customWidth="1"/>
  </cols>
  <sheetData>
    <row r="3" spans="1:7" ht="21" x14ac:dyDescent="0.4">
      <c r="A3" s="49"/>
      <c r="B3" s="184" t="s">
        <v>45</v>
      </c>
      <c r="C3" s="185"/>
      <c r="D3" s="190" t="s">
        <v>36</v>
      </c>
      <c r="E3" s="191"/>
      <c r="F3" s="191"/>
      <c r="G3" s="192"/>
    </row>
    <row r="4" spans="1:7" ht="21" x14ac:dyDescent="0.4">
      <c r="A4" s="50"/>
      <c r="B4" s="186"/>
      <c r="C4" s="187"/>
      <c r="D4" s="193" t="s">
        <v>1</v>
      </c>
      <c r="E4" s="194"/>
      <c r="F4" s="196" t="s">
        <v>555</v>
      </c>
      <c r="G4" s="177"/>
    </row>
    <row r="5" spans="1:7" ht="21" x14ac:dyDescent="0.4">
      <c r="A5" s="50"/>
      <c r="B5" s="186"/>
      <c r="C5" s="187"/>
      <c r="D5" s="193" t="s">
        <v>267</v>
      </c>
      <c r="E5" s="194"/>
      <c r="F5" s="176">
        <v>21</v>
      </c>
      <c r="G5" s="177"/>
    </row>
    <row r="6" spans="1:7" ht="21" x14ac:dyDescent="0.4">
      <c r="A6" s="51"/>
      <c r="B6" s="188"/>
      <c r="C6" s="189"/>
      <c r="D6" s="178" t="s">
        <v>38</v>
      </c>
      <c r="E6" s="179"/>
      <c r="F6" s="180" t="s">
        <v>556</v>
      </c>
      <c r="G6" s="181"/>
    </row>
    <row r="7" spans="1:7" ht="20.399999999999999" x14ac:dyDescent="0.35">
      <c r="A7" s="52" t="s">
        <v>39</v>
      </c>
      <c r="B7" s="53" t="s">
        <v>279</v>
      </c>
      <c r="C7" s="54"/>
      <c r="D7" s="54"/>
      <c r="E7" s="182" t="s">
        <v>557</v>
      </c>
      <c r="F7" s="182"/>
      <c r="G7" s="183"/>
    </row>
    <row r="8" spans="1:7" ht="20.399999999999999" x14ac:dyDescent="0.35">
      <c r="A8" s="52" t="s">
        <v>40</v>
      </c>
      <c r="B8" s="173" t="s">
        <v>468</v>
      </c>
      <c r="C8" s="174"/>
      <c r="D8" s="174"/>
      <c r="E8" s="174"/>
      <c r="F8" s="174"/>
      <c r="G8" s="175"/>
    </row>
    <row r="9" spans="1:7" ht="20.399999999999999" x14ac:dyDescent="0.35">
      <c r="A9" s="52" t="s">
        <v>41</v>
      </c>
      <c r="B9" s="173" t="s">
        <v>554</v>
      </c>
      <c r="C9" s="174"/>
      <c r="D9" s="174"/>
      <c r="E9" s="174"/>
      <c r="F9" s="174"/>
      <c r="G9" s="175"/>
    </row>
    <row r="10" spans="1:7" ht="20.399999999999999" x14ac:dyDescent="0.35">
      <c r="A10" s="52" t="s">
        <v>42</v>
      </c>
      <c r="B10" s="173" t="s">
        <v>236</v>
      </c>
      <c r="C10" s="174"/>
      <c r="D10" s="174"/>
      <c r="E10" s="174"/>
      <c r="F10" s="174"/>
      <c r="G10" s="175"/>
    </row>
    <row r="11" spans="1:7" ht="30" x14ac:dyDescent="0.3">
      <c r="A11" s="103" t="s">
        <v>8</v>
      </c>
      <c r="B11" s="103" t="s">
        <v>9</v>
      </c>
      <c r="C11" s="103" t="s">
        <v>10</v>
      </c>
      <c r="D11" s="103" t="s">
        <v>43</v>
      </c>
      <c r="E11" s="103" t="s">
        <v>12</v>
      </c>
      <c r="F11" s="103" t="s">
        <v>13</v>
      </c>
      <c r="G11" s="103" t="s">
        <v>14</v>
      </c>
    </row>
    <row r="12" spans="1:7" ht="31.2" x14ac:dyDescent="0.3">
      <c r="A12" s="57">
        <v>8</v>
      </c>
      <c r="B12" s="58" t="s">
        <v>112</v>
      </c>
      <c r="C12" s="58" t="s">
        <v>463</v>
      </c>
      <c r="D12" s="59"/>
      <c r="E12" s="60">
        <v>2200</v>
      </c>
      <c r="F12" s="67">
        <f t="shared" ref="F12:F27" si="0">A12*E12</f>
        <v>17600</v>
      </c>
      <c r="G12" s="62"/>
    </row>
    <row r="13" spans="1:7" ht="15.6" x14ac:dyDescent="0.3">
      <c r="A13" s="63"/>
      <c r="B13" s="64"/>
      <c r="C13" s="64"/>
      <c r="D13" s="65"/>
      <c r="E13" s="66"/>
      <c r="F13" s="67">
        <f t="shared" si="0"/>
        <v>0</v>
      </c>
      <c r="G13" s="68"/>
    </row>
    <row r="14" spans="1:7" ht="31.2" x14ac:dyDescent="0.3">
      <c r="A14" s="63">
        <v>4</v>
      </c>
      <c r="B14" s="64" t="s">
        <v>112</v>
      </c>
      <c r="C14" s="64" t="s">
        <v>465</v>
      </c>
      <c r="D14" s="65"/>
      <c r="E14" s="66">
        <v>492.53</v>
      </c>
      <c r="F14" s="67">
        <f t="shared" si="0"/>
        <v>1970.12</v>
      </c>
      <c r="G14" s="68" t="s">
        <v>553</v>
      </c>
    </row>
    <row r="15" spans="1:7" ht="15.6" x14ac:dyDescent="0.3">
      <c r="A15" s="63"/>
      <c r="B15" s="64"/>
      <c r="C15" s="64"/>
      <c r="D15" s="65"/>
      <c r="E15" s="66"/>
      <c r="F15" s="67">
        <f t="shared" si="0"/>
        <v>0</v>
      </c>
      <c r="G15" s="68"/>
    </row>
    <row r="16" spans="1:7" ht="15.6" x14ac:dyDescent="0.3">
      <c r="A16" s="63"/>
      <c r="B16" s="64"/>
      <c r="C16" s="64"/>
      <c r="D16" s="65"/>
      <c r="E16" s="66"/>
      <c r="F16" s="67">
        <f t="shared" si="0"/>
        <v>0</v>
      </c>
      <c r="G16" s="68"/>
    </row>
    <row r="17" spans="1:7" ht="15.6" x14ac:dyDescent="0.3">
      <c r="A17" s="63"/>
      <c r="B17" s="64"/>
      <c r="C17" s="64"/>
      <c r="D17" s="65"/>
      <c r="E17" s="66"/>
      <c r="F17" s="67">
        <f t="shared" si="0"/>
        <v>0</v>
      </c>
      <c r="G17" s="68"/>
    </row>
    <row r="18" spans="1:7" ht="15.6" x14ac:dyDescent="0.3">
      <c r="A18" s="63"/>
      <c r="B18" s="64"/>
      <c r="C18" s="64"/>
      <c r="D18" s="65"/>
      <c r="E18" s="66"/>
      <c r="F18" s="67">
        <f t="shared" si="0"/>
        <v>0</v>
      </c>
      <c r="G18" s="68"/>
    </row>
    <row r="19" spans="1:7" ht="15.6" x14ac:dyDescent="0.3">
      <c r="A19" s="63"/>
      <c r="B19" s="64"/>
      <c r="C19" s="64"/>
      <c r="D19" s="65"/>
      <c r="E19" s="66"/>
      <c r="F19" s="67">
        <f t="shared" si="0"/>
        <v>0</v>
      </c>
      <c r="G19" s="68"/>
    </row>
    <row r="20" spans="1:7" ht="15.6" x14ac:dyDescent="0.3">
      <c r="A20" s="63"/>
      <c r="B20" s="64"/>
      <c r="C20" s="64"/>
      <c r="D20" s="65"/>
      <c r="E20" s="66"/>
      <c r="F20" s="67">
        <f t="shared" si="0"/>
        <v>0</v>
      </c>
      <c r="G20" s="68"/>
    </row>
    <row r="21" spans="1:7" ht="15.6" x14ac:dyDescent="0.3">
      <c r="A21" s="63"/>
      <c r="B21" s="64"/>
      <c r="C21" s="64"/>
      <c r="D21" s="65"/>
      <c r="E21" s="66"/>
      <c r="F21" s="67">
        <f t="shared" si="0"/>
        <v>0</v>
      </c>
      <c r="G21" s="68"/>
    </row>
    <row r="22" spans="1:7" ht="15.6" x14ac:dyDescent="0.3">
      <c r="A22" s="69"/>
      <c r="B22" s="64"/>
      <c r="C22" s="64"/>
      <c r="D22" s="65"/>
      <c r="E22" s="66"/>
      <c r="F22" s="67">
        <f t="shared" si="0"/>
        <v>0</v>
      </c>
      <c r="G22" s="68"/>
    </row>
    <row r="23" spans="1:7" ht="15.6" x14ac:dyDescent="0.3">
      <c r="A23" s="69"/>
      <c r="B23" s="64"/>
      <c r="C23" s="64"/>
      <c r="D23" s="65"/>
      <c r="E23" s="66"/>
      <c r="F23" s="67">
        <f t="shared" si="0"/>
        <v>0</v>
      </c>
      <c r="G23" s="68"/>
    </row>
    <row r="24" spans="1:7" ht="15.6" x14ac:dyDescent="0.3">
      <c r="A24" s="69"/>
      <c r="B24" s="64"/>
      <c r="C24" s="64"/>
      <c r="D24" s="65"/>
      <c r="E24" s="66"/>
      <c r="F24" s="67">
        <f t="shared" si="0"/>
        <v>0</v>
      </c>
      <c r="G24" s="68"/>
    </row>
    <row r="25" spans="1:7" ht="15.6" x14ac:dyDescent="0.3">
      <c r="A25" s="69"/>
      <c r="B25" s="64"/>
      <c r="C25" s="64"/>
      <c r="D25" s="65"/>
      <c r="E25" s="66"/>
      <c r="F25" s="67">
        <f t="shared" si="0"/>
        <v>0</v>
      </c>
      <c r="G25" s="68"/>
    </row>
    <row r="26" spans="1:7" ht="15.6" x14ac:dyDescent="0.3">
      <c r="A26" s="69"/>
      <c r="B26" s="64"/>
      <c r="C26" s="64"/>
      <c r="D26" s="65"/>
      <c r="E26" s="66"/>
      <c r="F26" s="67">
        <f t="shared" si="0"/>
        <v>0</v>
      </c>
      <c r="G26" s="68"/>
    </row>
    <row r="27" spans="1:7" ht="15.6" x14ac:dyDescent="0.3">
      <c r="A27" s="70"/>
      <c r="B27" s="71"/>
      <c r="C27" s="71"/>
      <c r="D27" s="72"/>
      <c r="E27" s="73"/>
      <c r="F27" s="74">
        <f t="shared" si="0"/>
        <v>0</v>
      </c>
      <c r="G27" s="75"/>
    </row>
    <row r="28" spans="1:7" ht="17.399999999999999" x14ac:dyDescent="0.3">
      <c r="A28" s="76"/>
      <c r="B28" s="77"/>
      <c r="C28" s="164" t="s">
        <v>27</v>
      </c>
      <c r="D28" s="164"/>
      <c r="E28" s="78"/>
      <c r="F28" s="79">
        <f>SUM(F12:F26)</f>
        <v>19570.12</v>
      </c>
      <c r="G28" s="80"/>
    </row>
    <row r="29" spans="1:7" ht="17.399999999999999" x14ac:dyDescent="0.3">
      <c r="A29" s="81"/>
      <c r="B29" s="82"/>
      <c r="C29" s="165" t="s">
        <v>28</v>
      </c>
      <c r="D29" s="165"/>
      <c r="E29" s="83"/>
      <c r="F29" s="84">
        <f>F28*0.16</f>
        <v>3131.2192</v>
      </c>
      <c r="G29" s="85"/>
    </row>
    <row r="30" spans="1:7" ht="17.399999999999999" x14ac:dyDescent="0.3">
      <c r="A30" s="81"/>
      <c r="B30" s="82"/>
      <c r="C30" s="166" t="s">
        <v>29</v>
      </c>
      <c r="D30" s="166"/>
      <c r="E30" s="86"/>
      <c r="F30" s="87">
        <f>F28+F29</f>
        <v>22701.339199999999</v>
      </c>
      <c r="G30" s="88"/>
    </row>
    <row r="31" spans="1:7" ht="15.6" x14ac:dyDescent="0.3">
      <c r="A31" s="167" t="s">
        <v>30</v>
      </c>
      <c r="B31" s="168"/>
      <c r="C31" s="89" t="s">
        <v>31</v>
      </c>
      <c r="D31" s="89"/>
      <c r="E31" s="168" t="s">
        <v>32</v>
      </c>
      <c r="F31" s="168"/>
      <c r="G31" s="169"/>
    </row>
    <row r="32" spans="1:7" ht="15.6" x14ac:dyDescent="0.3">
      <c r="A32" s="170" t="s">
        <v>467</v>
      </c>
      <c r="B32" s="171"/>
      <c r="C32" s="104" t="s">
        <v>33</v>
      </c>
      <c r="D32" s="90"/>
      <c r="E32" s="171" t="s">
        <v>273</v>
      </c>
      <c r="F32" s="171"/>
      <c r="G32" s="172"/>
    </row>
    <row r="36" spans="1:7" ht="21" x14ac:dyDescent="0.4">
      <c r="A36" s="49"/>
      <c r="B36" s="184" t="s">
        <v>45</v>
      </c>
      <c r="C36" s="185"/>
      <c r="D36" s="190" t="s">
        <v>36</v>
      </c>
      <c r="E36" s="191"/>
      <c r="F36" s="191"/>
      <c r="G36" s="192"/>
    </row>
    <row r="37" spans="1:7" ht="21" x14ac:dyDescent="0.4">
      <c r="A37" s="50"/>
      <c r="B37" s="186"/>
      <c r="C37" s="187"/>
      <c r="D37" s="193" t="s">
        <v>1</v>
      </c>
      <c r="E37" s="194"/>
      <c r="F37" s="196" t="s">
        <v>555</v>
      </c>
      <c r="G37" s="177"/>
    </row>
    <row r="38" spans="1:7" ht="21" x14ac:dyDescent="0.4">
      <c r="A38" s="50"/>
      <c r="B38" s="186"/>
      <c r="C38" s="187"/>
      <c r="D38" s="193" t="s">
        <v>267</v>
      </c>
      <c r="E38" s="194"/>
      <c r="F38" s="176">
        <v>21</v>
      </c>
      <c r="G38" s="177"/>
    </row>
    <row r="39" spans="1:7" ht="21" x14ac:dyDescent="0.4">
      <c r="A39" s="51"/>
      <c r="B39" s="188"/>
      <c r="C39" s="189"/>
      <c r="D39" s="178" t="s">
        <v>38</v>
      </c>
      <c r="E39" s="179"/>
      <c r="F39" s="180" t="s">
        <v>558</v>
      </c>
      <c r="G39" s="181"/>
    </row>
    <row r="40" spans="1:7" ht="20.399999999999999" x14ac:dyDescent="0.35">
      <c r="A40" s="52" t="s">
        <v>39</v>
      </c>
      <c r="B40" s="53" t="s">
        <v>279</v>
      </c>
      <c r="C40" s="54"/>
      <c r="D40" s="54"/>
      <c r="E40" s="182" t="s">
        <v>476</v>
      </c>
      <c r="F40" s="182"/>
      <c r="G40" s="183"/>
    </row>
    <row r="41" spans="1:7" ht="20.399999999999999" x14ac:dyDescent="0.35">
      <c r="A41" s="52" t="s">
        <v>40</v>
      </c>
      <c r="B41" s="173" t="s">
        <v>460</v>
      </c>
      <c r="C41" s="174"/>
      <c r="D41" s="174"/>
      <c r="E41" s="174"/>
      <c r="F41" s="174"/>
      <c r="G41" s="175"/>
    </row>
    <row r="42" spans="1:7" ht="20.399999999999999" x14ac:dyDescent="0.35">
      <c r="A42" s="52" t="s">
        <v>41</v>
      </c>
      <c r="B42" s="173" t="s">
        <v>554</v>
      </c>
      <c r="C42" s="174"/>
      <c r="D42" s="174"/>
      <c r="E42" s="174"/>
      <c r="F42" s="174"/>
      <c r="G42" s="175"/>
    </row>
    <row r="43" spans="1:7" ht="20.399999999999999" x14ac:dyDescent="0.35">
      <c r="A43" s="52" t="s">
        <v>42</v>
      </c>
      <c r="B43" s="173" t="s">
        <v>236</v>
      </c>
      <c r="C43" s="174"/>
      <c r="D43" s="174"/>
      <c r="E43" s="174"/>
      <c r="F43" s="174"/>
      <c r="G43" s="175"/>
    </row>
    <row r="44" spans="1:7" ht="30" x14ac:dyDescent="0.3">
      <c r="A44" s="103" t="s">
        <v>8</v>
      </c>
      <c r="B44" s="103" t="s">
        <v>9</v>
      </c>
      <c r="C44" s="103" t="s">
        <v>10</v>
      </c>
      <c r="D44" s="103" t="s">
        <v>43</v>
      </c>
      <c r="E44" s="103" t="s">
        <v>12</v>
      </c>
      <c r="F44" s="103" t="s">
        <v>13</v>
      </c>
      <c r="G44" s="103" t="s">
        <v>14</v>
      </c>
    </row>
    <row r="45" spans="1:7" ht="15.6" x14ac:dyDescent="0.3">
      <c r="A45" s="57"/>
      <c r="B45" s="58"/>
      <c r="C45" s="58"/>
      <c r="D45" s="59"/>
      <c r="E45" s="60"/>
      <c r="F45" s="67">
        <f t="shared" ref="F45:F56" si="1">A45*E45</f>
        <v>0</v>
      </c>
      <c r="G45" s="62"/>
    </row>
    <row r="46" spans="1:7" ht="15.6" x14ac:dyDescent="0.3">
      <c r="A46" s="63"/>
      <c r="B46" s="64"/>
      <c r="C46" s="64"/>
      <c r="D46" s="65"/>
      <c r="E46" s="66"/>
      <c r="F46" s="67">
        <f t="shared" si="1"/>
        <v>0</v>
      </c>
      <c r="G46" s="68"/>
    </row>
    <row r="47" spans="1:7" ht="15.6" x14ac:dyDescent="0.3">
      <c r="A47" s="63"/>
      <c r="B47" s="64"/>
      <c r="C47" s="64"/>
      <c r="D47" s="65"/>
      <c r="E47" s="66"/>
      <c r="F47" s="67">
        <f t="shared" si="1"/>
        <v>0</v>
      </c>
      <c r="G47" s="68"/>
    </row>
    <row r="48" spans="1:7" ht="46.8" x14ac:dyDescent="0.3">
      <c r="A48" s="63">
        <v>6</v>
      </c>
      <c r="B48" s="64" t="s">
        <v>112</v>
      </c>
      <c r="C48" s="64" t="s">
        <v>479</v>
      </c>
      <c r="D48" s="65"/>
      <c r="E48" s="66">
        <v>1929.62</v>
      </c>
      <c r="F48" s="67">
        <f t="shared" si="1"/>
        <v>11577.72</v>
      </c>
      <c r="G48" s="68"/>
    </row>
    <row r="49" spans="1:7" ht="31.2" x14ac:dyDescent="0.3">
      <c r="A49" s="63">
        <v>8</v>
      </c>
      <c r="B49" s="64" t="s">
        <v>112</v>
      </c>
      <c r="C49" s="64" t="s">
        <v>480</v>
      </c>
      <c r="D49" s="65"/>
      <c r="E49" s="66">
        <v>427.2</v>
      </c>
      <c r="F49" s="67">
        <f t="shared" si="1"/>
        <v>3417.6</v>
      </c>
      <c r="G49" s="68"/>
    </row>
    <row r="50" spans="1:7" ht="31.2" x14ac:dyDescent="0.3">
      <c r="A50" s="63">
        <v>6</v>
      </c>
      <c r="B50" s="64" t="s">
        <v>112</v>
      </c>
      <c r="C50" s="64" t="s">
        <v>481</v>
      </c>
      <c r="D50" s="65"/>
      <c r="E50" s="66">
        <v>553.1</v>
      </c>
      <c r="F50" s="67">
        <f t="shared" si="1"/>
        <v>3318.6000000000004</v>
      </c>
      <c r="G50" s="68"/>
    </row>
    <row r="51" spans="1:7" ht="31.2" x14ac:dyDescent="0.3">
      <c r="A51" s="63">
        <v>6</v>
      </c>
      <c r="B51" s="64" t="s">
        <v>112</v>
      </c>
      <c r="C51" s="64" t="s">
        <v>482</v>
      </c>
      <c r="D51" s="65"/>
      <c r="E51" s="66">
        <v>832.23</v>
      </c>
      <c r="F51" s="67">
        <f t="shared" si="1"/>
        <v>4993.38</v>
      </c>
      <c r="G51" s="68"/>
    </row>
    <row r="52" spans="1:7" ht="31.2" x14ac:dyDescent="0.3">
      <c r="A52" s="63">
        <v>6</v>
      </c>
      <c r="B52" s="64" t="s">
        <v>112</v>
      </c>
      <c r="C52" s="64" t="s">
        <v>483</v>
      </c>
      <c r="D52" s="65"/>
      <c r="E52" s="66">
        <v>232.79</v>
      </c>
      <c r="F52" s="67">
        <f t="shared" si="1"/>
        <v>1396.74</v>
      </c>
      <c r="G52" s="68"/>
    </row>
    <row r="53" spans="1:7" ht="15.6" x14ac:dyDescent="0.3">
      <c r="A53" s="69"/>
      <c r="B53" s="64"/>
      <c r="C53" s="64"/>
      <c r="D53" s="65"/>
      <c r="E53" s="66"/>
      <c r="F53" s="67">
        <f t="shared" si="1"/>
        <v>0</v>
      </c>
      <c r="G53" s="68"/>
    </row>
    <row r="54" spans="1:7" ht="15.6" x14ac:dyDescent="0.3">
      <c r="A54" s="69"/>
      <c r="B54" s="64"/>
      <c r="C54" s="64"/>
      <c r="D54" s="65"/>
      <c r="E54" s="66"/>
      <c r="F54" s="67">
        <f t="shared" si="1"/>
        <v>0</v>
      </c>
      <c r="G54" s="68"/>
    </row>
    <row r="55" spans="1:7" ht="15.6" x14ac:dyDescent="0.3">
      <c r="A55" s="69"/>
      <c r="B55" s="64"/>
      <c r="C55" s="64"/>
      <c r="D55" s="65"/>
      <c r="E55" s="66"/>
      <c r="F55" s="67">
        <f t="shared" si="1"/>
        <v>0</v>
      </c>
      <c r="G55" s="68"/>
    </row>
    <row r="56" spans="1:7" ht="15.6" x14ac:dyDescent="0.3">
      <c r="A56" s="70"/>
      <c r="B56" s="71"/>
      <c r="C56" s="71"/>
      <c r="D56" s="72"/>
      <c r="E56" s="73"/>
      <c r="F56" s="74">
        <f t="shared" si="1"/>
        <v>0</v>
      </c>
      <c r="G56" s="75"/>
    </row>
    <row r="57" spans="1:7" ht="17.399999999999999" x14ac:dyDescent="0.3">
      <c r="A57" s="76"/>
      <c r="B57" s="77"/>
      <c r="C57" s="164" t="s">
        <v>27</v>
      </c>
      <c r="D57" s="164"/>
      <c r="E57" s="78"/>
      <c r="F57" s="79">
        <f>SUM(F45:F55)</f>
        <v>24704.04</v>
      </c>
      <c r="G57" s="80"/>
    </row>
    <row r="58" spans="1:7" ht="17.399999999999999" x14ac:dyDescent="0.3">
      <c r="A58" s="81"/>
      <c r="B58" s="82"/>
      <c r="C58" s="165" t="s">
        <v>28</v>
      </c>
      <c r="D58" s="165"/>
      <c r="E58" s="83"/>
      <c r="F58" s="84">
        <f>F57*0.16</f>
        <v>3952.6464000000001</v>
      </c>
      <c r="G58" s="85"/>
    </row>
    <row r="59" spans="1:7" ht="17.399999999999999" x14ac:dyDescent="0.3">
      <c r="A59" s="81"/>
      <c r="B59" s="82"/>
      <c r="C59" s="166" t="s">
        <v>29</v>
      </c>
      <c r="D59" s="166"/>
      <c r="E59" s="86"/>
      <c r="F59" s="87">
        <f>F57+F58</f>
        <v>28656.686400000002</v>
      </c>
      <c r="G59" s="88"/>
    </row>
    <row r="60" spans="1:7" ht="15.6" x14ac:dyDescent="0.3">
      <c r="A60" s="167" t="s">
        <v>30</v>
      </c>
      <c r="B60" s="168"/>
      <c r="C60" s="89" t="s">
        <v>31</v>
      </c>
      <c r="D60" s="89"/>
      <c r="E60" s="168" t="s">
        <v>32</v>
      </c>
      <c r="F60" s="168"/>
      <c r="G60" s="169"/>
    </row>
    <row r="61" spans="1:7" ht="15.6" x14ac:dyDescent="0.3">
      <c r="A61" s="170" t="s">
        <v>467</v>
      </c>
      <c r="B61" s="171"/>
      <c r="C61" s="104" t="s">
        <v>33</v>
      </c>
      <c r="D61" s="90"/>
      <c r="E61" s="171" t="s">
        <v>273</v>
      </c>
      <c r="F61" s="171"/>
      <c r="G61" s="172"/>
    </row>
    <row r="66" spans="1:7" ht="21" x14ac:dyDescent="0.4">
      <c r="A66" s="49"/>
      <c r="B66" s="184" t="s">
        <v>45</v>
      </c>
      <c r="C66" s="185"/>
      <c r="D66" s="190" t="s">
        <v>36</v>
      </c>
      <c r="E66" s="191"/>
      <c r="F66" s="191"/>
      <c r="G66" s="192"/>
    </row>
    <row r="67" spans="1:7" ht="21" x14ac:dyDescent="0.4">
      <c r="A67" s="50"/>
      <c r="B67" s="186"/>
      <c r="C67" s="187"/>
      <c r="D67" s="193" t="s">
        <v>1</v>
      </c>
      <c r="E67" s="194"/>
      <c r="F67" s="196" t="s">
        <v>555</v>
      </c>
      <c r="G67" s="177"/>
    </row>
    <row r="68" spans="1:7" ht="21" x14ac:dyDescent="0.4">
      <c r="A68" s="50"/>
      <c r="B68" s="186"/>
      <c r="C68" s="187"/>
      <c r="D68" s="193" t="s">
        <v>267</v>
      </c>
      <c r="E68" s="194"/>
      <c r="F68" s="176">
        <v>21</v>
      </c>
      <c r="G68" s="177"/>
    </row>
    <row r="69" spans="1:7" ht="21" x14ac:dyDescent="0.4">
      <c r="A69" s="51"/>
      <c r="B69" s="188"/>
      <c r="C69" s="189"/>
      <c r="D69" s="178" t="s">
        <v>38</v>
      </c>
      <c r="E69" s="179"/>
      <c r="F69" s="180" t="s">
        <v>559</v>
      </c>
      <c r="G69" s="181"/>
    </row>
    <row r="70" spans="1:7" ht="20.399999999999999" x14ac:dyDescent="0.35">
      <c r="A70" s="52" t="s">
        <v>39</v>
      </c>
      <c r="B70" s="53" t="s">
        <v>279</v>
      </c>
      <c r="C70" s="54"/>
      <c r="D70" s="54"/>
      <c r="E70" s="182" t="s">
        <v>476</v>
      </c>
      <c r="F70" s="182"/>
      <c r="G70" s="183"/>
    </row>
    <row r="71" spans="1:7" ht="20.399999999999999" x14ac:dyDescent="0.35">
      <c r="A71" s="52" t="s">
        <v>40</v>
      </c>
      <c r="B71" s="173" t="s">
        <v>486</v>
      </c>
      <c r="C71" s="174"/>
      <c r="D71" s="174"/>
      <c r="E71" s="174"/>
      <c r="F71" s="174"/>
      <c r="G71" s="175"/>
    </row>
    <row r="72" spans="1:7" ht="20.399999999999999" x14ac:dyDescent="0.35">
      <c r="A72" s="52" t="s">
        <v>41</v>
      </c>
      <c r="B72" s="173" t="s">
        <v>554</v>
      </c>
      <c r="C72" s="174"/>
      <c r="D72" s="174"/>
      <c r="E72" s="174"/>
      <c r="F72" s="174"/>
      <c r="G72" s="175"/>
    </row>
    <row r="73" spans="1:7" ht="20.399999999999999" x14ac:dyDescent="0.35">
      <c r="A73" s="52" t="s">
        <v>42</v>
      </c>
      <c r="B73" s="173" t="s">
        <v>236</v>
      </c>
      <c r="C73" s="174"/>
      <c r="D73" s="174"/>
      <c r="E73" s="174"/>
      <c r="F73" s="174"/>
      <c r="G73" s="175"/>
    </row>
    <row r="74" spans="1:7" ht="30" x14ac:dyDescent="0.3">
      <c r="A74" s="103" t="s">
        <v>8</v>
      </c>
      <c r="B74" s="103" t="s">
        <v>9</v>
      </c>
      <c r="C74" s="103" t="s">
        <v>10</v>
      </c>
      <c r="D74" s="103" t="s">
        <v>43</v>
      </c>
      <c r="E74" s="103" t="s">
        <v>12</v>
      </c>
      <c r="F74" s="103" t="s">
        <v>13</v>
      </c>
      <c r="G74" s="103" t="s">
        <v>14</v>
      </c>
    </row>
    <row r="75" spans="1:7" ht="31.2" x14ac:dyDescent="0.3">
      <c r="A75" s="57">
        <v>8</v>
      </c>
      <c r="B75" s="58" t="s">
        <v>112</v>
      </c>
      <c r="C75" s="58" t="s">
        <v>478</v>
      </c>
      <c r="D75" s="59"/>
      <c r="E75" s="60">
        <v>1650.66</v>
      </c>
      <c r="F75" s="67">
        <f t="shared" ref="F75:F86" si="2">A75*E75</f>
        <v>13205.28</v>
      </c>
      <c r="G75" s="62"/>
    </row>
    <row r="76" spans="1:7" ht="15.6" x14ac:dyDescent="0.3">
      <c r="A76" s="63"/>
      <c r="B76" s="64"/>
      <c r="C76" s="64"/>
      <c r="D76" s="65"/>
      <c r="E76" s="66"/>
      <c r="F76" s="67">
        <f t="shared" si="2"/>
        <v>0</v>
      </c>
      <c r="G76" s="68"/>
    </row>
    <row r="77" spans="1:7" ht="46.8" x14ac:dyDescent="0.3">
      <c r="A77" s="63">
        <v>8</v>
      </c>
      <c r="B77" s="64" t="s">
        <v>112</v>
      </c>
      <c r="C77" s="64" t="s">
        <v>474</v>
      </c>
      <c r="D77" s="65"/>
      <c r="E77" s="66">
        <v>204.79</v>
      </c>
      <c r="F77" s="67">
        <f t="shared" si="2"/>
        <v>1638.32</v>
      </c>
      <c r="G77" s="68"/>
    </row>
    <row r="78" spans="1:7" ht="31.2" x14ac:dyDescent="0.3">
      <c r="A78" s="63">
        <v>8</v>
      </c>
      <c r="B78" s="64" t="s">
        <v>112</v>
      </c>
      <c r="C78" s="64" t="s">
        <v>475</v>
      </c>
      <c r="D78" s="65"/>
      <c r="E78" s="66">
        <v>159.85</v>
      </c>
      <c r="F78" s="67">
        <f t="shared" si="2"/>
        <v>1278.8</v>
      </c>
      <c r="G78" s="68"/>
    </row>
    <row r="79" spans="1:7" ht="15.6" x14ac:dyDescent="0.3">
      <c r="A79" s="63"/>
      <c r="B79" s="64"/>
      <c r="C79" s="64"/>
      <c r="D79" s="65"/>
      <c r="E79" s="66"/>
      <c r="F79" s="67">
        <f t="shared" si="2"/>
        <v>0</v>
      </c>
      <c r="G79" s="68"/>
    </row>
    <row r="80" spans="1:7" ht="15.6" x14ac:dyDescent="0.3">
      <c r="A80" s="63"/>
      <c r="B80" s="64"/>
      <c r="C80" s="64"/>
      <c r="D80" s="65"/>
      <c r="E80" s="66"/>
      <c r="F80" s="67">
        <f t="shared" si="2"/>
        <v>0</v>
      </c>
      <c r="G80" s="68"/>
    </row>
    <row r="81" spans="1:7" ht="15.6" x14ac:dyDescent="0.3">
      <c r="A81" s="63"/>
      <c r="B81" s="64"/>
      <c r="C81" s="64"/>
      <c r="D81" s="65"/>
      <c r="E81" s="66"/>
      <c r="F81" s="67">
        <f t="shared" si="2"/>
        <v>0</v>
      </c>
      <c r="G81" s="68"/>
    </row>
    <row r="82" spans="1:7" ht="15.6" x14ac:dyDescent="0.3">
      <c r="A82" s="63"/>
      <c r="B82" s="64"/>
      <c r="C82" s="64"/>
      <c r="D82" s="65"/>
      <c r="E82" s="66"/>
      <c r="F82" s="67">
        <f t="shared" si="2"/>
        <v>0</v>
      </c>
      <c r="G82" s="68"/>
    </row>
    <row r="83" spans="1:7" ht="15.6" x14ac:dyDescent="0.3">
      <c r="A83" s="69"/>
      <c r="B83" s="64"/>
      <c r="C83" s="64"/>
      <c r="D83" s="65"/>
      <c r="E83" s="66"/>
      <c r="F83" s="67">
        <f t="shared" si="2"/>
        <v>0</v>
      </c>
      <c r="G83" s="68"/>
    </row>
    <row r="84" spans="1:7" ht="15.6" x14ac:dyDescent="0.3">
      <c r="A84" s="69"/>
      <c r="B84" s="64"/>
      <c r="C84" s="64"/>
      <c r="D84" s="65"/>
      <c r="E84" s="66"/>
      <c r="F84" s="67">
        <f t="shared" si="2"/>
        <v>0</v>
      </c>
      <c r="G84" s="68"/>
    </row>
    <row r="85" spans="1:7" ht="15.6" x14ac:dyDescent="0.3">
      <c r="A85" s="69"/>
      <c r="B85" s="64"/>
      <c r="C85" s="64"/>
      <c r="D85" s="65"/>
      <c r="E85" s="66"/>
      <c r="F85" s="67">
        <f t="shared" si="2"/>
        <v>0</v>
      </c>
      <c r="G85" s="68"/>
    </row>
    <row r="86" spans="1:7" ht="15.6" x14ac:dyDescent="0.3">
      <c r="A86" s="70"/>
      <c r="B86" s="71"/>
      <c r="C86" s="71"/>
      <c r="D86" s="72"/>
      <c r="E86" s="73"/>
      <c r="F86" s="74">
        <f t="shared" si="2"/>
        <v>0</v>
      </c>
      <c r="G86" s="75"/>
    </row>
    <row r="87" spans="1:7" ht="17.399999999999999" x14ac:dyDescent="0.3">
      <c r="A87" s="76"/>
      <c r="B87" s="77"/>
      <c r="C87" s="164" t="s">
        <v>27</v>
      </c>
      <c r="D87" s="164"/>
      <c r="E87" s="78"/>
      <c r="F87" s="79">
        <f>SUM(F75:F85)</f>
        <v>16122.4</v>
      </c>
      <c r="G87" s="80"/>
    </row>
    <row r="88" spans="1:7" ht="17.399999999999999" x14ac:dyDescent="0.3">
      <c r="A88" s="81"/>
      <c r="B88" s="82"/>
      <c r="C88" s="165" t="s">
        <v>28</v>
      </c>
      <c r="D88" s="165"/>
      <c r="E88" s="83"/>
      <c r="F88" s="84">
        <f>F87*0.16</f>
        <v>2579.5839999999998</v>
      </c>
      <c r="G88" s="85"/>
    </row>
    <row r="89" spans="1:7" ht="17.399999999999999" x14ac:dyDescent="0.3">
      <c r="A89" s="81"/>
      <c r="B89" s="82"/>
      <c r="C89" s="166" t="s">
        <v>29</v>
      </c>
      <c r="D89" s="166"/>
      <c r="E89" s="86"/>
      <c r="F89" s="87">
        <f>F87+F88</f>
        <v>18701.984</v>
      </c>
      <c r="G89" s="88"/>
    </row>
    <row r="90" spans="1:7" ht="15.6" x14ac:dyDescent="0.3">
      <c r="A90" s="167" t="s">
        <v>30</v>
      </c>
      <c r="B90" s="168"/>
      <c r="C90" s="89" t="s">
        <v>31</v>
      </c>
      <c r="D90" s="89"/>
      <c r="E90" s="168" t="s">
        <v>32</v>
      </c>
      <c r="F90" s="168"/>
      <c r="G90" s="169"/>
    </row>
    <row r="91" spans="1:7" ht="15.6" x14ac:dyDescent="0.3">
      <c r="A91" s="170" t="s">
        <v>467</v>
      </c>
      <c r="B91" s="171"/>
      <c r="C91" s="104" t="s">
        <v>33</v>
      </c>
      <c r="D91" s="90"/>
      <c r="E91" s="171" t="s">
        <v>273</v>
      </c>
      <c r="F91" s="171"/>
      <c r="G91" s="172"/>
    </row>
    <row r="94" spans="1:7" ht="21" x14ac:dyDescent="0.4">
      <c r="A94" s="49"/>
      <c r="B94" s="184" t="s">
        <v>45</v>
      </c>
      <c r="C94" s="185"/>
      <c r="D94" s="190" t="s">
        <v>36</v>
      </c>
      <c r="E94" s="191"/>
      <c r="F94" s="191"/>
      <c r="G94" s="192"/>
    </row>
    <row r="95" spans="1:7" ht="21" x14ac:dyDescent="0.4">
      <c r="A95" s="50"/>
      <c r="B95" s="186"/>
      <c r="C95" s="187"/>
      <c r="D95" s="193" t="s">
        <v>1</v>
      </c>
      <c r="E95" s="194"/>
      <c r="F95" s="196" t="s">
        <v>560</v>
      </c>
      <c r="G95" s="177"/>
    </row>
    <row r="96" spans="1:7" ht="21" x14ac:dyDescent="0.4">
      <c r="A96" s="50"/>
      <c r="B96" s="186"/>
      <c r="C96" s="187"/>
      <c r="D96" s="193" t="s">
        <v>267</v>
      </c>
      <c r="E96" s="194"/>
      <c r="F96" s="176">
        <v>22</v>
      </c>
      <c r="G96" s="177"/>
    </row>
    <row r="97" spans="1:7" ht="21" x14ac:dyDescent="0.4">
      <c r="A97" s="51"/>
      <c r="B97" s="188"/>
      <c r="C97" s="189"/>
      <c r="D97" s="178" t="s">
        <v>38</v>
      </c>
      <c r="E97" s="179"/>
      <c r="F97" s="180" t="s">
        <v>561</v>
      </c>
      <c r="G97" s="181"/>
    </row>
    <row r="98" spans="1:7" ht="20.399999999999999" x14ac:dyDescent="0.35">
      <c r="A98" s="52" t="s">
        <v>39</v>
      </c>
      <c r="B98" s="53" t="s">
        <v>273</v>
      </c>
      <c r="C98" s="54"/>
      <c r="D98" s="54"/>
      <c r="E98" s="54"/>
      <c r="F98" s="54"/>
      <c r="G98" s="98"/>
    </row>
    <row r="99" spans="1:7" ht="20.399999999999999" x14ac:dyDescent="0.35">
      <c r="A99" s="52" t="s">
        <v>40</v>
      </c>
      <c r="B99" s="111" t="s">
        <v>497</v>
      </c>
      <c r="C99" s="112"/>
      <c r="D99" s="112"/>
      <c r="E99" s="112"/>
      <c r="F99" s="112"/>
      <c r="G99" s="113"/>
    </row>
    <row r="100" spans="1:7" ht="20.399999999999999" x14ac:dyDescent="0.35">
      <c r="A100" s="52" t="s">
        <v>41</v>
      </c>
      <c r="B100" s="173" t="s">
        <v>554</v>
      </c>
      <c r="C100" s="174"/>
      <c r="D100" s="174"/>
      <c r="E100" s="174"/>
      <c r="F100" s="174"/>
      <c r="G100" s="175"/>
    </row>
    <row r="101" spans="1:7" ht="20.399999999999999" x14ac:dyDescent="0.35">
      <c r="A101" s="52" t="s">
        <v>42</v>
      </c>
      <c r="B101" s="111" t="s">
        <v>252</v>
      </c>
      <c r="C101" s="112"/>
      <c r="D101" s="112"/>
      <c r="E101" s="112"/>
      <c r="F101" s="112"/>
      <c r="G101" s="113"/>
    </row>
    <row r="102" spans="1:7" ht="30" x14ac:dyDescent="0.3">
      <c r="A102" s="103" t="s">
        <v>8</v>
      </c>
      <c r="B102" s="103" t="s">
        <v>9</v>
      </c>
      <c r="C102" s="103" t="s">
        <v>10</v>
      </c>
      <c r="D102" s="103" t="s">
        <v>43</v>
      </c>
      <c r="E102" s="103" t="s">
        <v>12</v>
      </c>
      <c r="F102" s="103" t="s">
        <v>13</v>
      </c>
      <c r="G102" s="103" t="s">
        <v>14</v>
      </c>
    </row>
    <row r="103" spans="1:7" ht="15.6" x14ac:dyDescent="0.3">
      <c r="A103" s="57"/>
      <c r="B103" s="58"/>
      <c r="C103" s="58"/>
      <c r="D103" s="95"/>
      <c r="E103" s="60"/>
      <c r="F103" s="60">
        <f t="shared" ref="F103:F117" si="3">A103*E103</f>
        <v>0</v>
      </c>
      <c r="G103" s="129"/>
    </row>
    <row r="104" spans="1:7" ht="15.6" x14ac:dyDescent="0.3">
      <c r="A104" s="63"/>
      <c r="B104" s="64"/>
      <c r="C104" s="64"/>
      <c r="D104" s="96"/>
      <c r="E104" s="66"/>
      <c r="F104" s="66">
        <f t="shared" si="3"/>
        <v>0</v>
      </c>
      <c r="G104" s="129"/>
    </row>
    <row r="105" spans="1:7" ht="31.2" x14ac:dyDescent="0.3">
      <c r="A105" s="63">
        <v>8</v>
      </c>
      <c r="B105" s="64" t="s">
        <v>488</v>
      </c>
      <c r="C105" s="64" t="s">
        <v>489</v>
      </c>
      <c r="D105" s="96" t="s">
        <v>490</v>
      </c>
      <c r="E105" s="66">
        <v>96.82</v>
      </c>
      <c r="F105" s="66">
        <f t="shared" si="3"/>
        <v>774.56</v>
      </c>
      <c r="G105" s="129"/>
    </row>
    <row r="106" spans="1:7" ht="31.2" x14ac:dyDescent="0.3">
      <c r="A106" s="63">
        <v>8</v>
      </c>
      <c r="B106" s="130" t="s">
        <v>488</v>
      </c>
      <c r="C106" s="130" t="s">
        <v>491</v>
      </c>
      <c r="D106" s="96" t="s">
        <v>492</v>
      </c>
      <c r="E106" s="66">
        <v>219.26</v>
      </c>
      <c r="F106" s="66">
        <f t="shared" si="3"/>
        <v>1754.08</v>
      </c>
      <c r="G106" s="68"/>
    </row>
    <row r="107" spans="1:7" ht="31.2" x14ac:dyDescent="0.3">
      <c r="A107" s="63">
        <v>8</v>
      </c>
      <c r="B107" s="130" t="s">
        <v>112</v>
      </c>
      <c r="C107" s="130" t="s">
        <v>494</v>
      </c>
      <c r="D107" s="96"/>
      <c r="E107" s="66">
        <v>90.23</v>
      </c>
      <c r="F107" s="66">
        <f>A107*E107</f>
        <v>721.84</v>
      </c>
      <c r="G107" s="68"/>
    </row>
    <row r="108" spans="1:7" ht="15.6" x14ac:dyDescent="0.3">
      <c r="A108" s="63">
        <v>8</v>
      </c>
      <c r="B108" s="130" t="s">
        <v>112</v>
      </c>
      <c r="C108" s="130" t="s">
        <v>495</v>
      </c>
      <c r="D108" s="96"/>
      <c r="E108" s="66">
        <v>22</v>
      </c>
      <c r="F108" s="66">
        <f>A108*E108</f>
        <v>176</v>
      </c>
      <c r="G108" s="68"/>
    </row>
    <row r="109" spans="1:7" ht="15.6" x14ac:dyDescent="0.3">
      <c r="A109" s="63"/>
      <c r="B109" s="130"/>
      <c r="C109" s="130"/>
      <c r="D109" s="96"/>
      <c r="E109" s="66"/>
      <c r="F109" s="66">
        <f t="shared" si="3"/>
        <v>0</v>
      </c>
      <c r="G109" s="68"/>
    </row>
    <row r="110" spans="1:7" ht="15.6" x14ac:dyDescent="0.3">
      <c r="A110" s="69"/>
      <c r="B110" s="130"/>
      <c r="C110" s="130"/>
      <c r="D110" s="96"/>
      <c r="E110" s="66"/>
      <c r="F110" s="66">
        <f t="shared" si="3"/>
        <v>0</v>
      </c>
      <c r="G110" s="68"/>
    </row>
    <row r="111" spans="1:7" ht="15.6" x14ac:dyDescent="0.3">
      <c r="A111" s="69"/>
      <c r="B111" s="130"/>
      <c r="C111" s="130"/>
      <c r="D111" s="135"/>
      <c r="E111" s="66"/>
      <c r="F111" s="66">
        <f t="shared" si="3"/>
        <v>0</v>
      </c>
      <c r="G111" s="68"/>
    </row>
    <row r="112" spans="1:7" ht="15.6" x14ac:dyDescent="0.3">
      <c r="A112" s="69"/>
      <c r="B112" s="64"/>
      <c r="C112" s="64"/>
      <c r="D112" s="65"/>
      <c r="E112" s="66"/>
      <c r="F112" s="66">
        <f t="shared" si="3"/>
        <v>0</v>
      </c>
      <c r="G112" s="68"/>
    </row>
    <row r="113" spans="1:7" ht="15.6" x14ac:dyDescent="0.3">
      <c r="A113" s="69"/>
      <c r="B113" s="64"/>
      <c r="C113" s="64"/>
      <c r="D113" s="65"/>
      <c r="E113" s="66"/>
      <c r="F113" s="66">
        <f t="shared" si="3"/>
        <v>0</v>
      </c>
      <c r="G113" s="68"/>
    </row>
    <row r="114" spans="1:7" ht="15.6" x14ac:dyDescent="0.3">
      <c r="A114" s="69"/>
      <c r="B114" s="64"/>
      <c r="C114" s="64"/>
      <c r="D114" s="65"/>
      <c r="E114" s="66"/>
      <c r="F114" s="66">
        <f t="shared" si="3"/>
        <v>0</v>
      </c>
      <c r="G114" s="68"/>
    </row>
    <row r="115" spans="1:7" ht="15.6" x14ac:dyDescent="0.3">
      <c r="A115" s="69"/>
      <c r="B115" s="64"/>
      <c r="C115" s="64"/>
      <c r="D115" s="65"/>
      <c r="E115" s="66"/>
      <c r="F115" s="66">
        <f t="shared" si="3"/>
        <v>0</v>
      </c>
      <c r="G115" s="68"/>
    </row>
    <row r="116" spans="1:7" ht="15.6" x14ac:dyDescent="0.3">
      <c r="A116" s="69"/>
      <c r="B116" s="64"/>
      <c r="C116" s="64"/>
      <c r="D116" s="65"/>
      <c r="E116" s="66"/>
      <c r="F116" s="66">
        <f t="shared" si="3"/>
        <v>0</v>
      </c>
      <c r="G116" s="68"/>
    </row>
    <row r="117" spans="1:7" ht="15.6" x14ac:dyDescent="0.3">
      <c r="A117" s="70"/>
      <c r="B117" s="71"/>
      <c r="C117" s="71"/>
      <c r="D117" s="72"/>
      <c r="E117" s="73"/>
      <c r="F117" s="73">
        <f t="shared" si="3"/>
        <v>0</v>
      </c>
      <c r="G117" s="75"/>
    </row>
    <row r="118" spans="1:7" ht="17.399999999999999" x14ac:dyDescent="0.3">
      <c r="A118" s="76"/>
      <c r="B118" s="77"/>
      <c r="C118" s="114" t="s">
        <v>27</v>
      </c>
      <c r="D118" s="114"/>
      <c r="E118" s="78"/>
      <c r="F118" s="79">
        <f>SUM(F103:F116)</f>
        <v>3426.48</v>
      </c>
      <c r="G118" s="80"/>
    </row>
    <row r="119" spans="1:7" ht="17.399999999999999" x14ac:dyDescent="0.3">
      <c r="A119" s="81"/>
      <c r="B119" s="82"/>
      <c r="C119" s="106" t="s">
        <v>28</v>
      </c>
      <c r="D119" s="106"/>
      <c r="E119" s="83"/>
      <c r="F119" s="84">
        <f>F118*0.16</f>
        <v>548.23680000000002</v>
      </c>
      <c r="G119" s="85"/>
    </row>
    <row r="120" spans="1:7" ht="17.399999999999999" x14ac:dyDescent="0.3">
      <c r="A120" s="81"/>
      <c r="B120" s="82"/>
      <c r="C120" s="107" t="s">
        <v>29</v>
      </c>
      <c r="D120" s="107"/>
      <c r="E120" s="86"/>
      <c r="F120" s="87">
        <f>F118+F119</f>
        <v>3974.7168000000001</v>
      </c>
      <c r="G120" s="88"/>
    </row>
    <row r="121" spans="1:7" ht="15.6" x14ac:dyDescent="0.3">
      <c r="A121" s="108" t="s">
        <v>30</v>
      </c>
      <c r="B121" s="89"/>
      <c r="C121" s="89" t="s">
        <v>31</v>
      </c>
      <c r="D121" s="89"/>
      <c r="E121" s="89" t="s">
        <v>32</v>
      </c>
      <c r="F121" s="89"/>
      <c r="G121" s="109"/>
    </row>
    <row r="122" spans="1:7" ht="15.6" x14ac:dyDescent="0.3">
      <c r="A122" s="134" t="s">
        <v>467</v>
      </c>
      <c r="B122" s="90"/>
      <c r="C122" s="90" t="s">
        <v>33</v>
      </c>
      <c r="D122" s="90"/>
      <c r="E122" s="90" t="s">
        <v>273</v>
      </c>
      <c r="F122" s="90"/>
      <c r="G122" s="110"/>
    </row>
    <row r="126" spans="1:7" ht="21" x14ac:dyDescent="0.4">
      <c r="A126" s="49"/>
      <c r="B126" s="184" t="s">
        <v>45</v>
      </c>
      <c r="C126" s="185"/>
      <c r="D126" s="190" t="s">
        <v>36</v>
      </c>
      <c r="E126" s="191"/>
      <c r="F126" s="191"/>
      <c r="G126" s="192"/>
    </row>
    <row r="127" spans="1:7" ht="21" x14ac:dyDescent="0.4">
      <c r="A127" s="50"/>
      <c r="B127" s="186"/>
      <c r="C127" s="187"/>
      <c r="D127" s="193" t="s">
        <v>1</v>
      </c>
      <c r="E127" s="194"/>
      <c r="F127" s="195" t="s">
        <v>564</v>
      </c>
      <c r="G127" s="177"/>
    </row>
    <row r="128" spans="1:7" ht="21" x14ac:dyDescent="0.4">
      <c r="A128" s="50"/>
      <c r="B128" s="186"/>
      <c r="C128" s="187"/>
      <c r="D128" s="193" t="s">
        <v>267</v>
      </c>
      <c r="E128" s="194"/>
      <c r="F128" s="176">
        <v>22</v>
      </c>
      <c r="G128" s="177"/>
    </row>
    <row r="129" spans="1:7" ht="21" x14ac:dyDescent="0.4">
      <c r="A129" s="51"/>
      <c r="B129" s="188"/>
      <c r="C129" s="189"/>
      <c r="D129" s="178" t="s">
        <v>38</v>
      </c>
      <c r="E129" s="179"/>
      <c r="F129" s="180" t="s">
        <v>565</v>
      </c>
      <c r="G129" s="181"/>
    </row>
    <row r="130" spans="1:7" ht="20.399999999999999" x14ac:dyDescent="0.35">
      <c r="A130" s="52" t="s">
        <v>39</v>
      </c>
      <c r="B130" s="53" t="s">
        <v>279</v>
      </c>
      <c r="C130" s="54"/>
      <c r="D130" s="54"/>
      <c r="E130" s="182" t="s">
        <v>566</v>
      </c>
      <c r="F130" s="182"/>
      <c r="G130" s="183"/>
    </row>
    <row r="131" spans="1:7" ht="20.399999999999999" x14ac:dyDescent="0.35">
      <c r="A131" s="52" t="s">
        <v>40</v>
      </c>
      <c r="B131" s="173"/>
      <c r="C131" s="174"/>
      <c r="D131" s="174"/>
      <c r="E131" s="174"/>
      <c r="F131" s="174"/>
      <c r="G131" s="175"/>
    </row>
    <row r="132" spans="1:7" ht="20.399999999999999" x14ac:dyDescent="0.35">
      <c r="A132" s="52" t="s">
        <v>41</v>
      </c>
      <c r="B132" s="173" t="s">
        <v>272</v>
      </c>
      <c r="C132" s="174"/>
      <c r="D132" s="174"/>
      <c r="E132" s="174"/>
      <c r="F132" s="174"/>
      <c r="G132" s="175"/>
    </row>
    <row r="133" spans="1:7" ht="20.399999999999999" x14ac:dyDescent="0.35">
      <c r="A133" s="52" t="s">
        <v>42</v>
      </c>
      <c r="B133" s="173" t="s">
        <v>7</v>
      </c>
      <c r="C133" s="174"/>
      <c r="D133" s="174"/>
      <c r="E133" s="174"/>
      <c r="F133" s="174"/>
      <c r="G133" s="175"/>
    </row>
    <row r="134" spans="1:7" ht="30" x14ac:dyDescent="0.3">
      <c r="A134" s="103" t="s">
        <v>8</v>
      </c>
      <c r="B134" s="103" t="s">
        <v>9</v>
      </c>
      <c r="C134" s="103" t="s">
        <v>10</v>
      </c>
      <c r="D134" s="103" t="s">
        <v>43</v>
      </c>
      <c r="E134" s="103" t="s">
        <v>12</v>
      </c>
      <c r="F134" s="103" t="s">
        <v>13</v>
      </c>
      <c r="G134" s="103" t="s">
        <v>14</v>
      </c>
    </row>
    <row r="135" spans="1:7" ht="15.6" x14ac:dyDescent="0.3">
      <c r="A135" s="57">
        <v>100</v>
      </c>
      <c r="B135" s="58" t="s">
        <v>562</v>
      </c>
      <c r="C135" s="58" t="s">
        <v>563</v>
      </c>
      <c r="D135" s="59">
        <v>749917</v>
      </c>
      <c r="E135" s="60">
        <v>18.559999999999999</v>
      </c>
      <c r="F135" s="61">
        <f t="shared" ref="F135:F144" si="4">A135*E135</f>
        <v>1855.9999999999998</v>
      </c>
      <c r="G135" s="62"/>
    </row>
    <row r="136" spans="1:7" ht="15.6" x14ac:dyDescent="0.3">
      <c r="A136" s="63"/>
      <c r="B136" s="64"/>
      <c r="C136" s="64"/>
      <c r="D136" s="65"/>
      <c r="E136" s="66"/>
      <c r="F136" s="67">
        <f t="shared" si="4"/>
        <v>0</v>
      </c>
      <c r="G136" s="68"/>
    </row>
    <row r="137" spans="1:7" ht="15.6" x14ac:dyDescent="0.3">
      <c r="A137" s="63"/>
      <c r="B137" s="64"/>
      <c r="C137" s="64"/>
      <c r="D137" s="65"/>
      <c r="E137" s="66"/>
      <c r="F137" s="67">
        <f t="shared" si="4"/>
        <v>0</v>
      </c>
      <c r="G137" s="68"/>
    </row>
    <row r="138" spans="1:7" ht="15.6" x14ac:dyDescent="0.3">
      <c r="A138" s="63"/>
      <c r="B138" s="64"/>
      <c r="C138" s="64"/>
      <c r="D138" s="65"/>
      <c r="E138" s="66"/>
      <c r="F138" s="67">
        <f t="shared" si="4"/>
        <v>0</v>
      </c>
      <c r="G138" s="68"/>
    </row>
    <row r="139" spans="1:7" ht="15.6" x14ac:dyDescent="0.3">
      <c r="A139" s="69"/>
      <c r="B139" s="64"/>
      <c r="C139" s="64"/>
      <c r="D139" s="65"/>
      <c r="E139" s="66"/>
      <c r="F139" s="67">
        <f t="shared" si="4"/>
        <v>0</v>
      </c>
      <c r="G139" s="68"/>
    </row>
    <row r="140" spans="1:7" ht="15.6" x14ac:dyDescent="0.3">
      <c r="A140" s="69"/>
      <c r="B140" s="64"/>
      <c r="C140" s="64"/>
      <c r="D140" s="65"/>
      <c r="E140" s="66"/>
      <c r="F140" s="67">
        <f t="shared" si="4"/>
        <v>0</v>
      </c>
      <c r="G140" s="68"/>
    </row>
    <row r="141" spans="1:7" ht="15.6" x14ac:dyDescent="0.3">
      <c r="A141" s="69"/>
      <c r="B141" s="64"/>
      <c r="C141" s="64"/>
      <c r="D141" s="65"/>
      <c r="E141" s="66"/>
      <c r="F141" s="67">
        <f t="shared" si="4"/>
        <v>0</v>
      </c>
      <c r="G141" s="68"/>
    </row>
    <row r="142" spans="1:7" ht="15.6" x14ac:dyDescent="0.3">
      <c r="A142" s="69"/>
      <c r="B142" s="64"/>
      <c r="C142" s="64"/>
      <c r="D142" s="65"/>
      <c r="E142" s="66"/>
      <c r="F142" s="67">
        <f t="shared" si="4"/>
        <v>0</v>
      </c>
      <c r="G142" s="68"/>
    </row>
    <row r="143" spans="1:7" ht="15.6" x14ac:dyDescent="0.3">
      <c r="A143" s="69"/>
      <c r="B143" s="64"/>
      <c r="C143" s="64"/>
      <c r="D143" s="65"/>
      <c r="E143" s="66"/>
      <c r="F143" s="67">
        <f t="shared" si="4"/>
        <v>0</v>
      </c>
      <c r="G143" s="68"/>
    </row>
    <row r="144" spans="1:7" ht="15.6" x14ac:dyDescent="0.3">
      <c r="A144" s="70"/>
      <c r="B144" s="71"/>
      <c r="C144" s="71"/>
      <c r="D144" s="72"/>
      <c r="E144" s="73"/>
      <c r="F144" s="74">
        <f t="shared" si="4"/>
        <v>0</v>
      </c>
      <c r="G144" s="75"/>
    </row>
    <row r="145" spans="1:7" ht="17.399999999999999" x14ac:dyDescent="0.3">
      <c r="A145" s="76"/>
      <c r="B145" s="77"/>
      <c r="C145" s="164" t="s">
        <v>27</v>
      </c>
      <c r="D145" s="164"/>
      <c r="E145" s="78"/>
      <c r="F145" s="79">
        <f>SUM(F135:F143)</f>
        <v>1855.9999999999998</v>
      </c>
      <c r="G145" s="80"/>
    </row>
    <row r="146" spans="1:7" ht="17.399999999999999" x14ac:dyDescent="0.3">
      <c r="A146" s="81"/>
      <c r="B146" s="82"/>
      <c r="C146" s="165" t="s">
        <v>28</v>
      </c>
      <c r="D146" s="165"/>
      <c r="E146" s="83"/>
      <c r="F146" s="84">
        <f>F145*0.16</f>
        <v>296.95999999999998</v>
      </c>
      <c r="G146" s="85"/>
    </row>
    <row r="147" spans="1:7" ht="17.399999999999999" x14ac:dyDescent="0.3">
      <c r="A147" s="81"/>
      <c r="B147" s="82"/>
      <c r="C147" s="166" t="s">
        <v>29</v>
      </c>
      <c r="D147" s="166"/>
      <c r="E147" s="86"/>
      <c r="F147" s="87">
        <f>F145+F146</f>
        <v>2152.9599999999996</v>
      </c>
      <c r="G147" s="88"/>
    </row>
    <row r="148" spans="1:7" ht="15.6" x14ac:dyDescent="0.3">
      <c r="A148" s="167" t="s">
        <v>30</v>
      </c>
      <c r="B148" s="168"/>
      <c r="C148" s="89" t="s">
        <v>31</v>
      </c>
      <c r="D148" s="89"/>
      <c r="E148" s="168" t="s">
        <v>32</v>
      </c>
      <c r="F148" s="168"/>
      <c r="G148" s="169"/>
    </row>
    <row r="149" spans="1:7" ht="15.6" x14ac:dyDescent="0.3">
      <c r="A149" s="170" t="s">
        <v>444</v>
      </c>
      <c r="B149" s="171"/>
      <c r="C149" s="104" t="s">
        <v>33</v>
      </c>
      <c r="D149" s="90"/>
      <c r="E149" s="171" t="s">
        <v>273</v>
      </c>
      <c r="F149" s="171"/>
      <c r="G149" s="172"/>
    </row>
    <row r="152" spans="1:7" ht="21" x14ac:dyDescent="0.4">
      <c r="A152" s="49"/>
      <c r="B152" s="184" t="s">
        <v>45</v>
      </c>
      <c r="C152" s="185"/>
      <c r="D152" s="190" t="s">
        <v>36</v>
      </c>
      <c r="E152" s="191"/>
      <c r="F152" s="191"/>
      <c r="G152" s="192"/>
    </row>
    <row r="153" spans="1:7" ht="21" x14ac:dyDescent="0.4">
      <c r="A153" s="50"/>
      <c r="B153" s="186"/>
      <c r="C153" s="187"/>
      <c r="D153" s="193" t="s">
        <v>1</v>
      </c>
      <c r="E153" s="194"/>
      <c r="F153" s="195" t="s">
        <v>564</v>
      </c>
      <c r="G153" s="177"/>
    </row>
    <row r="154" spans="1:7" ht="21" x14ac:dyDescent="0.4">
      <c r="A154" s="50"/>
      <c r="B154" s="186"/>
      <c r="C154" s="187"/>
      <c r="D154" s="193" t="s">
        <v>267</v>
      </c>
      <c r="E154" s="194"/>
      <c r="F154" s="176">
        <v>22</v>
      </c>
      <c r="G154" s="177"/>
    </row>
    <row r="155" spans="1:7" ht="21" x14ac:dyDescent="0.4">
      <c r="A155" s="51"/>
      <c r="B155" s="188"/>
      <c r="C155" s="189"/>
      <c r="D155" s="178" t="s">
        <v>38</v>
      </c>
      <c r="E155" s="179"/>
      <c r="F155" s="180" t="s">
        <v>574</v>
      </c>
      <c r="G155" s="181"/>
    </row>
    <row r="156" spans="1:7" ht="20.399999999999999" x14ac:dyDescent="0.35">
      <c r="A156" s="52" t="s">
        <v>39</v>
      </c>
      <c r="B156" s="53" t="s">
        <v>273</v>
      </c>
      <c r="C156" s="54"/>
      <c r="D156" s="54"/>
      <c r="E156" s="182" t="s">
        <v>575</v>
      </c>
      <c r="F156" s="182"/>
      <c r="G156" s="183"/>
    </row>
    <row r="157" spans="1:7" ht="20.399999999999999" x14ac:dyDescent="0.35">
      <c r="A157" s="52" t="s">
        <v>40</v>
      </c>
      <c r="B157" s="173"/>
      <c r="C157" s="174"/>
      <c r="D157" s="174"/>
      <c r="E157" s="174"/>
      <c r="F157" s="174"/>
      <c r="G157" s="175"/>
    </row>
    <row r="158" spans="1:7" ht="20.399999999999999" x14ac:dyDescent="0.35">
      <c r="A158" s="52" t="s">
        <v>41</v>
      </c>
      <c r="B158" s="173" t="s">
        <v>272</v>
      </c>
      <c r="C158" s="174"/>
      <c r="D158" s="174"/>
      <c r="E158" s="174"/>
      <c r="F158" s="174"/>
      <c r="G158" s="175"/>
    </row>
    <row r="159" spans="1:7" ht="20.399999999999999" x14ac:dyDescent="0.35">
      <c r="A159" s="52" t="s">
        <v>42</v>
      </c>
      <c r="B159" s="173" t="s">
        <v>280</v>
      </c>
      <c r="C159" s="174"/>
      <c r="D159" s="174"/>
      <c r="E159" s="174"/>
      <c r="F159" s="174"/>
      <c r="G159" s="175"/>
    </row>
    <row r="160" spans="1:7" ht="30" x14ac:dyDescent="0.3">
      <c r="A160" s="103" t="s">
        <v>8</v>
      </c>
      <c r="B160" s="103" t="s">
        <v>9</v>
      </c>
      <c r="C160" s="103" t="s">
        <v>10</v>
      </c>
      <c r="D160" s="103" t="s">
        <v>43</v>
      </c>
      <c r="E160" s="103" t="s">
        <v>12</v>
      </c>
      <c r="F160" s="103" t="s">
        <v>13</v>
      </c>
      <c r="G160" s="103" t="s">
        <v>14</v>
      </c>
    </row>
    <row r="161" spans="1:12" ht="15.6" x14ac:dyDescent="0.3">
      <c r="A161" s="57">
        <v>10</v>
      </c>
      <c r="B161" s="58" t="s">
        <v>281</v>
      </c>
      <c r="C161" s="58" t="s">
        <v>282</v>
      </c>
      <c r="D161" s="59"/>
      <c r="E161" s="60">
        <v>1447.03</v>
      </c>
      <c r="F161" s="61">
        <f t="shared" ref="F161:F177" si="5">A161*E161</f>
        <v>14470.3</v>
      </c>
      <c r="G161" s="62"/>
    </row>
    <row r="162" spans="1:12" ht="15.6" x14ac:dyDescent="0.3">
      <c r="A162" s="63">
        <v>4</v>
      </c>
      <c r="B162" s="64" t="s">
        <v>281</v>
      </c>
      <c r="C162" s="64" t="s">
        <v>502</v>
      </c>
      <c r="D162" s="65"/>
      <c r="E162" s="66">
        <v>1735.62</v>
      </c>
      <c r="F162" s="67">
        <f t="shared" si="5"/>
        <v>6942.48</v>
      </c>
      <c r="G162" s="68"/>
    </row>
    <row r="163" spans="1:12" ht="15.6" x14ac:dyDescent="0.3">
      <c r="A163" s="63">
        <v>5</v>
      </c>
      <c r="B163" s="64" t="s">
        <v>112</v>
      </c>
      <c r="C163" s="64" t="s">
        <v>567</v>
      </c>
      <c r="D163" s="65"/>
      <c r="E163" s="66">
        <v>39.17</v>
      </c>
      <c r="F163" s="67"/>
      <c r="G163" s="68"/>
    </row>
    <row r="164" spans="1:12" ht="31.2" x14ac:dyDescent="0.3">
      <c r="A164" s="63">
        <v>4</v>
      </c>
      <c r="B164" s="64" t="s">
        <v>288</v>
      </c>
      <c r="C164" s="64" t="s">
        <v>285</v>
      </c>
      <c r="D164" s="65"/>
      <c r="E164" s="66">
        <v>148.58000000000001</v>
      </c>
      <c r="F164" s="67">
        <f t="shared" si="5"/>
        <v>594.32000000000005</v>
      </c>
      <c r="G164" s="68"/>
    </row>
    <row r="165" spans="1:12" ht="31.2" x14ac:dyDescent="0.3">
      <c r="A165" s="63">
        <v>3</v>
      </c>
      <c r="B165" s="64" t="s">
        <v>288</v>
      </c>
      <c r="C165" s="64" t="s">
        <v>418</v>
      </c>
      <c r="D165" s="65"/>
      <c r="E165" s="66">
        <v>176.12</v>
      </c>
      <c r="F165" s="67">
        <f t="shared" si="5"/>
        <v>528.36</v>
      </c>
      <c r="G165" s="68"/>
    </row>
    <row r="166" spans="1:12" ht="15.6" x14ac:dyDescent="0.3">
      <c r="A166" s="69">
        <v>6</v>
      </c>
      <c r="B166" s="64" t="s">
        <v>112</v>
      </c>
      <c r="C166" s="64" t="s">
        <v>568</v>
      </c>
      <c r="D166" s="65"/>
      <c r="E166" s="66">
        <v>57.41</v>
      </c>
      <c r="F166" s="67">
        <f t="shared" si="5"/>
        <v>344.46</v>
      </c>
      <c r="G166" s="68"/>
    </row>
    <row r="167" spans="1:12" ht="15.6" x14ac:dyDescent="0.3">
      <c r="A167" s="69">
        <v>5</v>
      </c>
      <c r="B167" s="64" t="s">
        <v>112</v>
      </c>
      <c r="C167" s="64" t="s">
        <v>569</v>
      </c>
      <c r="D167" s="65"/>
      <c r="E167" s="66">
        <v>20.95</v>
      </c>
      <c r="F167" s="67">
        <f t="shared" si="5"/>
        <v>104.75</v>
      </c>
      <c r="G167" s="68"/>
    </row>
    <row r="168" spans="1:12" ht="31.2" x14ac:dyDescent="0.3">
      <c r="A168" s="69">
        <v>3</v>
      </c>
      <c r="B168" s="64" t="s">
        <v>112</v>
      </c>
      <c r="C168" s="64" t="s">
        <v>552</v>
      </c>
      <c r="D168" s="65"/>
      <c r="E168" s="66">
        <v>58.58</v>
      </c>
      <c r="F168" s="67">
        <f t="shared" si="5"/>
        <v>175.74</v>
      </c>
      <c r="G168" s="68"/>
    </row>
    <row r="169" spans="1:12" ht="15.6" x14ac:dyDescent="0.3">
      <c r="A169" s="69">
        <v>5</v>
      </c>
      <c r="B169" s="64" t="s">
        <v>112</v>
      </c>
      <c r="C169" s="64" t="s">
        <v>570</v>
      </c>
      <c r="D169" s="65"/>
      <c r="E169" s="66">
        <v>29.484000000000002</v>
      </c>
      <c r="F169" s="67">
        <f t="shared" si="5"/>
        <v>147.42000000000002</v>
      </c>
      <c r="G169" s="68"/>
    </row>
    <row r="170" spans="1:12" ht="15.6" x14ac:dyDescent="0.3">
      <c r="A170" s="69">
        <v>5</v>
      </c>
      <c r="B170" s="64" t="s">
        <v>112</v>
      </c>
      <c r="C170" s="64" t="s">
        <v>417</v>
      </c>
      <c r="D170" s="65"/>
      <c r="E170" s="66">
        <v>83</v>
      </c>
      <c r="F170" s="67">
        <f t="shared" si="5"/>
        <v>415</v>
      </c>
      <c r="G170" s="68"/>
      <c r="L170">
        <f>32.76*0.1</f>
        <v>3.2759999999999998</v>
      </c>
    </row>
    <row r="171" spans="1:12" ht="15.6" x14ac:dyDescent="0.3">
      <c r="A171" s="69">
        <v>5</v>
      </c>
      <c r="B171" s="64" t="s">
        <v>112</v>
      </c>
      <c r="C171" s="64" t="s">
        <v>571</v>
      </c>
      <c r="D171" s="65"/>
      <c r="E171" s="66">
        <v>211.81</v>
      </c>
      <c r="F171" s="67">
        <f t="shared" si="5"/>
        <v>1059.05</v>
      </c>
      <c r="G171" s="68"/>
      <c r="L171">
        <f>32.76-L170</f>
        <v>29.483999999999998</v>
      </c>
    </row>
    <row r="172" spans="1:12" ht="15.6" x14ac:dyDescent="0.3">
      <c r="A172" s="69">
        <v>2</v>
      </c>
      <c r="B172" s="64" t="s">
        <v>112</v>
      </c>
      <c r="C172" s="64" t="s">
        <v>572</v>
      </c>
      <c r="D172" s="65"/>
      <c r="E172" s="66">
        <v>987.06</v>
      </c>
      <c r="F172" s="67">
        <f t="shared" si="5"/>
        <v>1974.12</v>
      </c>
      <c r="G172" s="68"/>
    </row>
    <row r="173" spans="1:12" ht="15.6" x14ac:dyDescent="0.3">
      <c r="A173" s="69">
        <v>3</v>
      </c>
      <c r="B173" s="64" t="s">
        <v>112</v>
      </c>
      <c r="C173" s="64" t="s">
        <v>573</v>
      </c>
      <c r="D173" s="65"/>
      <c r="E173" s="66">
        <v>189.66</v>
      </c>
      <c r="F173" s="67">
        <f t="shared" si="5"/>
        <v>568.98</v>
      </c>
      <c r="G173" s="68"/>
    </row>
    <row r="174" spans="1:12" ht="15.6" x14ac:dyDescent="0.3">
      <c r="A174" s="69"/>
      <c r="B174" s="64"/>
      <c r="C174" s="64"/>
      <c r="D174" s="65"/>
      <c r="E174" s="66"/>
      <c r="F174" s="67">
        <f t="shared" si="5"/>
        <v>0</v>
      </c>
      <c r="G174" s="68"/>
    </row>
    <row r="175" spans="1:12" ht="15.6" x14ac:dyDescent="0.3">
      <c r="A175" s="69"/>
      <c r="B175" s="64"/>
      <c r="C175" s="64"/>
      <c r="D175" s="65"/>
      <c r="E175" s="66"/>
      <c r="F175" s="67">
        <f t="shared" si="5"/>
        <v>0</v>
      </c>
      <c r="G175" s="68"/>
    </row>
    <row r="176" spans="1:12" ht="15.6" x14ac:dyDescent="0.3">
      <c r="A176" s="69"/>
      <c r="B176" s="64"/>
      <c r="C176" s="64"/>
      <c r="D176" s="65"/>
      <c r="E176" s="66"/>
      <c r="F176" s="67">
        <f t="shared" si="5"/>
        <v>0</v>
      </c>
      <c r="G176" s="68"/>
    </row>
    <row r="177" spans="1:7" ht="15.6" x14ac:dyDescent="0.3">
      <c r="A177" s="70"/>
      <c r="B177" s="71"/>
      <c r="C177" s="71"/>
      <c r="D177" s="72"/>
      <c r="E177" s="73"/>
      <c r="F177" s="67">
        <f t="shared" si="5"/>
        <v>0</v>
      </c>
      <c r="G177" s="75"/>
    </row>
    <row r="178" spans="1:7" ht="17.399999999999999" x14ac:dyDescent="0.3">
      <c r="A178" s="76"/>
      <c r="B178" s="77"/>
      <c r="C178" s="164" t="s">
        <v>27</v>
      </c>
      <c r="D178" s="164"/>
      <c r="E178" s="78"/>
      <c r="F178" s="79">
        <f>SUM(F161:F176)</f>
        <v>27324.979999999996</v>
      </c>
      <c r="G178" s="80"/>
    </row>
    <row r="179" spans="1:7" ht="17.399999999999999" x14ac:dyDescent="0.3">
      <c r="A179" s="81"/>
      <c r="B179" s="82"/>
      <c r="C179" s="165" t="s">
        <v>28</v>
      </c>
      <c r="D179" s="165"/>
      <c r="E179" s="83"/>
      <c r="F179" s="84">
        <f>F178*0.16</f>
        <v>4371.996799999999</v>
      </c>
      <c r="G179" s="85"/>
    </row>
    <row r="180" spans="1:7" ht="17.399999999999999" x14ac:dyDescent="0.3">
      <c r="A180" s="81"/>
      <c r="B180" s="82"/>
      <c r="C180" s="166" t="s">
        <v>29</v>
      </c>
      <c r="D180" s="166"/>
      <c r="E180" s="86"/>
      <c r="F180" s="87">
        <f>F178+F179</f>
        <v>31696.976799999997</v>
      </c>
      <c r="G180" s="88"/>
    </row>
    <row r="181" spans="1:7" ht="15.6" x14ac:dyDescent="0.3">
      <c r="A181" s="167" t="s">
        <v>30</v>
      </c>
      <c r="B181" s="168"/>
      <c r="C181" s="89" t="s">
        <v>31</v>
      </c>
      <c r="D181" s="89"/>
      <c r="E181" s="168" t="s">
        <v>32</v>
      </c>
      <c r="F181" s="168"/>
      <c r="G181" s="169"/>
    </row>
    <row r="182" spans="1:7" ht="15.6" x14ac:dyDescent="0.3">
      <c r="A182" s="170" t="s">
        <v>467</v>
      </c>
      <c r="B182" s="171"/>
      <c r="C182" s="104" t="s">
        <v>33</v>
      </c>
      <c r="D182" s="90"/>
      <c r="E182" s="171" t="s">
        <v>273</v>
      </c>
      <c r="F182" s="171"/>
      <c r="G182" s="172"/>
    </row>
    <row r="185" spans="1:7" ht="21" x14ac:dyDescent="0.4">
      <c r="A185" s="49"/>
      <c r="B185" s="184" t="s">
        <v>45</v>
      </c>
      <c r="C185" s="185"/>
      <c r="D185" s="190" t="s">
        <v>36</v>
      </c>
      <c r="E185" s="191"/>
      <c r="F185" s="191"/>
      <c r="G185" s="192"/>
    </row>
    <row r="186" spans="1:7" ht="21" x14ac:dyDescent="0.4">
      <c r="A186" s="50"/>
      <c r="B186" s="186"/>
      <c r="C186" s="187"/>
      <c r="D186" s="193" t="s">
        <v>1</v>
      </c>
      <c r="E186" s="194"/>
      <c r="F186" s="195" t="s">
        <v>577</v>
      </c>
      <c r="G186" s="177"/>
    </row>
    <row r="187" spans="1:7" ht="21" x14ac:dyDescent="0.4">
      <c r="A187" s="50"/>
      <c r="B187" s="186"/>
      <c r="C187" s="187"/>
      <c r="D187" s="193" t="s">
        <v>267</v>
      </c>
      <c r="E187" s="194"/>
      <c r="F187" s="176">
        <v>22</v>
      </c>
      <c r="G187" s="177"/>
    </row>
    <row r="188" spans="1:7" ht="21" x14ac:dyDescent="0.4">
      <c r="A188" s="51"/>
      <c r="B188" s="188"/>
      <c r="C188" s="189"/>
      <c r="D188" s="178" t="s">
        <v>38</v>
      </c>
      <c r="E188" s="179"/>
      <c r="F188" s="180" t="s">
        <v>578</v>
      </c>
      <c r="G188" s="181"/>
    </row>
    <row r="189" spans="1:7" ht="20.399999999999999" x14ac:dyDescent="0.35">
      <c r="A189" s="52" t="s">
        <v>39</v>
      </c>
      <c r="B189" s="53" t="s">
        <v>279</v>
      </c>
      <c r="C189" s="54"/>
      <c r="D189" s="54"/>
      <c r="E189" s="182"/>
      <c r="F189" s="182"/>
      <c r="G189" s="183"/>
    </row>
    <row r="190" spans="1:7" ht="20.399999999999999" x14ac:dyDescent="0.35">
      <c r="A190" s="52" t="s">
        <v>40</v>
      </c>
      <c r="B190" s="173"/>
      <c r="C190" s="174"/>
      <c r="D190" s="174"/>
      <c r="E190" s="174"/>
      <c r="F190" s="174"/>
      <c r="G190" s="175"/>
    </row>
    <row r="191" spans="1:7" ht="20.399999999999999" x14ac:dyDescent="0.35">
      <c r="A191" s="52" t="s">
        <v>41</v>
      </c>
      <c r="B191" s="173" t="s">
        <v>272</v>
      </c>
      <c r="C191" s="174"/>
      <c r="D191" s="174"/>
      <c r="E191" s="174"/>
      <c r="F191" s="174"/>
      <c r="G191" s="175"/>
    </row>
    <row r="192" spans="1:7" ht="20.399999999999999" x14ac:dyDescent="0.35">
      <c r="A192" s="52" t="s">
        <v>42</v>
      </c>
      <c r="B192" s="173" t="s">
        <v>175</v>
      </c>
      <c r="C192" s="174"/>
      <c r="D192" s="174"/>
      <c r="E192" s="174"/>
      <c r="F192" s="174"/>
      <c r="G192" s="175"/>
    </row>
    <row r="193" spans="1:7" ht="30" x14ac:dyDescent="0.3">
      <c r="A193" s="103" t="s">
        <v>8</v>
      </c>
      <c r="B193" s="103" t="s">
        <v>9</v>
      </c>
      <c r="C193" s="103" t="s">
        <v>10</v>
      </c>
      <c r="D193" s="103" t="s">
        <v>43</v>
      </c>
      <c r="E193" s="103" t="s">
        <v>12</v>
      </c>
      <c r="F193" s="103" t="s">
        <v>13</v>
      </c>
      <c r="G193" s="103" t="s">
        <v>14</v>
      </c>
    </row>
    <row r="194" spans="1:7" ht="15.6" x14ac:dyDescent="0.3">
      <c r="A194" s="57">
        <v>100</v>
      </c>
      <c r="B194" s="58" t="s">
        <v>65</v>
      </c>
      <c r="C194" s="58" t="s">
        <v>327</v>
      </c>
      <c r="D194" s="59"/>
      <c r="E194" s="60">
        <v>105.7</v>
      </c>
      <c r="F194" s="61">
        <f t="shared" ref="F194:F203" si="6">A194*E194</f>
        <v>10570</v>
      </c>
      <c r="G194" s="62"/>
    </row>
    <row r="195" spans="1:7" ht="15.6" x14ac:dyDescent="0.3">
      <c r="A195" s="63">
        <v>75</v>
      </c>
      <c r="B195" s="64" t="s">
        <v>65</v>
      </c>
      <c r="C195" s="64" t="s">
        <v>576</v>
      </c>
      <c r="D195" s="65"/>
      <c r="E195" s="66">
        <v>105</v>
      </c>
      <c r="F195" s="67">
        <f t="shared" si="6"/>
        <v>7875</v>
      </c>
      <c r="G195" s="68"/>
    </row>
    <row r="196" spans="1:7" ht="31.2" x14ac:dyDescent="0.3">
      <c r="A196" s="63">
        <v>1</v>
      </c>
      <c r="B196" s="64" t="s">
        <v>15</v>
      </c>
      <c r="C196" s="64" t="s">
        <v>579</v>
      </c>
      <c r="D196" s="96">
        <v>16748</v>
      </c>
      <c r="E196" s="66">
        <v>4774.53</v>
      </c>
      <c r="F196" s="67">
        <f t="shared" si="6"/>
        <v>4774.53</v>
      </c>
      <c r="G196" s="68"/>
    </row>
    <row r="197" spans="1:7" ht="15.6" x14ac:dyDescent="0.3">
      <c r="A197" s="63"/>
      <c r="B197" s="64"/>
      <c r="C197" s="64"/>
      <c r="D197" s="65"/>
      <c r="E197" s="66"/>
      <c r="F197" s="67">
        <f t="shared" si="6"/>
        <v>0</v>
      </c>
      <c r="G197" s="68"/>
    </row>
    <row r="198" spans="1:7" ht="15.6" x14ac:dyDescent="0.3">
      <c r="A198" s="69"/>
      <c r="B198" s="64"/>
      <c r="C198" s="64"/>
      <c r="D198" s="65"/>
      <c r="E198" s="66"/>
      <c r="F198" s="67">
        <f t="shared" si="6"/>
        <v>0</v>
      </c>
      <c r="G198" s="68"/>
    </row>
    <row r="199" spans="1:7" ht="15.6" x14ac:dyDescent="0.3">
      <c r="A199" s="69"/>
      <c r="B199" s="64"/>
      <c r="C199" s="64"/>
      <c r="D199" s="65"/>
      <c r="E199" s="66"/>
      <c r="F199" s="67">
        <f t="shared" si="6"/>
        <v>0</v>
      </c>
      <c r="G199" s="68"/>
    </row>
    <row r="200" spans="1:7" ht="15.6" x14ac:dyDescent="0.3">
      <c r="A200" s="69"/>
      <c r="B200" s="64"/>
      <c r="C200" s="64"/>
      <c r="D200" s="65"/>
      <c r="E200" s="66"/>
      <c r="F200" s="67">
        <f t="shared" si="6"/>
        <v>0</v>
      </c>
      <c r="G200" s="68"/>
    </row>
    <row r="201" spans="1:7" ht="15.6" x14ac:dyDescent="0.3">
      <c r="A201" s="69"/>
      <c r="B201" s="64"/>
      <c r="C201" s="64"/>
      <c r="D201" s="65"/>
      <c r="E201" s="66"/>
      <c r="F201" s="67">
        <f t="shared" si="6"/>
        <v>0</v>
      </c>
      <c r="G201" s="68"/>
    </row>
    <row r="202" spans="1:7" ht="15.6" x14ac:dyDescent="0.3">
      <c r="A202" s="69"/>
      <c r="B202" s="64"/>
      <c r="C202" s="64"/>
      <c r="D202" s="65"/>
      <c r="E202" s="66"/>
      <c r="F202" s="67">
        <f t="shared" si="6"/>
        <v>0</v>
      </c>
      <c r="G202" s="68"/>
    </row>
    <row r="203" spans="1:7" ht="15.6" x14ac:dyDescent="0.3">
      <c r="A203" s="70"/>
      <c r="B203" s="71"/>
      <c r="C203" s="71"/>
      <c r="D203" s="72"/>
      <c r="E203" s="73"/>
      <c r="F203" s="74">
        <f t="shared" si="6"/>
        <v>0</v>
      </c>
      <c r="G203" s="75"/>
    </row>
    <row r="204" spans="1:7" ht="17.399999999999999" x14ac:dyDescent="0.3">
      <c r="A204" s="76"/>
      <c r="B204" s="77"/>
      <c r="C204" s="164" t="s">
        <v>27</v>
      </c>
      <c r="D204" s="164"/>
      <c r="E204" s="78"/>
      <c r="F204" s="79">
        <f>SUM(F194:F202)</f>
        <v>23219.53</v>
      </c>
      <c r="G204" s="80"/>
    </row>
    <row r="205" spans="1:7" ht="17.399999999999999" x14ac:dyDescent="0.3">
      <c r="A205" s="81"/>
      <c r="B205" s="82"/>
      <c r="C205" s="165" t="s">
        <v>28</v>
      </c>
      <c r="D205" s="165"/>
      <c r="E205" s="83"/>
      <c r="F205" s="84">
        <f>F204*0.16</f>
        <v>3715.1248000000001</v>
      </c>
      <c r="G205" s="85"/>
    </row>
    <row r="206" spans="1:7" ht="17.399999999999999" x14ac:dyDescent="0.3">
      <c r="A206" s="81"/>
      <c r="B206" s="82"/>
      <c r="C206" s="166" t="s">
        <v>29</v>
      </c>
      <c r="D206" s="166"/>
      <c r="E206" s="86"/>
      <c r="F206" s="87">
        <f>F204+F205</f>
        <v>26934.6548</v>
      </c>
      <c r="G206" s="88"/>
    </row>
    <row r="207" spans="1:7" ht="15.6" x14ac:dyDescent="0.3">
      <c r="A207" s="167" t="s">
        <v>30</v>
      </c>
      <c r="B207" s="168"/>
      <c r="C207" s="89" t="s">
        <v>31</v>
      </c>
      <c r="D207" s="89"/>
      <c r="E207" s="168" t="s">
        <v>32</v>
      </c>
      <c r="F207" s="168"/>
      <c r="G207" s="169"/>
    </row>
    <row r="208" spans="1:7" ht="15.6" x14ac:dyDescent="0.3">
      <c r="A208" s="170" t="s">
        <v>444</v>
      </c>
      <c r="B208" s="171"/>
      <c r="C208" s="104" t="s">
        <v>33</v>
      </c>
      <c r="D208" s="90"/>
      <c r="E208" s="171" t="s">
        <v>273</v>
      </c>
      <c r="F208" s="171"/>
      <c r="G208" s="172"/>
    </row>
    <row r="211" spans="1:7" ht="21" x14ac:dyDescent="0.4">
      <c r="A211" s="49"/>
      <c r="B211" s="184" t="s">
        <v>45</v>
      </c>
      <c r="C211" s="185"/>
      <c r="D211" s="190" t="s">
        <v>36</v>
      </c>
      <c r="E211" s="191"/>
      <c r="F211" s="191"/>
      <c r="G211" s="192"/>
    </row>
    <row r="212" spans="1:7" ht="21" x14ac:dyDescent="0.4">
      <c r="A212" s="50"/>
      <c r="B212" s="186"/>
      <c r="C212" s="187"/>
      <c r="D212" s="193" t="s">
        <v>1</v>
      </c>
      <c r="E212" s="194"/>
      <c r="F212" s="195" t="s">
        <v>581</v>
      </c>
      <c r="G212" s="177"/>
    </row>
    <row r="213" spans="1:7" ht="21" x14ac:dyDescent="0.4">
      <c r="A213" s="50"/>
      <c r="B213" s="186"/>
      <c r="C213" s="187"/>
      <c r="D213" s="193" t="s">
        <v>267</v>
      </c>
      <c r="E213" s="194"/>
      <c r="F213" s="176">
        <v>22</v>
      </c>
      <c r="G213" s="177"/>
    </row>
    <row r="214" spans="1:7" ht="21" x14ac:dyDescent="0.4">
      <c r="A214" s="51"/>
      <c r="B214" s="188"/>
      <c r="C214" s="189"/>
      <c r="D214" s="178" t="s">
        <v>38</v>
      </c>
      <c r="E214" s="179"/>
      <c r="F214" s="180" t="s">
        <v>582</v>
      </c>
      <c r="G214" s="181"/>
    </row>
    <row r="215" spans="1:7" ht="20.399999999999999" x14ac:dyDescent="0.35">
      <c r="A215" s="52" t="s">
        <v>39</v>
      </c>
      <c r="B215" s="53" t="s">
        <v>279</v>
      </c>
      <c r="C215" s="54"/>
      <c r="D215" s="54"/>
      <c r="E215" s="182" t="s">
        <v>566</v>
      </c>
      <c r="F215" s="182"/>
      <c r="G215" s="183"/>
    </row>
    <row r="216" spans="1:7" ht="20.399999999999999" x14ac:dyDescent="0.35">
      <c r="A216" s="52" t="s">
        <v>40</v>
      </c>
      <c r="B216" s="173"/>
      <c r="C216" s="174"/>
      <c r="D216" s="174"/>
      <c r="E216" s="174"/>
      <c r="F216" s="174"/>
      <c r="G216" s="175"/>
    </row>
    <row r="217" spans="1:7" ht="20.399999999999999" x14ac:dyDescent="0.35">
      <c r="A217" s="52" t="s">
        <v>41</v>
      </c>
      <c r="B217" s="173" t="s">
        <v>272</v>
      </c>
      <c r="C217" s="174"/>
      <c r="D217" s="174"/>
      <c r="E217" s="174"/>
      <c r="F217" s="174"/>
      <c r="G217" s="175"/>
    </row>
    <row r="218" spans="1:7" ht="20.399999999999999" x14ac:dyDescent="0.35">
      <c r="A218" s="52" t="s">
        <v>42</v>
      </c>
      <c r="B218" s="173" t="s">
        <v>7</v>
      </c>
      <c r="C218" s="174"/>
      <c r="D218" s="174"/>
      <c r="E218" s="174"/>
      <c r="F218" s="174"/>
      <c r="G218" s="175"/>
    </row>
    <row r="219" spans="1:7" ht="30" x14ac:dyDescent="0.3">
      <c r="A219" s="103" t="s">
        <v>8</v>
      </c>
      <c r="B219" s="103" t="s">
        <v>9</v>
      </c>
      <c r="C219" s="103" t="s">
        <v>10</v>
      </c>
      <c r="D219" s="103" t="s">
        <v>43</v>
      </c>
      <c r="E219" s="103" t="s">
        <v>12</v>
      </c>
      <c r="F219" s="103" t="s">
        <v>13</v>
      </c>
      <c r="G219" s="103" t="s">
        <v>14</v>
      </c>
    </row>
    <row r="220" spans="1:7" ht="15.6" x14ac:dyDescent="0.3">
      <c r="A220" s="57">
        <v>60</v>
      </c>
      <c r="B220" s="58" t="s">
        <v>65</v>
      </c>
      <c r="C220" s="58" t="s">
        <v>580</v>
      </c>
      <c r="D220" s="59"/>
      <c r="E220" s="60">
        <v>80</v>
      </c>
      <c r="F220" s="61">
        <f t="shared" ref="F220:F229" si="7">A220*E220</f>
        <v>4800</v>
      </c>
      <c r="G220" s="62"/>
    </row>
    <row r="221" spans="1:7" ht="15.6" x14ac:dyDescent="0.3">
      <c r="A221" s="63">
        <v>25</v>
      </c>
      <c r="B221" s="64" t="s">
        <v>65</v>
      </c>
      <c r="C221" s="64" t="s">
        <v>576</v>
      </c>
      <c r="D221" s="65"/>
      <c r="E221" s="66">
        <v>105</v>
      </c>
      <c r="F221" s="67">
        <f t="shared" si="7"/>
        <v>2625</v>
      </c>
      <c r="G221" s="68"/>
    </row>
    <row r="222" spans="1:7" ht="15.6" x14ac:dyDescent="0.3">
      <c r="A222" s="63"/>
      <c r="B222" s="64"/>
      <c r="C222" s="64"/>
      <c r="D222" s="65"/>
      <c r="E222" s="66"/>
      <c r="F222" s="67">
        <f t="shared" si="7"/>
        <v>0</v>
      </c>
      <c r="G222" s="68"/>
    </row>
    <row r="223" spans="1:7" ht="15.6" x14ac:dyDescent="0.3">
      <c r="A223" s="63"/>
      <c r="B223" s="64"/>
      <c r="C223" s="64"/>
      <c r="D223" s="65"/>
      <c r="E223" s="66"/>
      <c r="F223" s="67">
        <f t="shared" si="7"/>
        <v>0</v>
      </c>
      <c r="G223" s="68"/>
    </row>
    <row r="224" spans="1:7" ht="15.6" x14ac:dyDescent="0.3">
      <c r="A224" s="69"/>
      <c r="B224" s="64"/>
      <c r="C224" s="64"/>
      <c r="D224" s="65"/>
      <c r="E224" s="66"/>
      <c r="F224" s="67">
        <f t="shared" si="7"/>
        <v>0</v>
      </c>
      <c r="G224" s="68"/>
    </row>
    <row r="225" spans="1:7" ht="15.6" x14ac:dyDescent="0.3">
      <c r="A225" s="69"/>
      <c r="B225" s="64"/>
      <c r="C225" s="64"/>
      <c r="D225" s="65"/>
      <c r="E225" s="66"/>
      <c r="F225" s="67">
        <f t="shared" si="7"/>
        <v>0</v>
      </c>
      <c r="G225" s="68"/>
    </row>
    <row r="226" spans="1:7" ht="15.6" x14ac:dyDescent="0.3">
      <c r="A226" s="69"/>
      <c r="B226" s="64"/>
      <c r="C226" s="64"/>
      <c r="D226" s="65"/>
      <c r="E226" s="66"/>
      <c r="F226" s="67">
        <f t="shared" si="7"/>
        <v>0</v>
      </c>
      <c r="G226" s="68"/>
    </row>
    <row r="227" spans="1:7" ht="15.6" x14ac:dyDescent="0.3">
      <c r="A227" s="69"/>
      <c r="B227" s="64"/>
      <c r="C227" s="64"/>
      <c r="D227" s="65"/>
      <c r="E227" s="66"/>
      <c r="F227" s="67">
        <f t="shared" si="7"/>
        <v>0</v>
      </c>
      <c r="G227" s="68"/>
    </row>
    <row r="228" spans="1:7" ht="15.6" x14ac:dyDescent="0.3">
      <c r="A228" s="69"/>
      <c r="B228" s="64"/>
      <c r="C228" s="64"/>
      <c r="D228" s="65"/>
      <c r="E228" s="66"/>
      <c r="F228" s="67">
        <f t="shared" si="7"/>
        <v>0</v>
      </c>
      <c r="G228" s="68"/>
    </row>
    <row r="229" spans="1:7" ht="15.6" x14ac:dyDescent="0.3">
      <c r="A229" s="70"/>
      <c r="B229" s="71"/>
      <c r="C229" s="71"/>
      <c r="D229" s="72"/>
      <c r="E229" s="73"/>
      <c r="F229" s="74">
        <f t="shared" si="7"/>
        <v>0</v>
      </c>
      <c r="G229" s="75"/>
    </row>
    <row r="230" spans="1:7" ht="17.399999999999999" x14ac:dyDescent="0.3">
      <c r="A230" s="76"/>
      <c r="B230" s="77"/>
      <c r="C230" s="164" t="s">
        <v>27</v>
      </c>
      <c r="D230" s="164"/>
      <c r="E230" s="78"/>
      <c r="F230" s="79">
        <f>SUM(F220:F228)</f>
        <v>7425</v>
      </c>
      <c r="G230" s="80"/>
    </row>
    <row r="231" spans="1:7" ht="17.399999999999999" x14ac:dyDescent="0.3">
      <c r="A231" s="81"/>
      <c r="B231" s="82"/>
      <c r="C231" s="165" t="s">
        <v>28</v>
      </c>
      <c r="D231" s="165"/>
      <c r="E231" s="83"/>
      <c r="F231" s="84">
        <f>F230*0.16</f>
        <v>1188</v>
      </c>
      <c r="G231" s="85"/>
    </row>
    <row r="232" spans="1:7" ht="17.399999999999999" x14ac:dyDescent="0.3">
      <c r="A232" s="81"/>
      <c r="B232" s="82"/>
      <c r="C232" s="166" t="s">
        <v>29</v>
      </c>
      <c r="D232" s="166"/>
      <c r="E232" s="86"/>
      <c r="F232" s="87">
        <f>F230+F231</f>
        <v>8613</v>
      </c>
      <c r="G232" s="88"/>
    </row>
    <row r="233" spans="1:7" ht="15.6" x14ac:dyDescent="0.3">
      <c r="A233" s="167" t="s">
        <v>30</v>
      </c>
      <c r="B233" s="168"/>
      <c r="C233" s="89" t="s">
        <v>31</v>
      </c>
      <c r="D233" s="89"/>
      <c r="E233" s="168" t="s">
        <v>32</v>
      </c>
      <c r="F233" s="168"/>
      <c r="G233" s="169"/>
    </row>
    <row r="234" spans="1:7" ht="15.6" x14ac:dyDescent="0.3">
      <c r="A234" s="170" t="s">
        <v>444</v>
      </c>
      <c r="B234" s="171"/>
      <c r="C234" s="104" t="s">
        <v>33</v>
      </c>
      <c r="D234" s="90"/>
      <c r="E234" s="171" t="s">
        <v>273</v>
      </c>
      <c r="F234" s="171"/>
      <c r="G234" s="172"/>
    </row>
    <row r="238" spans="1:7" ht="21" x14ac:dyDescent="0.4">
      <c r="A238" s="49"/>
      <c r="B238" s="184" t="s">
        <v>45</v>
      </c>
      <c r="C238" s="185"/>
      <c r="D238" s="190" t="s">
        <v>36</v>
      </c>
      <c r="E238" s="191"/>
      <c r="F238" s="191"/>
      <c r="G238" s="192"/>
    </row>
    <row r="239" spans="1:7" ht="21" x14ac:dyDescent="0.4">
      <c r="A239" s="50"/>
      <c r="B239" s="186"/>
      <c r="C239" s="187"/>
      <c r="D239" s="193" t="s">
        <v>1</v>
      </c>
      <c r="E239" s="194"/>
      <c r="F239" s="195" t="s">
        <v>581</v>
      </c>
      <c r="G239" s="177"/>
    </row>
    <row r="240" spans="1:7" ht="21" x14ac:dyDescent="0.4">
      <c r="A240" s="50"/>
      <c r="B240" s="186"/>
      <c r="C240" s="187"/>
      <c r="D240" s="193" t="s">
        <v>267</v>
      </c>
      <c r="E240" s="194"/>
      <c r="F240" s="176">
        <v>22</v>
      </c>
      <c r="G240" s="177"/>
    </row>
    <row r="241" spans="1:7" ht="21" x14ac:dyDescent="0.4">
      <c r="A241" s="51"/>
      <c r="B241" s="188"/>
      <c r="C241" s="189"/>
      <c r="D241" s="178" t="s">
        <v>38</v>
      </c>
      <c r="E241" s="179"/>
      <c r="F241" s="180" t="s">
        <v>583</v>
      </c>
      <c r="G241" s="181"/>
    </row>
    <row r="242" spans="1:7" ht="20.399999999999999" x14ac:dyDescent="0.35">
      <c r="A242" s="52" t="s">
        <v>39</v>
      </c>
      <c r="B242" s="53" t="s">
        <v>279</v>
      </c>
      <c r="C242" s="54"/>
      <c r="D242" s="54"/>
      <c r="E242" s="182"/>
      <c r="F242" s="182"/>
      <c r="G242" s="183"/>
    </row>
    <row r="243" spans="1:7" ht="20.399999999999999" x14ac:dyDescent="0.35">
      <c r="A243" s="52" t="s">
        <v>40</v>
      </c>
      <c r="B243" s="173" t="s">
        <v>584</v>
      </c>
      <c r="C243" s="174"/>
      <c r="D243" s="174"/>
      <c r="E243" s="174"/>
      <c r="F243" s="174"/>
      <c r="G243" s="175"/>
    </row>
    <row r="244" spans="1:7" ht="20.399999999999999" x14ac:dyDescent="0.35">
      <c r="A244" s="52" t="s">
        <v>41</v>
      </c>
      <c r="B244" s="173" t="s">
        <v>272</v>
      </c>
      <c r="C244" s="174"/>
      <c r="D244" s="174"/>
      <c r="E244" s="174"/>
      <c r="F244" s="174"/>
      <c r="G244" s="175"/>
    </row>
    <row r="245" spans="1:7" ht="20.399999999999999" x14ac:dyDescent="0.35">
      <c r="A245" s="52" t="s">
        <v>42</v>
      </c>
      <c r="B245" s="173" t="s">
        <v>278</v>
      </c>
      <c r="C245" s="174"/>
      <c r="D245" s="174"/>
      <c r="E245" s="174"/>
      <c r="F245" s="174"/>
      <c r="G245" s="175"/>
    </row>
    <row r="246" spans="1:7" ht="30" x14ac:dyDescent="0.3">
      <c r="A246" s="103" t="s">
        <v>8</v>
      </c>
      <c r="B246" s="103" t="s">
        <v>9</v>
      </c>
      <c r="C246" s="103" t="s">
        <v>10</v>
      </c>
      <c r="D246" s="103" t="s">
        <v>43</v>
      </c>
      <c r="E246" s="103" t="s">
        <v>12</v>
      </c>
      <c r="F246" s="103" t="s">
        <v>13</v>
      </c>
      <c r="G246" s="103" t="s">
        <v>14</v>
      </c>
    </row>
    <row r="247" spans="1:7" ht="15.6" x14ac:dyDescent="0.3">
      <c r="A247" s="57">
        <v>60</v>
      </c>
      <c r="B247" s="58" t="s">
        <v>112</v>
      </c>
      <c r="C247" s="58" t="s">
        <v>126</v>
      </c>
      <c r="D247" s="59" t="s">
        <v>111</v>
      </c>
      <c r="E247" s="60">
        <v>17.190000000000001</v>
      </c>
      <c r="F247" s="61">
        <f t="shared" ref="F247:F261" si="8">A247*E247</f>
        <v>1031.4000000000001</v>
      </c>
      <c r="G247" s="62"/>
    </row>
    <row r="248" spans="1:7" ht="15.6" x14ac:dyDescent="0.3">
      <c r="A248" s="63">
        <v>15</v>
      </c>
      <c r="B248" s="64" t="s">
        <v>112</v>
      </c>
      <c r="C248" s="64" t="s">
        <v>585</v>
      </c>
      <c r="D248" s="65"/>
      <c r="E248" s="66">
        <v>55.18</v>
      </c>
      <c r="F248" s="67">
        <f t="shared" si="8"/>
        <v>827.7</v>
      </c>
      <c r="G248" s="68"/>
    </row>
    <row r="249" spans="1:7" ht="15.6" x14ac:dyDescent="0.3">
      <c r="A249" s="63">
        <v>25</v>
      </c>
      <c r="B249" s="64" t="s">
        <v>112</v>
      </c>
      <c r="C249" s="64" t="s">
        <v>586</v>
      </c>
      <c r="D249" s="65" t="s">
        <v>452</v>
      </c>
      <c r="E249" s="66">
        <v>5.72</v>
      </c>
      <c r="F249" s="67">
        <f t="shared" si="8"/>
        <v>143</v>
      </c>
      <c r="G249" s="68"/>
    </row>
    <row r="250" spans="1:7" ht="15.6" x14ac:dyDescent="0.3">
      <c r="A250" s="63"/>
      <c r="B250" s="64"/>
      <c r="C250" s="64"/>
      <c r="D250" s="65"/>
      <c r="E250" s="66"/>
      <c r="F250" s="67">
        <f t="shared" si="8"/>
        <v>0</v>
      </c>
      <c r="G250" s="68"/>
    </row>
    <row r="251" spans="1:7" ht="15.6" x14ac:dyDescent="0.3">
      <c r="A251" s="63"/>
      <c r="B251" s="64"/>
      <c r="C251" s="64"/>
      <c r="D251" s="65"/>
      <c r="E251" s="66"/>
      <c r="F251" s="67">
        <f t="shared" si="8"/>
        <v>0</v>
      </c>
      <c r="G251" s="68"/>
    </row>
    <row r="252" spans="1:7" ht="15.6" x14ac:dyDescent="0.3">
      <c r="A252" s="63"/>
      <c r="B252" s="64"/>
      <c r="C252" s="64"/>
      <c r="D252" s="65"/>
      <c r="E252" s="66"/>
      <c r="F252" s="67">
        <f t="shared" si="8"/>
        <v>0</v>
      </c>
      <c r="G252" s="68"/>
    </row>
    <row r="253" spans="1:7" ht="15.6" x14ac:dyDescent="0.3">
      <c r="A253" s="63"/>
      <c r="B253" s="64"/>
      <c r="C253" s="64"/>
      <c r="D253" s="65"/>
      <c r="E253" s="66"/>
      <c r="F253" s="67">
        <f t="shared" si="8"/>
        <v>0</v>
      </c>
      <c r="G253" s="68"/>
    </row>
    <row r="254" spans="1:7" ht="15.6" x14ac:dyDescent="0.3">
      <c r="A254" s="69"/>
      <c r="B254" s="64"/>
      <c r="C254" s="64"/>
      <c r="D254" s="65"/>
      <c r="E254" s="66"/>
      <c r="F254" s="67">
        <f t="shared" si="8"/>
        <v>0</v>
      </c>
      <c r="G254" s="68"/>
    </row>
    <row r="255" spans="1:7" ht="15.6" x14ac:dyDescent="0.3">
      <c r="A255" s="69"/>
      <c r="B255" s="64"/>
      <c r="C255" s="64"/>
      <c r="D255" s="65"/>
      <c r="E255" s="66"/>
      <c r="F255" s="67">
        <f t="shared" si="8"/>
        <v>0</v>
      </c>
      <c r="G255" s="68"/>
    </row>
    <row r="256" spans="1:7" ht="15.6" x14ac:dyDescent="0.3">
      <c r="A256" s="69"/>
      <c r="B256" s="64"/>
      <c r="C256" s="64"/>
      <c r="D256" s="65"/>
      <c r="E256" s="66"/>
      <c r="F256" s="67">
        <f t="shared" si="8"/>
        <v>0</v>
      </c>
      <c r="G256" s="68"/>
    </row>
    <row r="257" spans="1:7" ht="15.6" x14ac:dyDescent="0.3">
      <c r="A257" s="69"/>
      <c r="B257" s="64"/>
      <c r="C257" s="64"/>
      <c r="D257" s="65"/>
      <c r="E257" s="66"/>
      <c r="F257" s="67">
        <f t="shared" si="8"/>
        <v>0</v>
      </c>
      <c r="G257" s="68"/>
    </row>
    <row r="258" spans="1:7" ht="15.6" x14ac:dyDescent="0.3">
      <c r="A258" s="69"/>
      <c r="B258" s="64"/>
      <c r="C258" s="64"/>
      <c r="D258" s="65"/>
      <c r="E258" s="66"/>
      <c r="F258" s="67">
        <f t="shared" si="8"/>
        <v>0</v>
      </c>
      <c r="G258" s="68"/>
    </row>
    <row r="259" spans="1:7" ht="15.6" x14ac:dyDescent="0.3">
      <c r="A259" s="69"/>
      <c r="B259" s="64"/>
      <c r="C259" s="64"/>
      <c r="D259" s="65"/>
      <c r="E259" s="66"/>
      <c r="F259" s="67">
        <f t="shared" si="8"/>
        <v>0</v>
      </c>
      <c r="G259" s="68"/>
    </row>
    <row r="260" spans="1:7" ht="15.6" x14ac:dyDescent="0.3">
      <c r="A260" s="69"/>
      <c r="B260" s="64"/>
      <c r="C260" s="64"/>
      <c r="D260" s="65"/>
      <c r="E260" s="66"/>
      <c r="F260" s="67">
        <f t="shared" si="8"/>
        <v>0</v>
      </c>
      <c r="G260" s="68"/>
    </row>
    <row r="261" spans="1:7" ht="15.6" x14ac:dyDescent="0.3">
      <c r="A261" s="70"/>
      <c r="B261" s="71"/>
      <c r="C261" s="71"/>
      <c r="D261" s="72"/>
      <c r="E261" s="73"/>
      <c r="F261" s="74">
        <f t="shared" si="8"/>
        <v>0</v>
      </c>
      <c r="G261" s="75"/>
    </row>
    <row r="262" spans="1:7" ht="17.399999999999999" x14ac:dyDescent="0.3">
      <c r="A262" s="76"/>
      <c r="B262" s="77"/>
      <c r="C262" s="164" t="s">
        <v>27</v>
      </c>
      <c r="D262" s="164"/>
      <c r="E262" s="78"/>
      <c r="F262" s="79">
        <f>SUM(F247:F260)</f>
        <v>2002.1000000000001</v>
      </c>
      <c r="G262" s="80"/>
    </row>
    <row r="263" spans="1:7" ht="17.399999999999999" x14ac:dyDescent="0.3">
      <c r="A263" s="81"/>
      <c r="B263" s="82"/>
      <c r="C263" s="165" t="s">
        <v>28</v>
      </c>
      <c r="D263" s="165"/>
      <c r="E263" s="83"/>
      <c r="F263" s="84">
        <f>F262*0.16</f>
        <v>320.33600000000001</v>
      </c>
      <c r="G263" s="85"/>
    </row>
    <row r="264" spans="1:7" ht="17.399999999999999" x14ac:dyDescent="0.3">
      <c r="A264" s="81"/>
      <c r="B264" s="82"/>
      <c r="C264" s="166" t="s">
        <v>29</v>
      </c>
      <c r="D264" s="166"/>
      <c r="E264" s="86"/>
      <c r="F264" s="87">
        <f>F262+F263</f>
        <v>2322.4360000000001</v>
      </c>
      <c r="G264" s="88"/>
    </row>
    <row r="265" spans="1:7" ht="15.6" x14ac:dyDescent="0.3">
      <c r="A265" s="167" t="s">
        <v>30</v>
      </c>
      <c r="B265" s="168"/>
      <c r="C265" s="89" t="s">
        <v>31</v>
      </c>
      <c r="D265" s="89"/>
      <c r="E265" s="168" t="s">
        <v>32</v>
      </c>
      <c r="F265" s="168"/>
      <c r="G265" s="169"/>
    </row>
    <row r="266" spans="1:7" ht="15.6" x14ac:dyDescent="0.3">
      <c r="A266" s="170" t="s">
        <v>444</v>
      </c>
      <c r="B266" s="171"/>
      <c r="C266" s="104" t="s">
        <v>33</v>
      </c>
      <c r="D266" s="90"/>
      <c r="E266" s="171" t="s">
        <v>273</v>
      </c>
      <c r="F266" s="171"/>
      <c r="G266" s="172"/>
    </row>
    <row r="270" spans="1:7" ht="21" x14ac:dyDescent="0.4">
      <c r="A270" s="49"/>
      <c r="B270" s="184" t="s">
        <v>45</v>
      </c>
      <c r="C270" s="185"/>
      <c r="D270" s="190" t="s">
        <v>36</v>
      </c>
      <c r="E270" s="191"/>
      <c r="F270" s="191"/>
      <c r="G270" s="192"/>
    </row>
    <row r="271" spans="1:7" ht="21" x14ac:dyDescent="0.4">
      <c r="A271" s="50"/>
      <c r="B271" s="186"/>
      <c r="C271" s="187"/>
      <c r="D271" s="193" t="s">
        <v>1</v>
      </c>
      <c r="E271" s="194"/>
      <c r="F271" s="195" t="s">
        <v>589</v>
      </c>
      <c r="G271" s="177"/>
    </row>
    <row r="272" spans="1:7" ht="21" x14ac:dyDescent="0.4">
      <c r="A272" s="50"/>
      <c r="B272" s="186"/>
      <c r="C272" s="187"/>
      <c r="D272" s="193" t="s">
        <v>267</v>
      </c>
      <c r="E272" s="194"/>
      <c r="F272" s="176">
        <v>22</v>
      </c>
      <c r="G272" s="177"/>
    </row>
    <row r="273" spans="1:7" ht="21" x14ac:dyDescent="0.4">
      <c r="A273" s="51"/>
      <c r="B273" s="188"/>
      <c r="C273" s="189"/>
      <c r="D273" s="178" t="s">
        <v>38</v>
      </c>
      <c r="E273" s="179"/>
      <c r="F273" s="180" t="s">
        <v>590</v>
      </c>
      <c r="G273" s="181"/>
    </row>
    <row r="274" spans="1:7" ht="20.399999999999999" x14ac:dyDescent="0.35">
      <c r="A274" s="52" t="s">
        <v>39</v>
      </c>
      <c r="B274" s="53" t="s">
        <v>273</v>
      </c>
      <c r="C274" s="54"/>
      <c r="D274" s="54"/>
      <c r="E274" s="182"/>
      <c r="F274" s="182"/>
      <c r="G274" s="183"/>
    </row>
    <row r="275" spans="1:7" ht="20.399999999999999" x14ac:dyDescent="0.35">
      <c r="A275" s="52" t="s">
        <v>587</v>
      </c>
      <c r="B275" s="173" t="s">
        <v>588</v>
      </c>
      <c r="C275" s="174"/>
      <c r="D275" s="174"/>
      <c r="E275" s="174"/>
      <c r="F275" s="174"/>
      <c r="G275" s="175"/>
    </row>
    <row r="276" spans="1:7" ht="20.399999999999999" x14ac:dyDescent="0.35">
      <c r="A276" s="52" t="s">
        <v>41</v>
      </c>
      <c r="B276" s="173" t="s">
        <v>272</v>
      </c>
      <c r="C276" s="174"/>
      <c r="D276" s="174"/>
      <c r="E276" s="174"/>
      <c r="F276" s="174"/>
      <c r="G276" s="175"/>
    </row>
    <row r="277" spans="1:7" ht="20.399999999999999" x14ac:dyDescent="0.35">
      <c r="A277" s="52" t="s">
        <v>42</v>
      </c>
      <c r="B277" s="173" t="s">
        <v>280</v>
      </c>
      <c r="C277" s="174"/>
      <c r="D277" s="174"/>
      <c r="E277" s="174"/>
      <c r="F277" s="174"/>
      <c r="G277" s="175"/>
    </row>
    <row r="278" spans="1:7" ht="30" x14ac:dyDescent="0.3">
      <c r="A278" s="103" t="s">
        <v>8</v>
      </c>
      <c r="B278" s="103" t="s">
        <v>9</v>
      </c>
      <c r="C278" s="103" t="s">
        <v>10</v>
      </c>
      <c r="D278" s="103" t="s">
        <v>43</v>
      </c>
      <c r="E278" s="103" t="s">
        <v>12</v>
      </c>
      <c r="F278" s="103" t="s">
        <v>13</v>
      </c>
      <c r="G278" s="103" t="s">
        <v>14</v>
      </c>
    </row>
    <row r="279" spans="1:7" ht="31.2" x14ac:dyDescent="0.3">
      <c r="A279" s="57">
        <v>1</v>
      </c>
      <c r="B279" s="58" t="s">
        <v>591</v>
      </c>
      <c r="C279" s="58" t="s">
        <v>592</v>
      </c>
      <c r="D279" s="59"/>
      <c r="E279" s="60">
        <f>1079.1/1.16</f>
        <v>930.25862068965512</v>
      </c>
      <c r="F279" s="61">
        <f t="shared" ref="F279:F293" si="9">A279*E279</f>
        <v>930.25862068965512</v>
      </c>
      <c r="G279" s="62"/>
    </row>
    <row r="280" spans="1:7" ht="31.2" x14ac:dyDescent="0.3">
      <c r="A280" s="63">
        <v>1</v>
      </c>
      <c r="B280" s="64" t="s">
        <v>591</v>
      </c>
      <c r="C280" s="64" t="s">
        <v>593</v>
      </c>
      <c r="D280" s="65"/>
      <c r="E280" s="66">
        <v>930.26</v>
      </c>
      <c r="F280" s="67">
        <f t="shared" si="9"/>
        <v>930.26</v>
      </c>
      <c r="G280" s="68"/>
    </row>
    <row r="281" spans="1:7" ht="15.6" x14ac:dyDescent="0.3">
      <c r="A281" s="63"/>
      <c r="B281" s="64"/>
      <c r="C281" s="64"/>
      <c r="D281" s="65"/>
      <c r="E281" s="66"/>
      <c r="F281" s="67">
        <f t="shared" si="9"/>
        <v>0</v>
      </c>
      <c r="G281" s="68"/>
    </row>
    <row r="282" spans="1:7" ht="15.6" x14ac:dyDescent="0.3">
      <c r="A282" s="63"/>
      <c r="B282" s="64"/>
      <c r="C282" s="64"/>
      <c r="D282" s="65"/>
      <c r="E282" s="66"/>
      <c r="F282" s="67">
        <f t="shared" si="9"/>
        <v>0</v>
      </c>
      <c r="G282" s="68"/>
    </row>
    <row r="283" spans="1:7" ht="15.6" x14ac:dyDescent="0.3">
      <c r="A283" s="63"/>
      <c r="B283" s="64"/>
      <c r="C283" s="64"/>
      <c r="D283" s="65"/>
      <c r="E283" s="66"/>
      <c r="F283" s="67">
        <f t="shared" si="9"/>
        <v>0</v>
      </c>
      <c r="G283" s="68"/>
    </row>
    <row r="284" spans="1:7" ht="15.6" x14ac:dyDescent="0.3">
      <c r="A284" s="63"/>
      <c r="B284" s="64"/>
      <c r="C284" s="64"/>
      <c r="D284" s="65"/>
      <c r="E284" s="66"/>
      <c r="F284" s="67">
        <f t="shared" si="9"/>
        <v>0</v>
      </c>
      <c r="G284" s="68"/>
    </row>
    <row r="285" spans="1:7" ht="15.6" x14ac:dyDescent="0.3">
      <c r="A285" s="63"/>
      <c r="B285" s="64"/>
      <c r="C285" s="64"/>
      <c r="D285" s="65"/>
      <c r="E285" s="66"/>
      <c r="F285" s="67">
        <f t="shared" si="9"/>
        <v>0</v>
      </c>
      <c r="G285" s="68"/>
    </row>
    <row r="286" spans="1:7" ht="15.6" x14ac:dyDescent="0.3">
      <c r="A286" s="69"/>
      <c r="B286" s="64"/>
      <c r="C286" s="64"/>
      <c r="D286" s="65"/>
      <c r="E286" s="66"/>
      <c r="F286" s="67">
        <f t="shared" si="9"/>
        <v>0</v>
      </c>
      <c r="G286" s="68"/>
    </row>
    <row r="287" spans="1:7" ht="15.6" x14ac:dyDescent="0.3">
      <c r="A287" s="69"/>
      <c r="B287" s="64"/>
      <c r="C287" s="64"/>
      <c r="D287" s="65"/>
      <c r="E287" s="66"/>
      <c r="F287" s="67">
        <f t="shared" si="9"/>
        <v>0</v>
      </c>
      <c r="G287" s="68"/>
    </row>
    <row r="288" spans="1:7" ht="15.6" x14ac:dyDescent="0.3">
      <c r="A288" s="69"/>
      <c r="B288" s="64"/>
      <c r="C288" s="64"/>
      <c r="D288" s="65"/>
      <c r="E288" s="66"/>
      <c r="F288" s="67">
        <f t="shared" si="9"/>
        <v>0</v>
      </c>
      <c r="G288" s="68"/>
    </row>
    <row r="289" spans="1:7" ht="15.6" x14ac:dyDescent="0.3">
      <c r="A289" s="69"/>
      <c r="B289" s="64"/>
      <c r="C289" s="64"/>
      <c r="D289" s="65"/>
      <c r="E289" s="66"/>
      <c r="F289" s="67">
        <f t="shared" si="9"/>
        <v>0</v>
      </c>
      <c r="G289" s="68"/>
    </row>
    <row r="290" spans="1:7" ht="15.6" x14ac:dyDescent="0.3">
      <c r="A290" s="69"/>
      <c r="B290" s="64"/>
      <c r="C290" s="64"/>
      <c r="D290" s="65"/>
      <c r="E290" s="66"/>
      <c r="F290" s="67">
        <f t="shared" si="9"/>
        <v>0</v>
      </c>
      <c r="G290" s="68"/>
    </row>
    <row r="291" spans="1:7" ht="15.6" x14ac:dyDescent="0.3">
      <c r="A291" s="69"/>
      <c r="B291" s="64"/>
      <c r="C291" s="64"/>
      <c r="D291" s="65"/>
      <c r="E291" s="66"/>
      <c r="F291" s="67">
        <f t="shared" si="9"/>
        <v>0</v>
      </c>
      <c r="G291" s="68"/>
    </row>
    <row r="292" spans="1:7" ht="15.6" x14ac:dyDescent="0.3">
      <c r="A292" s="69"/>
      <c r="B292" s="64"/>
      <c r="C292" s="64"/>
      <c r="D292" s="65"/>
      <c r="E292" s="66"/>
      <c r="F292" s="67">
        <f t="shared" si="9"/>
        <v>0</v>
      </c>
      <c r="G292" s="68"/>
    </row>
    <row r="293" spans="1:7" ht="15.6" x14ac:dyDescent="0.3">
      <c r="A293" s="70"/>
      <c r="B293" s="71"/>
      <c r="C293" s="71"/>
      <c r="D293" s="72"/>
      <c r="E293" s="73"/>
      <c r="F293" s="74">
        <f t="shared" si="9"/>
        <v>0</v>
      </c>
      <c r="G293" s="75"/>
    </row>
    <row r="294" spans="1:7" ht="17.399999999999999" x14ac:dyDescent="0.3">
      <c r="A294" s="76"/>
      <c r="B294" s="77"/>
      <c r="C294" s="164" t="s">
        <v>27</v>
      </c>
      <c r="D294" s="164"/>
      <c r="E294" s="78"/>
      <c r="F294" s="79">
        <f>SUM(F279:F292)</f>
        <v>1860.5186206896551</v>
      </c>
      <c r="G294" s="80"/>
    </row>
    <row r="295" spans="1:7" ht="17.399999999999999" x14ac:dyDescent="0.3">
      <c r="A295" s="81"/>
      <c r="B295" s="82"/>
      <c r="C295" s="165" t="s">
        <v>28</v>
      </c>
      <c r="D295" s="165"/>
      <c r="E295" s="83"/>
      <c r="F295" s="84">
        <f>F294*0.16</f>
        <v>297.68297931034482</v>
      </c>
      <c r="G295" s="85"/>
    </row>
    <row r="296" spans="1:7" ht="17.399999999999999" x14ac:dyDescent="0.3">
      <c r="A296" s="81"/>
      <c r="B296" s="82"/>
      <c r="C296" s="166" t="s">
        <v>29</v>
      </c>
      <c r="D296" s="166"/>
      <c r="E296" s="86"/>
      <c r="F296" s="87">
        <f>F294+F295</f>
        <v>2158.2015999999999</v>
      </c>
      <c r="G296" s="88"/>
    </row>
    <row r="297" spans="1:7" ht="15.6" x14ac:dyDescent="0.3">
      <c r="A297" s="167" t="s">
        <v>30</v>
      </c>
      <c r="B297" s="168"/>
      <c r="C297" s="89" t="s">
        <v>31</v>
      </c>
      <c r="D297" s="89"/>
      <c r="E297" s="168" t="s">
        <v>32</v>
      </c>
      <c r="F297" s="168"/>
      <c r="G297" s="169"/>
    </row>
    <row r="298" spans="1:7" ht="15.6" x14ac:dyDescent="0.3">
      <c r="A298" s="170" t="s">
        <v>467</v>
      </c>
      <c r="B298" s="171"/>
      <c r="C298" s="104" t="s">
        <v>33</v>
      </c>
      <c r="D298" s="90"/>
      <c r="E298" s="171" t="s">
        <v>273</v>
      </c>
      <c r="F298" s="171"/>
      <c r="G298" s="172"/>
    </row>
    <row r="302" spans="1:7" ht="21" x14ac:dyDescent="0.4">
      <c r="A302" s="49"/>
      <c r="B302" s="184" t="s">
        <v>45</v>
      </c>
      <c r="C302" s="185"/>
      <c r="D302" s="190" t="s">
        <v>36</v>
      </c>
      <c r="E302" s="191"/>
      <c r="F302" s="191"/>
      <c r="G302" s="192"/>
    </row>
    <row r="303" spans="1:7" ht="21" x14ac:dyDescent="0.4">
      <c r="A303" s="50"/>
      <c r="B303" s="186"/>
      <c r="C303" s="187"/>
      <c r="D303" s="193" t="s">
        <v>1</v>
      </c>
      <c r="E303" s="194"/>
      <c r="F303" s="195" t="s">
        <v>589</v>
      </c>
      <c r="G303" s="177"/>
    </row>
    <row r="304" spans="1:7" ht="21" x14ac:dyDescent="0.4">
      <c r="A304" s="50"/>
      <c r="B304" s="186"/>
      <c r="C304" s="187"/>
      <c r="D304" s="193" t="s">
        <v>267</v>
      </c>
      <c r="E304" s="194"/>
      <c r="F304" s="176">
        <v>22</v>
      </c>
      <c r="G304" s="177"/>
    </row>
    <row r="305" spans="1:7" ht="21" x14ac:dyDescent="0.4">
      <c r="A305" s="51"/>
      <c r="B305" s="188"/>
      <c r="C305" s="189"/>
      <c r="D305" s="178" t="s">
        <v>38</v>
      </c>
      <c r="E305" s="179"/>
      <c r="F305" s="180"/>
      <c r="G305" s="181"/>
    </row>
    <row r="306" spans="1:7" ht="20.399999999999999" x14ac:dyDescent="0.35">
      <c r="A306" s="52" t="s">
        <v>39</v>
      </c>
      <c r="B306" s="53" t="s">
        <v>273</v>
      </c>
      <c r="C306" s="54"/>
      <c r="D306" s="54"/>
      <c r="E306" s="182"/>
      <c r="F306" s="182"/>
      <c r="G306" s="183"/>
    </row>
    <row r="307" spans="1:7" ht="20.399999999999999" x14ac:dyDescent="0.35">
      <c r="A307" s="52" t="s">
        <v>587</v>
      </c>
      <c r="B307" s="173" t="s">
        <v>588</v>
      </c>
      <c r="C307" s="174"/>
      <c r="D307" s="174"/>
      <c r="E307" s="174"/>
      <c r="F307" s="174"/>
      <c r="G307" s="175"/>
    </row>
    <row r="308" spans="1:7" ht="20.399999999999999" x14ac:dyDescent="0.35">
      <c r="A308" s="52" t="s">
        <v>41</v>
      </c>
      <c r="B308" s="173" t="s">
        <v>272</v>
      </c>
      <c r="C308" s="174"/>
      <c r="D308" s="174"/>
      <c r="E308" s="174"/>
      <c r="F308" s="174"/>
      <c r="G308" s="175"/>
    </row>
    <row r="309" spans="1:7" ht="20.399999999999999" x14ac:dyDescent="0.35">
      <c r="A309" s="52" t="s">
        <v>42</v>
      </c>
      <c r="B309" s="173" t="s">
        <v>280</v>
      </c>
      <c r="C309" s="174"/>
      <c r="D309" s="174"/>
      <c r="E309" s="174"/>
      <c r="F309" s="174"/>
      <c r="G309" s="175"/>
    </row>
    <row r="310" spans="1:7" ht="30" x14ac:dyDescent="0.3">
      <c r="A310" s="103" t="s">
        <v>8</v>
      </c>
      <c r="B310" s="103" t="s">
        <v>9</v>
      </c>
      <c r="C310" s="103" t="s">
        <v>10</v>
      </c>
      <c r="D310" s="103" t="s">
        <v>43</v>
      </c>
      <c r="E310" s="103" t="s">
        <v>12</v>
      </c>
      <c r="F310" s="103" t="s">
        <v>13</v>
      </c>
      <c r="G310" s="103" t="s">
        <v>14</v>
      </c>
    </row>
    <row r="311" spans="1:7" ht="31.2" x14ac:dyDescent="0.3">
      <c r="A311" s="57">
        <v>1</v>
      </c>
      <c r="B311" s="58" t="s">
        <v>591</v>
      </c>
      <c r="C311" s="58" t="s">
        <v>592</v>
      </c>
      <c r="D311" s="59"/>
      <c r="E311" s="60">
        <f>1079.1/1.16</f>
        <v>930.25862068965512</v>
      </c>
      <c r="F311" s="61">
        <f t="shared" ref="F311:F325" si="10">A311*E311</f>
        <v>930.25862068965512</v>
      </c>
      <c r="G311" s="62"/>
    </row>
    <row r="312" spans="1:7" ht="31.2" x14ac:dyDescent="0.3">
      <c r="A312" s="63">
        <v>1</v>
      </c>
      <c r="B312" s="64" t="s">
        <v>591</v>
      </c>
      <c r="C312" s="64" t="s">
        <v>593</v>
      </c>
      <c r="D312" s="65"/>
      <c r="E312" s="66">
        <v>930.26</v>
      </c>
      <c r="F312" s="67">
        <f t="shared" si="10"/>
        <v>930.26</v>
      </c>
      <c r="G312" s="68"/>
    </row>
    <row r="313" spans="1:7" ht="15.6" x14ac:dyDescent="0.3">
      <c r="A313" s="63"/>
      <c r="B313" s="64"/>
      <c r="C313" s="64"/>
      <c r="D313" s="65"/>
      <c r="E313" s="66"/>
      <c r="F313" s="67">
        <f t="shared" si="10"/>
        <v>0</v>
      </c>
      <c r="G313" s="68"/>
    </row>
    <row r="314" spans="1:7" ht="15.6" x14ac:dyDescent="0.3">
      <c r="A314" s="63"/>
      <c r="B314" s="64"/>
      <c r="C314" s="64"/>
      <c r="D314" s="65"/>
      <c r="E314" s="66"/>
      <c r="F314" s="67">
        <f t="shared" si="10"/>
        <v>0</v>
      </c>
      <c r="G314" s="68"/>
    </row>
    <row r="315" spans="1:7" ht="15.6" x14ac:dyDescent="0.3">
      <c r="A315" s="63"/>
      <c r="B315" s="64"/>
      <c r="C315" s="64"/>
      <c r="D315" s="65"/>
      <c r="E315" s="66"/>
      <c r="F315" s="67">
        <f t="shared" si="10"/>
        <v>0</v>
      </c>
      <c r="G315" s="68"/>
    </row>
    <row r="316" spans="1:7" ht="15.6" x14ac:dyDescent="0.3">
      <c r="A316" s="63"/>
      <c r="B316" s="64"/>
      <c r="C316" s="64"/>
      <c r="D316" s="65"/>
      <c r="E316" s="66"/>
      <c r="F316" s="67">
        <f t="shared" si="10"/>
        <v>0</v>
      </c>
      <c r="G316" s="68"/>
    </row>
    <row r="317" spans="1:7" ht="15.6" x14ac:dyDescent="0.3">
      <c r="A317" s="63"/>
      <c r="B317" s="64"/>
      <c r="C317" s="64"/>
      <c r="D317" s="65"/>
      <c r="E317" s="66"/>
      <c r="F317" s="67">
        <f t="shared" si="10"/>
        <v>0</v>
      </c>
      <c r="G317" s="68"/>
    </row>
    <row r="318" spans="1:7" ht="15.6" x14ac:dyDescent="0.3">
      <c r="A318" s="69"/>
      <c r="B318" s="64"/>
      <c r="C318" s="64"/>
      <c r="D318" s="65"/>
      <c r="E318" s="66"/>
      <c r="F318" s="67">
        <f t="shared" si="10"/>
        <v>0</v>
      </c>
      <c r="G318" s="68"/>
    </row>
    <row r="319" spans="1:7" ht="15.6" x14ac:dyDescent="0.3">
      <c r="A319" s="69"/>
      <c r="B319" s="64"/>
      <c r="C319" s="64"/>
      <c r="D319" s="65"/>
      <c r="E319" s="66"/>
      <c r="F319" s="67">
        <f t="shared" si="10"/>
        <v>0</v>
      </c>
      <c r="G319" s="68"/>
    </row>
    <row r="320" spans="1:7" ht="15.6" x14ac:dyDescent="0.3">
      <c r="A320" s="69"/>
      <c r="B320" s="64"/>
      <c r="C320" s="64"/>
      <c r="D320" s="65"/>
      <c r="E320" s="66"/>
      <c r="F320" s="67">
        <f t="shared" si="10"/>
        <v>0</v>
      </c>
      <c r="G320" s="68"/>
    </row>
    <row r="321" spans="1:7" ht="15.6" x14ac:dyDescent="0.3">
      <c r="A321" s="69"/>
      <c r="B321" s="64"/>
      <c r="C321" s="64"/>
      <c r="D321" s="65"/>
      <c r="E321" s="66"/>
      <c r="F321" s="67">
        <f t="shared" si="10"/>
        <v>0</v>
      </c>
      <c r="G321" s="68"/>
    </row>
    <row r="322" spans="1:7" ht="15.6" x14ac:dyDescent="0.3">
      <c r="A322" s="69"/>
      <c r="B322" s="64"/>
      <c r="C322" s="64"/>
      <c r="D322" s="65"/>
      <c r="E322" s="66"/>
      <c r="F322" s="67">
        <f t="shared" si="10"/>
        <v>0</v>
      </c>
      <c r="G322" s="68"/>
    </row>
    <row r="323" spans="1:7" ht="15.6" x14ac:dyDescent="0.3">
      <c r="A323" s="69"/>
      <c r="B323" s="64"/>
      <c r="C323" s="64"/>
      <c r="D323" s="65"/>
      <c r="E323" s="66"/>
      <c r="F323" s="67">
        <f t="shared" si="10"/>
        <v>0</v>
      </c>
      <c r="G323" s="68"/>
    </row>
    <row r="324" spans="1:7" ht="15.6" x14ac:dyDescent="0.3">
      <c r="A324" s="69"/>
      <c r="B324" s="64"/>
      <c r="C324" s="64"/>
      <c r="D324" s="65"/>
      <c r="E324" s="66"/>
      <c r="F324" s="67">
        <f t="shared" si="10"/>
        <v>0</v>
      </c>
      <c r="G324" s="68"/>
    </row>
    <row r="325" spans="1:7" ht="15.6" x14ac:dyDescent="0.3">
      <c r="A325" s="70"/>
      <c r="B325" s="71"/>
      <c r="C325" s="71"/>
      <c r="D325" s="72"/>
      <c r="E325" s="73"/>
      <c r="F325" s="74">
        <f t="shared" si="10"/>
        <v>0</v>
      </c>
      <c r="G325" s="75"/>
    </row>
    <row r="326" spans="1:7" ht="17.399999999999999" x14ac:dyDescent="0.3">
      <c r="A326" s="76"/>
      <c r="B326" s="77"/>
      <c r="C326" s="164" t="s">
        <v>27</v>
      </c>
      <c r="D326" s="164"/>
      <c r="E326" s="78"/>
      <c r="F326" s="79">
        <f>SUM(F311:F324)</f>
        <v>1860.5186206896551</v>
      </c>
      <c r="G326" s="80"/>
    </row>
    <row r="327" spans="1:7" ht="17.399999999999999" x14ac:dyDescent="0.3">
      <c r="A327" s="81"/>
      <c r="B327" s="82"/>
      <c r="C327" s="165" t="s">
        <v>28</v>
      </c>
      <c r="D327" s="165"/>
      <c r="E327" s="83"/>
      <c r="F327" s="84">
        <f>F326*0.16</f>
        <v>297.68297931034482</v>
      </c>
      <c r="G327" s="85"/>
    </row>
    <row r="328" spans="1:7" ht="17.399999999999999" x14ac:dyDescent="0.3">
      <c r="A328" s="81"/>
      <c r="B328" s="82"/>
      <c r="C328" s="166" t="s">
        <v>29</v>
      </c>
      <c r="D328" s="166"/>
      <c r="E328" s="86"/>
      <c r="F328" s="87">
        <f>F326+F327</f>
        <v>2158.2015999999999</v>
      </c>
      <c r="G328" s="88"/>
    </row>
    <row r="329" spans="1:7" ht="15.6" x14ac:dyDescent="0.3">
      <c r="A329" s="167" t="s">
        <v>30</v>
      </c>
      <c r="B329" s="168"/>
      <c r="C329" s="89" t="s">
        <v>31</v>
      </c>
      <c r="D329" s="89"/>
      <c r="E329" s="168" t="s">
        <v>32</v>
      </c>
      <c r="F329" s="168"/>
      <c r="G329" s="169"/>
    </row>
    <row r="330" spans="1:7" ht="15.6" x14ac:dyDescent="0.3">
      <c r="A330" s="170" t="s">
        <v>467</v>
      </c>
      <c r="B330" s="171"/>
      <c r="C330" s="104" t="s">
        <v>33</v>
      </c>
      <c r="D330" s="90"/>
      <c r="E330" s="171" t="s">
        <v>273</v>
      </c>
      <c r="F330" s="171"/>
      <c r="G330" s="172"/>
    </row>
    <row r="334" spans="1:7" ht="21" x14ac:dyDescent="0.4">
      <c r="A334" s="49"/>
      <c r="B334" s="184" t="s">
        <v>45</v>
      </c>
      <c r="C334" s="185"/>
      <c r="D334" s="190" t="s">
        <v>36</v>
      </c>
      <c r="E334" s="191"/>
      <c r="F334" s="191"/>
      <c r="G334" s="192"/>
    </row>
    <row r="335" spans="1:7" ht="21" x14ac:dyDescent="0.4">
      <c r="A335" s="50"/>
      <c r="B335" s="186"/>
      <c r="C335" s="187"/>
      <c r="D335" s="193" t="s">
        <v>1</v>
      </c>
      <c r="E335" s="194"/>
      <c r="F335" s="195" t="s">
        <v>594</v>
      </c>
      <c r="G335" s="177"/>
    </row>
    <row r="336" spans="1:7" ht="21" x14ac:dyDescent="0.4">
      <c r="A336" s="50"/>
      <c r="B336" s="186"/>
      <c r="C336" s="187"/>
      <c r="D336" s="193" t="s">
        <v>267</v>
      </c>
      <c r="E336" s="194"/>
      <c r="F336" s="176">
        <v>22</v>
      </c>
      <c r="G336" s="177"/>
    </row>
    <row r="337" spans="1:7" ht="21" x14ac:dyDescent="0.4">
      <c r="A337" s="51"/>
      <c r="B337" s="188"/>
      <c r="C337" s="189"/>
      <c r="D337" s="178" t="s">
        <v>38</v>
      </c>
      <c r="E337" s="179"/>
      <c r="F337" s="180" t="s">
        <v>595</v>
      </c>
      <c r="G337" s="181"/>
    </row>
    <row r="338" spans="1:7" ht="20.399999999999999" x14ac:dyDescent="0.35">
      <c r="A338" s="52" t="s">
        <v>39</v>
      </c>
      <c r="B338" s="53" t="s">
        <v>273</v>
      </c>
      <c r="C338" s="54"/>
      <c r="D338" s="54"/>
      <c r="E338" s="182" t="s">
        <v>566</v>
      </c>
      <c r="F338" s="182"/>
      <c r="G338" s="183"/>
    </row>
    <row r="339" spans="1:7" ht="20.399999999999999" x14ac:dyDescent="0.35">
      <c r="A339" s="52" t="s">
        <v>40</v>
      </c>
      <c r="B339" s="173"/>
      <c r="C339" s="174"/>
      <c r="D339" s="174"/>
      <c r="E339" s="174"/>
      <c r="F339" s="174"/>
      <c r="G339" s="175"/>
    </row>
    <row r="340" spans="1:7" ht="20.399999999999999" x14ac:dyDescent="0.35">
      <c r="A340" s="52" t="s">
        <v>41</v>
      </c>
      <c r="B340" s="173" t="s">
        <v>272</v>
      </c>
      <c r="C340" s="174"/>
      <c r="D340" s="174"/>
      <c r="E340" s="174"/>
      <c r="F340" s="174"/>
      <c r="G340" s="175"/>
    </row>
    <row r="341" spans="1:7" ht="20.399999999999999" x14ac:dyDescent="0.35">
      <c r="A341" s="52" t="s">
        <v>42</v>
      </c>
      <c r="B341" s="173" t="s">
        <v>7</v>
      </c>
      <c r="C341" s="174"/>
      <c r="D341" s="174"/>
      <c r="E341" s="174"/>
      <c r="F341" s="174"/>
      <c r="G341" s="175"/>
    </row>
    <row r="342" spans="1:7" ht="30" x14ac:dyDescent="0.3">
      <c r="A342" s="103" t="s">
        <v>8</v>
      </c>
      <c r="B342" s="103" t="s">
        <v>9</v>
      </c>
      <c r="C342" s="103" t="s">
        <v>10</v>
      </c>
      <c r="D342" s="103" t="s">
        <v>43</v>
      </c>
      <c r="E342" s="103" t="s">
        <v>12</v>
      </c>
      <c r="F342" s="103" t="s">
        <v>13</v>
      </c>
      <c r="G342" s="103" t="s">
        <v>14</v>
      </c>
    </row>
    <row r="343" spans="1:7" ht="15.6" x14ac:dyDescent="0.3">
      <c r="A343" s="57">
        <v>250</v>
      </c>
      <c r="B343" s="58" t="s">
        <v>562</v>
      </c>
      <c r="C343" s="58" t="s">
        <v>563</v>
      </c>
      <c r="D343" s="59">
        <v>749917</v>
      </c>
      <c r="E343" s="60">
        <v>18.559999999999999</v>
      </c>
      <c r="F343" s="61">
        <f t="shared" ref="F343:F352" si="11">A343*E343</f>
        <v>4640</v>
      </c>
      <c r="G343" s="62"/>
    </row>
    <row r="344" spans="1:7" ht="15.6" x14ac:dyDescent="0.3">
      <c r="A344" s="63"/>
      <c r="B344" s="64"/>
      <c r="C344" s="64"/>
      <c r="D344" s="65"/>
      <c r="E344" s="66"/>
      <c r="F344" s="67">
        <f t="shared" si="11"/>
        <v>0</v>
      </c>
      <c r="G344" s="68"/>
    </row>
    <row r="345" spans="1:7" ht="15.6" x14ac:dyDescent="0.3">
      <c r="A345" s="63"/>
      <c r="B345" s="64"/>
      <c r="C345" s="64"/>
      <c r="D345" s="65"/>
      <c r="E345" s="66"/>
      <c r="F345" s="67">
        <f t="shared" si="11"/>
        <v>0</v>
      </c>
      <c r="G345" s="68"/>
    </row>
    <row r="346" spans="1:7" ht="15.6" x14ac:dyDescent="0.3">
      <c r="A346" s="63"/>
      <c r="B346" s="64"/>
      <c r="C346" s="64"/>
      <c r="D346" s="65"/>
      <c r="E346" s="66"/>
      <c r="F346" s="67">
        <f t="shared" si="11"/>
        <v>0</v>
      </c>
      <c r="G346" s="68"/>
    </row>
    <row r="347" spans="1:7" ht="15.6" x14ac:dyDescent="0.3">
      <c r="A347" s="69"/>
      <c r="B347" s="64"/>
      <c r="C347" s="64"/>
      <c r="D347" s="65"/>
      <c r="E347" s="66"/>
      <c r="F347" s="67">
        <f t="shared" si="11"/>
        <v>0</v>
      </c>
      <c r="G347" s="68"/>
    </row>
    <row r="348" spans="1:7" ht="15.6" x14ac:dyDescent="0.3">
      <c r="A348" s="69"/>
      <c r="B348" s="64"/>
      <c r="C348" s="64"/>
      <c r="D348" s="65"/>
      <c r="E348" s="66"/>
      <c r="F348" s="67">
        <f t="shared" si="11"/>
        <v>0</v>
      </c>
      <c r="G348" s="68"/>
    </row>
    <row r="349" spans="1:7" ht="15.6" x14ac:dyDescent="0.3">
      <c r="A349" s="69"/>
      <c r="B349" s="64"/>
      <c r="C349" s="64"/>
      <c r="D349" s="65"/>
      <c r="E349" s="66"/>
      <c r="F349" s="67">
        <f t="shared" si="11"/>
        <v>0</v>
      </c>
      <c r="G349" s="68"/>
    </row>
    <row r="350" spans="1:7" ht="15.6" x14ac:dyDescent="0.3">
      <c r="A350" s="69"/>
      <c r="B350" s="64"/>
      <c r="C350" s="64"/>
      <c r="D350" s="65"/>
      <c r="E350" s="66"/>
      <c r="F350" s="67">
        <f t="shared" si="11"/>
        <v>0</v>
      </c>
      <c r="G350" s="68"/>
    </row>
    <row r="351" spans="1:7" ht="15.6" x14ac:dyDescent="0.3">
      <c r="A351" s="69"/>
      <c r="B351" s="64"/>
      <c r="C351" s="64"/>
      <c r="D351" s="65"/>
      <c r="E351" s="66"/>
      <c r="F351" s="67">
        <f t="shared" si="11"/>
        <v>0</v>
      </c>
      <c r="G351" s="68"/>
    </row>
    <row r="352" spans="1:7" ht="15.6" x14ac:dyDescent="0.3">
      <c r="A352" s="70"/>
      <c r="B352" s="71"/>
      <c r="C352" s="71"/>
      <c r="D352" s="72"/>
      <c r="E352" s="73"/>
      <c r="F352" s="74">
        <f t="shared" si="11"/>
        <v>0</v>
      </c>
      <c r="G352" s="75"/>
    </row>
    <row r="353" spans="1:7" ht="17.399999999999999" x14ac:dyDescent="0.3">
      <c r="A353" s="76"/>
      <c r="B353" s="77"/>
      <c r="C353" s="164" t="s">
        <v>27</v>
      </c>
      <c r="D353" s="164"/>
      <c r="E353" s="78"/>
      <c r="F353" s="79">
        <f>SUM(F343:F351)</f>
        <v>4640</v>
      </c>
      <c r="G353" s="80"/>
    </row>
    <row r="354" spans="1:7" ht="17.399999999999999" x14ac:dyDescent="0.3">
      <c r="A354" s="81"/>
      <c r="B354" s="82"/>
      <c r="C354" s="165" t="s">
        <v>28</v>
      </c>
      <c r="D354" s="165"/>
      <c r="E354" s="83"/>
      <c r="F354" s="84">
        <f>F353*0.16</f>
        <v>742.4</v>
      </c>
      <c r="G354" s="85"/>
    </row>
    <row r="355" spans="1:7" ht="17.399999999999999" x14ac:dyDescent="0.3">
      <c r="A355" s="81"/>
      <c r="B355" s="82"/>
      <c r="C355" s="166" t="s">
        <v>29</v>
      </c>
      <c r="D355" s="166"/>
      <c r="E355" s="86"/>
      <c r="F355" s="87">
        <f>F353+F354</f>
        <v>5382.4</v>
      </c>
      <c r="G355" s="88"/>
    </row>
    <row r="356" spans="1:7" ht="15.6" x14ac:dyDescent="0.3">
      <c r="A356" s="167" t="s">
        <v>30</v>
      </c>
      <c r="B356" s="168"/>
      <c r="C356" s="89" t="s">
        <v>31</v>
      </c>
      <c r="D356" s="89"/>
      <c r="E356" s="168" t="s">
        <v>32</v>
      </c>
      <c r="F356" s="168"/>
      <c r="G356" s="169"/>
    </row>
    <row r="357" spans="1:7" ht="15.6" x14ac:dyDescent="0.3">
      <c r="A357" s="170" t="s">
        <v>444</v>
      </c>
      <c r="B357" s="171"/>
      <c r="C357" s="104" t="s">
        <v>33</v>
      </c>
      <c r="D357" s="90"/>
      <c r="E357" s="171" t="s">
        <v>273</v>
      </c>
      <c r="F357" s="171"/>
      <c r="G357" s="172"/>
    </row>
  </sheetData>
  <mergeCells count="218">
    <mergeCell ref="B243:G243"/>
    <mergeCell ref="B244:G244"/>
    <mergeCell ref="B245:G245"/>
    <mergeCell ref="C262:D262"/>
    <mergeCell ref="C263:D263"/>
    <mergeCell ref="C264:D264"/>
    <mergeCell ref="A265:B265"/>
    <mergeCell ref="E265:G265"/>
    <mergeCell ref="A266:B266"/>
    <mergeCell ref="E266:G266"/>
    <mergeCell ref="B238:C241"/>
    <mergeCell ref="D238:G238"/>
    <mergeCell ref="D239:E239"/>
    <mergeCell ref="F239:G239"/>
    <mergeCell ref="D240:E240"/>
    <mergeCell ref="F240:G240"/>
    <mergeCell ref="D241:E241"/>
    <mergeCell ref="F241:G241"/>
    <mergeCell ref="E242:G242"/>
    <mergeCell ref="B216:G216"/>
    <mergeCell ref="B217:G217"/>
    <mergeCell ref="B218:G218"/>
    <mergeCell ref="C230:D230"/>
    <mergeCell ref="C231:D231"/>
    <mergeCell ref="C232:D232"/>
    <mergeCell ref="A233:B233"/>
    <mergeCell ref="E233:G233"/>
    <mergeCell ref="A234:B234"/>
    <mergeCell ref="E234:G234"/>
    <mergeCell ref="B211:C214"/>
    <mergeCell ref="D211:G211"/>
    <mergeCell ref="D212:E212"/>
    <mergeCell ref="F212:G212"/>
    <mergeCell ref="D213:E213"/>
    <mergeCell ref="F213:G213"/>
    <mergeCell ref="D214:E214"/>
    <mergeCell ref="F214:G214"/>
    <mergeCell ref="E215:G215"/>
    <mergeCell ref="C179:D179"/>
    <mergeCell ref="C180:D180"/>
    <mergeCell ref="A181:B181"/>
    <mergeCell ref="E181:G181"/>
    <mergeCell ref="A182:B182"/>
    <mergeCell ref="E182:G182"/>
    <mergeCell ref="E156:G156"/>
    <mergeCell ref="B157:G157"/>
    <mergeCell ref="B158:G158"/>
    <mergeCell ref="B159:G159"/>
    <mergeCell ref="C178:D178"/>
    <mergeCell ref="B152:C155"/>
    <mergeCell ref="D152:G152"/>
    <mergeCell ref="D153:E153"/>
    <mergeCell ref="F153:G153"/>
    <mergeCell ref="D154:E154"/>
    <mergeCell ref="F154:G154"/>
    <mergeCell ref="D155:E155"/>
    <mergeCell ref="F155:G155"/>
    <mergeCell ref="C146:D146"/>
    <mergeCell ref="C147:D147"/>
    <mergeCell ref="A148:B148"/>
    <mergeCell ref="E148:G148"/>
    <mergeCell ref="A149:B149"/>
    <mergeCell ref="E149:G149"/>
    <mergeCell ref="E130:G130"/>
    <mergeCell ref="B131:G131"/>
    <mergeCell ref="B132:G132"/>
    <mergeCell ref="B133:G133"/>
    <mergeCell ref="C145:D145"/>
    <mergeCell ref="B126:C129"/>
    <mergeCell ref="D126:G126"/>
    <mergeCell ref="D127:E127"/>
    <mergeCell ref="F127:G127"/>
    <mergeCell ref="D128:E128"/>
    <mergeCell ref="F128:G128"/>
    <mergeCell ref="D129:E129"/>
    <mergeCell ref="F129:G129"/>
    <mergeCell ref="F96:G96"/>
    <mergeCell ref="D97:E97"/>
    <mergeCell ref="F97:G97"/>
    <mergeCell ref="B100:G100"/>
    <mergeCell ref="C89:D89"/>
    <mergeCell ref="A90:B90"/>
    <mergeCell ref="E90:G90"/>
    <mergeCell ref="A91:B91"/>
    <mergeCell ref="E91:G91"/>
    <mergeCell ref="B94:C97"/>
    <mergeCell ref="D94:G94"/>
    <mergeCell ref="D95:E95"/>
    <mergeCell ref="F95:G95"/>
    <mergeCell ref="D96:E96"/>
    <mergeCell ref="C88:D88"/>
    <mergeCell ref="A61:B61"/>
    <mergeCell ref="E61:G61"/>
    <mergeCell ref="B66:C69"/>
    <mergeCell ref="D66:G66"/>
    <mergeCell ref="D67:E67"/>
    <mergeCell ref="F67:G67"/>
    <mergeCell ref="D68:E68"/>
    <mergeCell ref="F68:G68"/>
    <mergeCell ref="D69:E69"/>
    <mergeCell ref="F69:G69"/>
    <mergeCell ref="E70:G70"/>
    <mergeCell ref="B71:G71"/>
    <mergeCell ref="B72:G72"/>
    <mergeCell ref="B73:G73"/>
    <mergeCell ref="C87:D87"/>
    <mergeCell ref="B43:G43"/>
    <mergeCell ref="C57:D57"/>
    <mergeCell ref="C58:D58"/>
    <mergeCell ref="C59:D59"/>
    <mergeCell ref="A60:B60"/>
    <mergeCell ref="E60:G60"/>
    <mergeCell ref="B42:G42"/>
    <mergeCell ref="C30:D30"/>
    <mergeCell ref="A31:B31"/>
    <mergeCell ref="E31:G31"/>
    <mergeCell ref="A32:B32"/>
    <mergeCell ref="E32:G32"/>
    <mergeCell ref="B36:C39"/>
    <mergeCell ref="D36:G36"/>
    <mergeCell ref="D37:E37"/>
    <mergeCell ref="F37:G37"/>
    <mergeCell ref="D38:E38"/>
    <mergeCell ref="F38:G38"/>
    <mergeCell ref="D39:E39"/>
    <mergeCell ref="F39:G39"/>
    <mergeCell ref="E40:G40"/>
    <mergeCell ref="B41:G41"/>
    <mergeCell ref="C29:D29"/>
    <mergeCell ref="B3:C6"/>
    <mergeCell ref="D3:G3"/>
    <mergeCell ref="D4:E4"/>
    <mergeCell ref="F4:G4"/>
    <mergeCell ref="D5:E5"/>
    <mergeCell ref="F5:G5"/>
    <mergeCell ref="D6:E6"/>
    <mergeCell ref="F6:G6"/>
    <mergeCell ref="E7:G7"/>
    <mergeCell ref="B8:G8"/>
    <mergeCell ref="B9:G9"/>
    <mergeCell ref="B10:G10"/>
    <mergeCell ref="C28:D28"/>
    <mergeCell ref="B185:C188"/>
    <mergeCell ref="D185:G185"/>
    <mergeCell ref="D186:E186"/>
    <mergeCell ref="F186:G186"/>
    <mergeCell ref="D187:E187"/>
    <mergeCell ref="F187:G187"/>
    <mergeCell ref="D188:E188"/>
    <mergeCell ref="F188:G188"/>
    <mergeCell ref="E189:G189"/>
    <mergeCell ref="B190:G190"/>
    <mergeCell ref="B191:G191"/>
    <mergeCell ref="B192:G192"/>
    <mergeCell ref="C204:D204"/>
    <mergeCell ref="C205:D205"/>
    <mergeCell ref="C206:D206"/>
    <mergeCell ref="A207:B207"/>
    <mergeCell ref="E207:G207"/>
    <mergeCell ref="A208:B208"/>
    <mergeCell ref="E208:G208"/>
    <mergeCell ref="B270:C273"/>
    <mergeCell ref="D270:G270"/>
    <mergeCell ref="D271:E271"/>
    <mergeCell ref="F271:G271"/>
    <mergeCell ref="D272:E272"/>
    <mergeCell ref="F272:G272"/>
    <mergeCell ref="D273:E273"/>
    <mergeCell ref="F273:G273"/>
    <mergeCell ref="E274:G274"/>
    <mergeCell ref="B275:G275"/>
    <mergeCell ref="B276:G276"/>
    <mergeCell ref="B277:G277"/>
    <mergeCell ref="C294:D294"/>
    <mergeCell ref="C295:D295"/>
    <mergeCell ref="C296:D296"/>
    <mergeCell ref="A297:B297"/>
    <mergeCell ref="E297:G297"/>
    <mergeCell ref="A298:B298"/>
    <mergeCell ref="E298:G298"/>
    <mergeCell ref="B302:C305"/>
    <mergeCell ref="D302:G302"/>
    <mergeCell ref="D303:E303"/>
    <mergeCell ref="F303:G303"/>
    <mergeCell ref="D304:E304"/>
    <mergeCell ref="F304:G304"/>
    <mergeCell ref="D305:E305"/>
    <mergeCell ref="F305:G305"/>
    <mergeCell ref="E306:G306"/>
    <mergeCell ref="B307:G307"/>
    <mergeCell ref="B308:G308"/>
    <mergeCell ref="B309:G309"/>
    <mergeCell ref="C326:D326"/>
    <mergeCell ref="C327:D327"/>
    <mergeCell ref="C328:D328"/>
    <mergeCell ref="A329:B329"/>
    <mergeCell ref="E329:G329"/>
    <mergeCell ref="A330:B330"/>
    <mergeCell ref="E330:G330"/>
    <mergeCell ref="B334:C337"/>
    <mergeCell ref="D334:G334"/>
    <mergeCell ref="D335:E335"/>
    <mergeCell ref="F335:G335"/>
    <mergeCell ref="D336:E336"/>
    <mergeCell ref="F336:G336"/>
    <mergeCell ref="D337:E337"/>
    <mergeCell ref="F337:G337"/>
    <mergeCell ref="E338:G338"/>
    <mergeCell ref="B339:G339"/>
    <mergeCell ref="B340:G340"/>
    <mergeCell ref="B341:G341"/>
    <mergeCell ref="C353:D353"/>
    <mergeCell ref="C354:D354"/>
    <mergeCell ref="C355:D355"/>
    <mergeCell ref="A356:B356"/>
    <mergeCell ref="E356:G356"/>
    <mergeCell ref="A357:B357"/>
    <mergeCell ref="E357:G357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31 A60 A90 A121 A148 A181 A207 A233 A265 A297 A329 A356" xr:uid="{586A9D38-F79A-43D5-9DB5-A0EE4CDB31D6}">
      <formula1>0</formula1>
      <formula2>256</formula2>
    </dataValidation>
  </dataValidations>
  <pageMargins left="0.7" right="0.7" top="0.75" bottom="0.75" header="0.3" footer="0.3"/>
  <pageSetup scale="1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09E7E-8A09-4C23-8BD4-955F41165A30}">
  <dimension ref="A3:K179"/>
  <sheetViews>
    <sheetView topLeftCell="A136" zoomScaleNormal="100" workbookViewId="0">
      <selection activeCell="D3" sqref="A3:G27"/>
    </sheetView>
  </sheetViews>
  <sheetFormatPr baseColWidth="10" defaultRowHeight="14.4" x14ac:dyDescent="0.3"/>
  <cols>
    <col min="1" max="1" width="22.5546875" customWidth="1"/>
    <col min="2" max="2" width="18.5546875" customWidth="1"/>
    <col min="3" max="3" width="39.5546875" customWidth="1"/>
    <col min="4" max="4" width="28.88671875" customWidth="1"/>
    <col min="5" max="5" width="19.88671875" customWidth="1"/>
    <col min="6" max="6" width="16.6640625" customWidth="1"/>
    <col min="7" max="7" width="23.21875" customWidth="1"/>
  </cols>
  <sheetData>
    <row r="3" spans="1:7" ht="21" x14ac:dyDescent="0.4">
      <c r="A3" s="49"/>
      <c r="B3" s="184" t="s">
        <v>45</v>
      </c>
      <c r="C3" s="185"/>
      <c r="D3" s="190" t="s">
        <v>36</v>
      </c>
      <c r="E3" s="191"/>
      <c r="F3" s="191"/>
      <c r="G3" s="192"/>
    </row>
    <row r="4" spans="1:7" ht="21" x14ac:dyDescent="0.4">
      <c r="A4" s="50"/>
      <c r="B4" s="186"/>
      <c r="C4" s="187"/>
      <c r="D4" s="193" t="s">
        <v>1</v>
      </c>
      <c r="E4" s="194"/>
      <c r="F4" s="195" t="s">
        <v>527</v>
      </c>
      <c r="G4" s="177"/>
    </row>
    <row r="5" spans="1:7" ht="21" x14ac:dyDescent="0.4">
      <c r="A5" s="50"/>
      <c r="B5" s="186"/>
      <c r="C5" s="187"/>
      <c r="D5" s="193" t="s">
        <v>267</v>
      </c>
      <c r="E5" s="194"/>
      <c r="F5" s="176">
        <v>21</v>
      </c>
      <c r="G5" s="177"/>
    </row>
    <row r="6" spans="1:7" ht="21" x14ac:dyDescent="0.4">
      <c r="A6" s="51"/>
      <c r="B6" s="188"/>
      <c r="C6" s="189"/>
      <c r="D6" s="178" t="s">
        <v>38</v>
      </c>
      <c r="E6" s="179"/>
      <c r="F6" s="180" t="s">
        <v>517</v>
      </c>
      <c r="G6" s="181"/>
    </row>
    <row r="7" spans="1:7" ht="20.399999999999999" x14ac:dyDescent="0.35">
      <c r="A7" s="52" t="s">
        <v>39</v>
      </c>
      <c r="B7" s="53" t="s">
        <v>279</v>
      </c>
      <c r="C7" s="54"/>
      <c r="D7" s="54"/>
      <c r="E7" s="182" t="s">
        <v>518</v>
      </c>
      <c r="F7" s="182"/>
      <c r="G7" s="183"/>
    </row>
    <row r="8" spans="1:7" ht="20.399999999999999" x14ac:dyDescent="0.35">
      <c r="A8" s="52" t="s">
        <v>40</v>
      </c>
      <c r="B8" s="173"/>
      <c r="C8" s="174"/>
      <c r="D8" s="174"/>
      <c r="E8" s="174"/>
      <c r="F8" s="174"/>
      <c r="G8" s="175"/>
    </row>
    <row r="9" spans="1:7" ht="20.399999999999999" x14ac:dyDescent="0.35">
      <c r="A9" s="52" t="s">
        <v>41</v>
      </c>
      <c r="B9" s="173" t="s">
        <v>529</v>
      </c>
      <c r="C9" s="174"/>
      <c r="D9" s="174"/>
      <c r="E9" s="174"/>
      <c r="F9" s="174"/>
      <c r="G9" s="175"/>
    </row>
    <row r="10" spans="1:7" ht="20.399999999999999" x14ac:dyDescent="0.35">
      <c r="A10" s="52" t="s">
        <v>42</v>
      </c>
      <c r="B10" s="173" t="s">
        <v>175</v>
      </c>
      <c r="C10" s="174"/>
      <c r="D10" s="174"/>
      <c r="E10" s="174"/>
      <c r="F10" s="174"/>
      <c r="G10" s="175"/>
    </row>
    <row r="11" spans="1:7" ht="30" x14ac:dyDescent="0.3">
      <c r="A11" s="103" t="s">
        <v>8</v>
      </c>
      <c r="B11" s="103" t="s">
        <v>9</v>
      </c>
      <c r="C11" s="103" t="s">
        <v>10</v>
      </c>
      <c r="D11" s="103" t="s">
        <v>43</v>
      </c>
      <c r="E11" s="103" t="s">
        <v>12</v>
      </c>
      <c r="F11" s="103" t="s">
        <v>13</v>
      </c>
      <c r="G11" s="103" t="s">
        <v>14</v>
      </c>
    </row>
    <row r="12" spans="1:7" ht="46.8" x14ac:dyDescent="0.3">
      <c r="A12" s="57">
        <v>2</v>
      </c>
      <c r="B12" s="58" t="s">
        <v>15</v>
      </c>
      <c r="C12" s="58" t="s">
        <v>305</v>
      </c>
      <c r="D12" s="59"/>
      <c r="E12" s="60">
        <v>2993.5</v>
      </c>
      <c r="F12" s="61">
        <f t="shared" ref="F12:F21" si="0">A12*E12</f>
        <v>5987</v>
      </c>
      <c r="G12" s="62"/>
    </row>
    <row r="13" spans="1:7" ht="31.2" x14ac:dyDescent="0.3">
      <c r="A13" s="63">
        <v>2</v>
      </c>
      <c r="B13" s="64" t="s">
        <v>15</v>
      </c>
      <c r="C13" s="64" t="s">
        <v>306</v>
      </c>
      <c r="D13" s="65"/>
      <c r="E13" s="66">
        <v>461.96</v>
      </c>
      <c r="F13" s="67">
        <f t="shared" si="0"/>
        <v>923.92</v>
      </c>
      <c r="G13" s="68"/>
    </row>
    <row r="14" spans="1:7" ht="31.2" x14ac:dyDescent="0.3">
      <c r="A14" s="63">
        <v>2</v>
      </c>
      <c r="B14" s="64" t="s">
        <v>15</v>
      </c>
      <c r="C14" s="64" t="s">
        <v>307</v>
      </c>
      <c r="D14" s="65"/>
      <c r="E14" s="66">
        <v>17.11</v>
      </c>
      <c r="F14" s="67">
        <f t="shared" si="0"/>
        <v>34.22</v>
      </c>
      <c r="G14" s="68"/>
    </row>
    <row r="15" spans="1:7" ht="78" x14ac:dyDescent="0.3">
      <c r="A15" s="63">
        <v>2</v>
      </c>
      <c r="B15" s="64" t="s">
        <v>15</v>
      </c>
      <c r="C15" s="64" t="s">
        <v>308</v>
      </c>
      <c r="D15" s="65"/>
      <c r="E15" s="66">
        <v>246.86</v>
      </c>
      <c r="F15" s="67">
        <f t="shared" si="0"/>
        <v>493.72</v>
      </c>
      <c r="G15" s="68"/>
    </row>
    <row r="16" spans="1:7" ht="31.2" x14ac:dyDescent="0.3">
      <c r="A16" s="69">
        <v>5</v>
      </c>
      <c r="B16" s="64" t="s">
        <v>15</v>
      </c>
      <c r="C16" s="64" t="s">
        <v>516</v>
      </c>
      <c r="D16" s="65">
        <v>300003</v>
      </c>
      <c r="E16" s="66">
        <v>237.7</v>
      </c>
      <c r="F16" s="67">
        <f t="shared" si="0"/>
        <v>1188.5</v>
      </c>
      <c r="G16" s="68"/>
    </row>
    <row r="17" spans="1:7" ht="15.6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15.6" x14ac:dyDescent="0.3">
      <c r="A18" s="69"/>
      <c r="B18" s="64"/>
      <c r="C18" s="64"/>
      <c r="D18" s="65"/>
      <c r="E18" s="66"/>
      <c r="F18" s="67">
        <f t="shared" si="0"/>
        <v>0</v>
      </c>
      <c r="G18" s="68"/>
    </row>
    <row r="19" spans="1:7" ht="15.6" x14ac:dyDescent="0.3">
      <c r="A19" s="69"/>
      <c r="B19" s="64"/>
      <c r="C19" s="64"/>
      <c r="D19" s="65"/>
      <c r="E19" s="66"/>
      <c r="F19" s="67">
        <f t="shared" si="0"/>
        <v>0</v>
      </c>
      <c r="G19" s="68"/>
    </row>
    <row r="20" spans="1:7" ht="15.6" x14ac:dyDescent="0.3">
      <c r="A20" s="69"/>
      <c r="B20" s="64"/>
      <c r="C20" s="64"/>
      <c r="D20" s="65"/>
      <c r="E20" s="66"/>
      <c r="F20" s="67">
        <f t="shared" si="0"/>
        <v>0</v>
      </c>
      <c r="G20" s="68"/>
    </row>
    <row r="21" spans="1:7" ht="15.6" x14ac:dyDescent="0.3">
      <c r="A21" s="70"/>
      <c r="B21" s="71"/>
      <c r="C21" s="71"/>
      <c r="D21" s="72"/>
      <c r="E21" s="73"/>
      <c r="F21" s="74">
        <f t="shared" si="0"/>
        <v>0</v>
      </c>
      <c r="G21" s="75"/>
    </row>
    <row r="22" spans="1:7" ht="17.399999999999999" x14ac:dyDescent="0.3">
      <c r="A22" s="76"/>
      <c r="B22" s="77"/>
      <c r="C22" s="164" t="s">
        <v>27</v>
      </c>
      <c r="D22" s="164"/>
      <c r="E22" s="78"/>
      <c r="F22" s="79">
        <f>SUM(F12:F20)</f>
        <v>8627.36</v>
      </c>
      <c r="G22" s="80"/>
    </row>
    <row r="23" spans="1:7" ht="17.399999999999999" x14ac:dyDescent="0.3">
      <c r="A23" s="81"/>
      <c r="B23" s="82"/>
      <c r="C23" s="165" t="s">
        <v>28</v>
      </c>
      <c r="D23" s="165"/>
      <c r="E23" s="83"/>
      <c r="F23" s="84">
        <f>F22*0.16</f>
        <v>1380.3776</v>
      </c>
      <c r="G23" s="85"/>
    </row>
    <row r="24" spans="1:7" ht="17.399999999999999" x14ac:dyDescent="0.3">
      <c r="A24" s="81"/>
      <c r="B24" s="82"/>
      <c r="C24" s="166" t="s">
        <v>29</v>
      </c>
      <c r="D24" s="166"/>
      <c r="E24" s="86"/>
      <c r="F24" s="87">
        <f>F22+F23</f>
        <v>10007.7376</v>
      </c>
      <c r="G24" s="88"/>
    </row>
    <row r="25" spans="1:7" ht="15.6" x14ac:dyDescent="0.3">
      <c r="A25" s="167" t="s">
        <v>30</v>
      </c>
      <c r="B25" s="168"/>
      <c r="C25" s="89" t="s">
        <v>31</v>
      </c>
      <c r="D25" s="89"/>
      <c r="E25" s="168" t="s">
        <v>32</v>
      </c>
      <c r="F25" s="168"/>
      <c r="G25" s="169"/>
    </row>
    <row r="26" spans="1:7" ht="15.6" x14ac:dyDescent="0.3">
      <c r="A26" s="170" t="s">
        <v>467</v>
      </c>
      <c r="B26" s="171"/>
      <c r="C26" s="90" t="s">
        <v>33</v>
      </c>
      <c r="D26" s="90"/>
      <c r="E26" s="171" t="s">
        <v>273</v>
      </c>
      <c r="F26" s="171"/>
      <c r="G26" s="172"/>
    </row>
    <row r="29" spans="1:7" ht="21" x14ac:dyDescent="0.4">
      <c r="A29" s="49"/>
      <c r="B29" s="184" t="s">
        <v>45</v>
      </c>
      <c r="C29" s="185"/>
      <c r="D29" s="190" t="s">
        <v>36</v>
      </c>
      <c r="E29" s="191"/>
      <c r="F29" s="191"/>
      <c r="G29" s="192"/>
    </row>
    <row r="30" spans="1:7" ht="21" x14ac:dyDescent="0.4">
      <c r="A30" s="50"/>
      <c r="B30" s="186"/>
      <c r="C30" s="187"/>
      <c r="D30" s="193" t="s">
        <v>1</v>
      </c>
      <c r="E30" s="194"/>
      <c r="F30" s="195" t="s">
        <v>533</v>
      </c>
      <c r="G30" s="177"/>
    </row>
    <row r="31" spans="1:7" ht="21" x14ac:dyDescent="0.4">
      <c r="A31" s="50"/>
      <c r="B31" s="186"/>
      <c r="C31" s="187"/>
      <c r="D31" s="193" t="s">
        <v>267</v>
      </c>
      <c r="E31" s="194"/>
      <c r="F31" s="176">
        <v>21</v>
      </c>
      <c r="G31" s="177"/>
    </row>
    <row r="32" spans="1:7" ht="21" x14ac:dyDescent="0.4">
      <c r="A32" s="51"/>
      <c r="B32" s="188"/>
      <c r="C32" s="189"/>
      <c r="D32" s="178" t="s">
        <v>38</v>
      </c>
      <c r="E32" s="179"/>
      <c r="F32" s="180" t="s">
        <v>534</v>
      </c>
      <c r="G32" s="181"/>
    </row>
    <row r="33" spans="1:7" ht="20.399999999999999" x14ac:dyDescent="0.35">
      <c r="A33" s="52" t="s">
        <v>39</v>
      </c>
      <c r="B33" s="53" t="s">
        <v>279</v>
      </c>
      <c r="C33" s="54"/>
      <c r="D33" s="54"/>
      <c r="E33" s="182" t="s">
        <v>518</v>
      </c>
      <c r="F33" s="182"/>
      <c r="G33" s="183"/>
    </row>
    <row r="34" spans="1:7" ht="20.399999999999999" x14ac:dyDescent="0.35">
      <c r="A34" s="52" t="s">
        <v>40</v>
      </c>
      <c r="B34" s="173" t="s">
        <v>433</v>
      </c>
      <c r="C34" s="174"/>
      <c r="D34" s="174"/>
      <c r="E34" s="174"/>
      <c r="F34" s="174"/>
      <c r="G34" s="175"/>
    </row>
    <row r="35" spans="1:7" ht="20.399999999999999" x14ac:dyDescent="0.35">
      <c r="A35" s="52" t="s">
        <v>41</v>
      </c>
      <c r="B35" s="173" t="s">
        <v>272</v>
      </c>
      <c r="C35" s="174"/>
      <c r="D35" s="174"/>
      <c r="E35" s="174"/>
      <c r="F35" s="174"/>
      <c r="G35" s="175"/>
    </row>
    <row r="36" spans="1:7" ht="20.399999999999999" x14ac:dyDescent="0.35">
      <c r="A36" s="52" t="s">
        <v>42</v>
      </c>
      <c r="B36" s="173" t="s">
        <v>278</v>
      </c>
      <c r="C36" s="174"/>
      <c r="D36" s="174"/>
      <c r="E36" s="174"/>
      <c r="F36" s="174"/>
      <c r="G36" s="175"/>
    </row>
    <row r="37" spans="1:7" ht="15" x14ac:dyDescent="0.3">
      <c r="A37" s="103" t="s">
        <v>8</v>
      </c>
      <c r="B37" s="103" t="s">
        <v>9</v>
      </c>
      <c r="C37" s="103" t="s">
        <v>10</v>
      </c>
      <c r="D37" s="103" t="s">
        <v>43</v>
      </c>
      <c r="E37" s="103" t="s">
        <v>12</v>
      </c>
      <c r="F37" s="103" t="s">
        <v>13</v>
      </c>
      <c r="G37" s="103" t="s">
        <v>14</v>
      </c>
    </row>
    <row r="38" spans="1:7" ht="15.6" x14ac:dyDescent="0.3">
      <c r="A38" s="57">
        <v>6</v>
      </c>
      <c r="B38" s="58" t="s">
        <v>15</v>
      </c>
      <c r="C38" s="58" t="s">
        <v>523</v>
      </c>
      <c r="D38" s="59" t="s">
        <v>111</v>
      </c>
      <c r="E38" s="60">
        <v>53.14</v>
      </c>
      <c r="F38" s="61">
        <f t="shared" ref="F38:F61" si="1">A38*E38</f>
        <v>318.84000000000003</v>
      </c>
      <c r="G38" s="62"/>
    </row>
    <row r="39" spans="1:7" ht="15.6" x14ac:dyDescent="0.3">
      <c r="A39" s="63">
        <v>8</v>
      </c>
      <c r="B39" s="64" t="s">
        <v>15</v>
      </c>
      <c r="C39" s="64" t="s">
        <v>524</v>
      </c>
      <c r="D39" s="65" t="s">
        <v>111</v>
      </c>
      <c r="E39" s="66">
        <v>26.82</v>
      </c>
      <c r="F39" s="67">
        <f t="shared" si="1"/>
        <v>214.56</v>
      </c>
      <c r="G39" s="68"/>
    </row>
    <row r="40" spans="1:7" ht="31.2" x14ac:dyDescent="0.3">
      <c r="A40" s="63">
        <v>6</v>
      </c>
      <c r="B40" s="64" t="s">
        <v>15</v>
      </c>
      <c r="C40" s="64" t="s">
        <v>522</v>
      </c>
      <c r="D40" s="65" t="s">
        <v>111</v>
      </c>
      <c r="E40" s="66">
        <v>256.04000000000002</v>
      </c>
      <c r="F40" s="67">
        <f t="shared" si="1"/>
        <v>1536.2400000000002</v>
      </c>
      <c r="G40" s="68"/>
    </row>
    <row r="41" spans="1:7" ht="15.6" x14ac:dyDescent="0.3">
      <c r="A41" s="63">
        <v>6</v>
      </c>
      <c r="B41" s="64" t="s">
        <v>15</v>
      </c>
      <c r="C41" s="64" t="s">
        <v>520</v>
      </c>
      <c r="D41" s="65" t="s">
        <v>111</v>
      </c>
      <c r="E41" s="66">
        <v>138.38999999999999</v>
      </c>
      <c r="F41" s="67">
        <f t="shared" si="1"/>
        <v>830.33999999999992</v>
      </c>
      <c r="G41" s="68"/>
    </row>
    <row r="42" spans="1:7" ht="15.6" x14ac:dyDescent="0.3">
      <c r="A42" s="63">
        <v>6</v>
      </c>
      <c r="B42" s="64" t="s">
        <v>15</v>
      </c>
      <c r="C42" s="64" t="s">
        <v>302</v>
      </c>
      <c r="D42" s="65" t="s">
        <v>111</v>
      </c>
      <c r="E42" s="66">
        <v>106.21</v>
      </c>
      <c r="F42" s="67">
        <f t="shared" si="1"/>
        <v>637.26</v>
      </c>
      <c r="G42" s="68"/>
    </row>
    <row r="43" spans="1:7" ht="31.2" x14ac:dyDescent="0.3">
      <c r="A43" s="63">
        <v>3</v>
      </c>
      <c r="B43" s="64" t="s">
        <v>15</v>
      </c>
      <c r="C43" s="64" t="s">
        <v>521</v>
      </c>
      <c r="D43" s="65"/>
      <c r="E43" s="66">
        <v>141.54</v>
      </c>
      <c r="F43" s="67">
        <f t="shared" si="1"/>
        <v>424.62</v>
      </c>
      <c r="G43" s="68"/>
    </row>
    <row r="44" spans="1:7" ht="31.2" x14ac:dyDescent="0.3">
      <c r="A44" s="63">
        <v>6</v>
      </c>
      <c r="B44" s="64" t="s">
        <v>15</v>
      </c>
      <c r="C44" s="64" t="s">
        <v>311</v>
      </c>
      <c r="D44" s="65" t="s">
        <v>312</v>
      </c>
      <c r="E44" s="66">
        <v>15.74</v>
      </c>
      <c r="F44" s="67">
        <f t="shared" si="1"/>
        <v>94.44</v>
      </c>
      <c r="G44" s="68"/>
    </row>
    <row r="45" spans="1:7" ht="31.2" x14ac:dyDescent="0.3">
      <c r="A45" s="63">
        <v>3</v>
      </c>
      <c r="B45" s="64" t="s">
        <v>15</v>
      </c>
      <c r="C45" s="64" t="s">
        <v>526</v>
      </c>
      <c r="D45" s="65"/>
      <c r="E45" s="66">
        <v>56.66</v>
      </c>
      <c r="F45" s="67">
        <f t="shared" si="1"/>
        <v>169.98</v>
      </c>
      <c r="G45" s="68"/>
    </row>
    <row r="46" spans="1:7" ht="31.2" x14ac:dyDescent="0.3">
      <c r="A46" s="63">
        <v>10</v>
      </c>
      <c r="B46" s="64" t="s">
        <v>15</v>
      </c>
      <c r="C46" s="64" t="s">
        <v>528</v>
      </c>
      <c r="D46" s="65" t="s">
        <v>111</v>
      </c>
      <c r="E46" s="66">
        <v>13.79</v>
      </c>
      <c r="F46" s="67">
        <f t="shared" si="1"/>
        <v>137.89999999999998</v>
      </c>
      <c r="G46" s="68"/>
    </row>
    <row r="47" spans="1:7" ht="15.6" x14ac:dyDescent="0.3">
      <c r="A47" s="63">
        <v>3</v>
      </c>
      <c r="B47" s="64" t="s">
        <v>15</v>
      </c>
      <c r="C47" s="64" t="s">
        <v>525</v>
      </c>
      <c r="D47" s="65" t="s">
        <v>111</v>
      </c>
      <c r="E47" s="66">
        <v>60.06</v>
      </c>
      <c r="F47" s="67">
        <f t="shared" si="1"/>
        <v>180.18</v>
      </c>
      <c r="G47" s="68"/>
    </row>
    <row r="48" spans="1:7" ht="15.6" x14ac:dyDescent="0.3">
      <c r="A48" s="63">
        <v>25</v>
      </c>
      <c r="B48" s="64" t="s">
        <v>15</v>
      </c>
      <c r="C48" s="64" t="s">
        <v>519</v>
      </c>
      <c r="D48" s="65" t="s">
        <v>452</v>
      </c>
      <c r="E48" s="66">
        <v>2.4500000000000002</v>
      </c>
      <c r="F48" s="67">
        <f t="shared" si="1"/>
        <v>61.250000000000007</v>
      </c>
      <c r="G48" s="68"/>
    </row>
    <row r="49" spans="1:7" ht="15.6" x14ac:dyDescent="0.3">
      <c r="A49" s="63">
        <v>6</v>
      </c>
      <c r="B49" s="64" t="s">
        <v>15</v>
      </c>
      <c r="C49" s="64" t="s">
        <v>431</v>
      </c>
      <c r="D49" s="65" t="s">
        <v>111</v>
      </c>
      <c r="E49" s="66">
        <v>60.28</v>
      </c>
      <c r="F49" s="67">
        <f t="shared" si="1"/>
        <v>361.68</v>
      </c>
      <c r="G49" s="68"/>
    </row>
    <row r="50" spans="1:7" ht="15.6" x14ac:dyDescent="0.3">
      <c r="A50" s="69"/>
      <c r="B50" s="64"/>
      <c r="C50" s="64"/>
      <c r="D50" s="65"/>
      <c r="E50" s="66"/>
      <c r="F50" s="67">
        <f t="shared" si="1"/>
        <v>0</v>
      </c>
      <c r="G50" s="68"/>
    </row>
    <row r="51" spans="1:7" ht="15.6" x14ac:dyDescent="0.3">
      <c r="A51" s="69"/>
      <c r="B51" s="64"/>
      <c r="C51" s="64"/>
      <c r="D51" s="65"/>
      <c r="E51" s="66"/>
      <c r="F51" s="67">
        <f t="shared" si="1"/>
        <v>0</v>
      </c>
      <c r="G51" s="68"/>
    </row>
    <row r="52" spans="1:7" ht="15.6" x14ac:dyDescent="0.3">
      <c r="A52" s="69"/>
      <c r="B52" s="64"/>
      <c r="C52" s="64"/>
      <c r="D52" s="65"/>
      <c r="E52" s="66"/>
      <c r="F52" s="67">
        <f t="shared" si="1"/>
        <v>0</v>
      </c>
      <c r="G52" s="68"/>
    </row>
    <row r="53" spans="1:7" ht="15.6" x14ac:dyDescent="0.3">
      <c r="A53" s="69"/>
      <c r="B53" s="64"/>
      <c r="C53" s="64"/>
      <c r="D53" s="65"/>
      <c r="E53" s="66"/>
      <c r="F53" s="67">
        <f t="shared" si="1"/>
        <v>0</v>
      </c>
      <c r="G53" s="68"/>
    </row>
    <row r="54" spans="1:7" ht="15.6" x14ac:dyDescent="0.3">
      <c r="A54" s="69"/>
      <c r="B54" s="64"/>
      <c r="C54" s="64"/>
      <c r="D54" s="65"/>
      <c r="E54" s="66"/>
      <c r="F54" s="67">
        <f t="shared" si="1"/>
        <v>0</v>
      </c>
      <c r="G54" s="68"/>
    </row>
    <row r="55" spans="1:7" ht="15.6" x14ac:dyDescent="0.3">
      <c r="A55" s="69"/>
      <c r="B55" s="64"/>
      <c r="C55" s="64"/>
      <c r="D55" s="65"/>
      <c r="E55" s="66"/>
      <c r="F55" s="67">
        <f t="shared" si="1"/>
        <v>0</v>
      </c>
      <c r="G55" s="68"/>
    </row>
    <row r="56" spans="1:7" ht="15.6" x14ac:dyDescent="0.3">
      <c r="A56" s="69"/>
      <c r="B56" s="64"/>
      <c r="C56" s="64"/>
      <c r="D56" s="65"/>
      <c r="E56" s="66"/>
      <c r="F56" s="67">
        <f t="shared" si="1"/>
        <v>0</v>
      </c>
      <c r="G56" s="68"/>
    </row>
    <row r="57" spans="1:7" ht="15.6" x14ac:dyDescent="0.3">
      <c r="A57" s="69"/>
      <c r="B57" s="64"/>
      <c r="C57" s="64"/>
      <c r="D57" s="65"/>
      <c r="E57" s="66"/>
      <c r="F57" s="67">
        <f t="shared" si="1"/>
        <v>0</v>
      </c>
      <c r="G57" s="68"/>
    </row>
    <row r="58" spans="1:7" ht="15.6" x14ac:dyDescent="0.3">
      <c r="A58" s="69"/>
      <c r="B58" s="64"/>
      <c r="C58" s="64"/>
      <c r="D58" s="65"/>
      <c r="E58" s="66"/>
      <c r="F58" s="67">
        <f t="shared" si="1"/>
        <v>0</v>
      </c>
      <c r="G58" s="68"/>
    </row>
    <row r="59" spans="1:7" ht="15.6" x14ac:dyDescent="0.3">
      <c r="A59" s="69"/>
      <c r="B59" s="64"/>
      <c r="C59" s="64"/>
      <c r="D59" s="65"/>
      <c r="E59" s="66"/>
      <c r="F59" s="67">
        <f t="shared" si="1"/>
        <v>0</v>
      </c>
      <c r="G59" s="68"/>
    </row>
    <row r="60" spans="1:7" ht="15.6" x14ac:dyDescent="0.3">
      <c r="A60" s="69"/>
      <c r="B60" s="64"/>
      <c r="C60" s="64"/>
      <c r="D60" s="65"/>
      <c r="E60" s="66"/>
      <c r="F60" s="67">
        <f t="shared" si="1"/>
        <v>0</v>
      </c>
      <c r="G60" s="68"/>
    </row>
    <row r="61" spans="1:7" ht="15.6" x14ac:dyDescent="0.3">
      <c r="A61" s="70"/>
      <c r="B61" s="71"/>
      <c r="C61" s="71"/>
      <c r="D61" s="72"/>
      <c r="E61" s="73"/>
      <c r="F61" s="74">
        <f t="shared" si="1"/>
        <v>0</v>
      </c>
      <c r="G61" s="75"/>
    </row>
    <row r="62" spans="1:7" ht="17.399999999999999" x14ac:dyDescent="0.3">
      <c r="A62" s="76"/>
      <c r="B62" s="77"/>
      <c r="C62" s="164" t="s">
        <v>27</v>
      </c>
      <c r="D62" s="164"/>
      <c r="E62" s="78"/>
      <c r="F62" s="79">
        <f>SUM(F38:F60)</f>
        <v>4967.2900000000009</v>
      </c>
      <c r="G62" s="80"/>
    </row>
    <row r="63" spans="1:7" ht="17.399999999999999" x14ac:dyDescent="0.3">
      <c r="A63" s="81"/>
      <c r="B63" s="82"/>
      <c r="C63" s="165" t="s">
        <v>28</v>
      </c>
      <c r="D63" s="165"/>
      <c r="E63" s="83"/>
      <c r="F63" s="84">
        <f>F62*0.16</f>
        <v>794.7664000000002</v>
      </c>
      <c r="G63" s="85"/>
    </row>
    <row r="64" spans="1:7" ht="17.399999999999999" x14ac:dyDescent="0.3">
      <c r="A64" s="81"/>
      <c r="B64" s="82"/>
      <c r="C64" s="166" t="s">
        <v>29</v>
      </c>
      <c r="D64" s="166"/>
      <c r="E64" s="86"/>
      <c r="F64" s="87">
        <f>F62+F63</f>
        <v>5762.0564000000013</v>
      </c>
      <c r="G64" s="88"/>
    </row>
    <row r="65" spans="1:7" ht="15.6" x14ac:dyDescent="0.3">
      <c r="A65" s="167" t="s">
        <v>30</v>
      </c>
      <c r="B65" s="168"/>
      <c r="C65" s="89" t="s">
        <v>31</v>
      </c>
      <c r="D65" s="89"/>
      <c r="E65" s="168" t="s">
        <v>32</v>
      </c>
      <c r="F65" s="168"/>
      <c r="G65" s="169"/>
    </row>
    <row r="66" spans="1:7" ht="15.6" x14ac:dyDescent="0.3">
      <c r="A66" s="170" t="s">
        <v>52</v>
      </c>
      <c r="B66" s="171"/>
      <c r="C66" s="104" t="s">
        <v>33</v>
      </c>
      <c r="D66" s="90"/>
      <c r="E66" s="171" t="s">
        <v>273</v>
      </c>
      <c r="F66" s="171"/>
      <c r="G66" s="172"/>
    </row>
    <row r="69" spans="1:7" ht="21" x14ac:dyDescent="0.4">
      <c r="A69" s="49"/>
      <c r="B69" s="184" t="s">
        <v>45</v>
      </c>
      <c r="C69" s="185"/>
      <c r="D69" s="190" t="s">
        <v>36</v>
      </c>
      <c r="E69" s="191"/>
      <c r="F69" s="191"/>
      <c r="G69" s="192"/>
    </row>
    <row r="70" spans="1:7" ht="21" x14ac:dyDescent="0.4">
      <c r="A70" s="50"/>
      <c r="B70" s="186"/>
      <c r="C70" s="187"/>
      <c r="D70" s="193" t="s">
        <v>1</v>
      </c>
      <c r="E70" s="194"/>
      <c r="F70" s="195" t="s">
        <v>527</v>
      </c>
      <c r="G70" s="177"/>
    </row>
    <row r="71" spans="1:7" ht="21" x14ac:dyDescent="0.4">
      <c r="A71" s="50"/>
      <c r="B71" s="186"/>
      <c r="C71" s="187"/>
      <c r="D71" s="193" t="s">
        <v>267</v>
      </c>
      <c r="E71" s="194"/>
      <c r="F71" s="176">
        <v>21</v>
      </c>
      <c r="G71" s="177"/>
    </row>
    <row r="72" spans="1:7" ht="21" x14ac:dyDescent="0.4">
      <c r="A72" s="51"/>
      <c r="B72" s="188"/>
      <c r="C72" s="189"/>
      <c r="D72" s="178" t="s">
        <v>38</v>
      </c>
      <c r="E72" s="179"/>
      <c r="F72" s="180" t="s">
        <v>535</v>
      </c>
      <c r="G72" s="181"/>
    </row>
    <row r="73" spans="1:7" ht="20.399999999999999" x14ac:dyDescent="0.35">
      <c r="A73" s="52" t="s">
        <v>39</v>
      </c>
      <c r="B73" s="53" t="s">
        <v>279</v>
      </c>
      <c r="C73" s="54"/>
      <c r="D73" s="54"/>
      <c r="E73" s="182"/>
      <c r="F73" s="182"/>
      <c r="G73" s="183"/>
    </row>
    <row r="74" spans="1:7" ht="20.399999999999999" x14ac:dyDescent="0.35">
      <c r="A74" s="52" t="s">
        <v>40</v>
      </c>
      <c r="B74" s="173" t="s">
        <v>536</v>
      </c>
      <c r="C74" s="174"/>
      <c r="D74" s="174"/>
      <c r="E74" s="174"/>
      <c r="F74" s="174"/>
      <c r="G74" s="175"/>
    </row>
    <row r="75" spans="1:7" ht="20.399999999999999" x14ac:dyDescent="0.35">
      <c r="A75" s="52" t="s">
        <v>41</v>
      </c>
      <c r="B75" s="173" t="s">
        <v>272</v>
      </c>
      <c r="C75" s="174"/>
      <c r="D75" s="174"/>
      <c r="E75" s="174"/>
      <c r="F75" s="174"/>
      <c r="G75" s="175"/>
    </row>
    <row r="76" spans="1:7" ht="20.399999999999999" x14ac:dyDescent="0.35">
      <c r="A76" s="52" t="s">
        <v>42</v>
      </c>
      <c r="B76" s="173" t="s">
        <v>236</v>
      </c>
      <c r="C76" s="174"/>
      <c r="D76" s="174"/>
      <c r="E76" s="174"/>
      <c r="F76" s="174"/>
      <c r="G76" s="175"/>
    </row>
    <row r="77" spans="1:7" ht="15" x14ac:dyDescent="0.3">
      <c r="A77" s="103" t="s">
        <v>8</v>
      </c>
      <c r="B77" s="103" t="s">
        <v>9</v>
      </c>
      <c r="C77" s="103" t="s">
        <v>10</v>
      </c>
      <c r="D77" s="103" t="s">
        <v>43</v>
      </c>
      <c r="E77" s="103" t="s">
        <v>12</v>
      </c>
      <c r="F77" s="103" t="s">
        <v>13</v>
      </c>
      <c r="G77" s="103" t="s">
        <v>14</v>
      </c>
    </row>
    <row r="78" spans="1:7" ht="31.2" x14ac:dyDescent="0.3">
      <c r="A78" s="57">
        <v>15</v>
      </c>
      <c r="B78" s="58" t="s">
        <v>293</v>
      </c>
      <c r="C78" s="58" t="s">
        <v>294</v>
      </c>
      <c r="D78" s="59"/>
      <c r="E78" s="60">
        <v>290.72000000000003</v>
      </c>
      <c r="F78" s="61">
        <f t="shared" ref="F78:F87" si="2">A78*E78</f>
        <v>4360.8</v>
      </c>
      <c r="G78" s="62"/>
    </row>
    <row r="79" spans="1:7" ht="15.6" x14ac:dyDescent="0.3">
      <c r="A79" s="63"/>
      <c r="B79" s="64"/>
      <c r="C79" s="64"/>
      <c r="D79" s="65"/>
      <c r="E79" s="66"/>
      <c r="F79" s="67">
        <f t="shared" si="2"/>
        <v>0</v>
      </c>
      <c r="G79" s="68"/>
    </row>
    <row r="80" spans="1:7" ht="15.6" x14ac:dyDescent="0.3">
      <c r="A80" s="63"/>
      <c r="B80" s="64"/>
      <c r="C80" s="64"/>
      <c r="D80" s="65"/>
      <c r="E80" s="66"/>
      <c r="F80" s="67">
        <f t="shared" si="2"/>
        <v>0</v>
      </c>
      <c r="G80" s="68"/>
    </row>
    <row r="81" spans="1:7" ht="15.6" x14ac:dyDescent="0.3">
      <c r="A81" s="63"/>
      <c r="B81" s="64"/>
      <c r="C81" s="105" t="s">
        <v>297</v>
      </c>
      <c r="D81" s="65"/>
      <c r="E81" s="66"/>
      <c r="F81" s="67">
        <f t="shared" si="2"/>
        <v>0</v>
      </c>
      <c r="G81" s="68"/>
    </row>
    <row r="82" spans="1:7" ht="15.6" x14ac:dyDescent="0.3">
      <c r="A82" s="69"/>
      <c r="B82" s="64"/>
      <c r="C82" s="64"/>
      <c r="D82" s="65"/>
      <c r="E82" s="66"/>
      <c r="F82" s="67">
        <f t="shared" si="2"/>
        <v>0</v>
      </c>
      <c r="G82" s="68"/>
    </row>
    <row r="83" spans="1:7" ht="15.6" x14ac:dyDescent="0.3">
      <c r="A83" s="69"/>
      <c r="B83" s="64"/>
      <c r="C83" s="64"/>
      <c r="D83" s="65"/>
      <c r="E83" s="66"/>
      <c r="F83" s="67">
        <f t="shared" si="2"/>
        <v>0</v>
      </c>
      <c r="G83" s="68"/>
    </row>
    <row r="84" spans="1:7" ht="15.6" x14ac:dyDescent="0.3">
      <c r="A84" s="69"/>
      <c r="B84" s="64"/>
      <c r="C84" s="64"/>
      <c r="D84" s="65"/>
      <c r="E84" s="66"/>
      <c r="F84" s="67">
        <f t="shared" si="2"/>
        <v>0</v>
      </c>
      <c r="G84" s="68"/>
    </row>
    <row r="85" spans="1:7" ht="15.6" x14ac:dyDescent="0.3">
      <c r="A85" s="69"/>
      <c r="B85" s="64"/>
      <c r="C85" s="64"/>
      <c r="D85" s="65"/>
      <c r="E85" s="66"/>
      <c r="F85" s="67">
        <f t="shared" si="2"/>
        <v>0</v>
      </c>
      <c r="G85" s="68"/>
    </row>
    <row r="86" spans="1:7" ht="15.6" x14ac:dyDescent="0.3">
      <c r="A86" s="69"/>
      <c r="B86" s="64"/>
      <c r="C86" s="64"/>
      <c r="D86" s="65"/>
      <c r="E86" s="66"/>
      <c r="F86" s="67">
        <f t="shared" si="2"/>
        <v>0</v>
      </c>
      <c r="G86" s="68"/>
    </row>
    <row r="87" spans="1:7" ht="15.6" x14ac:dyDescent="0.3">
      <c r="A87" s="70"/>
      <c r="B87" s="71"/>
      <c r="C87" s="71"/>
      <c r="D87" s="72"/>
      <c r="E87" s="73"/>
      <c r="F87" s="74">
        <f t="shared" si="2"/>
        <v>0</v>
      </c>
      <c r="G87" s="75"/>
    </row>
    <row r="88" spans="1:7" ht="17.399999999999999" x14ac:dyDescent="0.3">
      <c r="A88" s="76"/>
      <c r="B88" s="77"/>
      <c r="C88" s="164" t="s">
        <v>27</v>
      </c>
      <c r="D88" s="164"/>
      <c r="E88" s="78"/>
      <c r="F88" s="79">
        <f>SUM(F78:F86)</f>
        <v>4360.8</v>
      </c>
      <c r="G88" s="80"/>
    </row>
    <row r="89" spans="1:7" ht="17.399999999999999" x14ac:dyDescent="0.3">
      <c r="A89" s="81"/>
      <c r="B89" s="82"/>
      <c r="C89" s="165" t="s">
        <v>28</v>
      </c>
      <c r="D89" s="165"/>
      <c r="E89" s="83"/>
      <c r="F89" s="84">
        <f>F88*0.16</f>
        <v>697.72800000000007</v>
      </c>
      <c r="G89" s="85"/>
    </row>
    <row r="90" spans="1:7" ht="17.399999999999999" x14ac:dyDescent="0.3">
      <c r="A90" s="81"/>
      <c r="B90" s="82"/>
      <c r="C90" s="166" t="s">
        <v>29</v>
      </c>
      <c r="D90" s="166"/>
      <c r="E90" s="86"/>
      <c r="F90" s="87">
        <f>F88+F89</f>
        <v>5058.5280000000002</v>
      </c>
      <c r="G90" s="88"/>
    </row>
    <row r="91" spans="1:7" ht="15.6" x14ac:dyDescent="0.3">
      <c r="A91" s="167" t="s">
        <v>30</v>
      </c>
      <c r="B91" s="168"/>
      <c r="C91" s="89" t="s">
        <v>31</v>
      </c>
      <c r="D91" s="89"/>
      <c r="E91" s="168" t="s">
        <v>32</v>
      </c>
      <c r="F91" s="168"/>
      <c r="G91" s="169"/>
    </row>
    <row r="92" spans="1:7" ht="15.6" x14ac:dyDescent="0.3">
      <c r="A92" s="170" t="s">
        <v>467</v>
      </c>
      <c r="B92" s="171"/>
      <c r="C92" s="104" t="s">
        <v>33</v>
      </c>
      <c r="D92" s="90"/>
      <c r="E92" s="171" t="s">
        <v>273</v>
      </c>
      <c r="F92" s="171"/>
      <c r="G92" s="172"/>
    </row>
    <row r="95" spans="1:7" ht="24.6" x14ac:dyDescent="0.3">
      <c r="A95" s="184" t="s">
        <v>48</v>
      </c>
      <c r="B95" s="197"/>
      <c r="C95" s="185"/>
      <c r="D95" s="200" t="s">
        <v>36</v>
      </c>
      <c r="E95" s="201"/>
      <c r="F95" s="201"/>
      <c r="G95" s="202"/>
    </row>
    <row r="96" spans="1:7" ht="21" x14ac:dyDescent="0.4">
      <c r="A96" s="186"/>
      <c r="B96" s="198"/>
      <c r="C96" s="187"/>
      <c r="D96" s="118" t="s">
        <v>1</v>
      </c>
      <c r="E96" s="196" t="s">
        <v>527</v>
      </c>
      <c r="F96" s="195"/>
      <c r="G96" s="115"/>
    </row>
    <row r="97" spans="1:7" ht="21" x14ac:dyDescent="0.4">
      <c r="A97" s="186"/>
      <c r="B97" s="198"/>
      <c r="C97" s="187"/>
      <c r="D97" s="118" t="s">
        <v>334</v>
      </c>
      <c r="E97" s="176">
        <v>21</v>
      </c>
      <c r="F97" s="195"/>
      <c r="G97" s="115"/>
    </row>
    <row r="98" spans="1:7" ht="30" x14ac:dyDescent="0.3">
      <c r="A98" s="188"/>
      <c r="B98" s="199"/>
      <c r="C98" s="189"/>
      <c r="D98" s="119" t="s">
        <v>38</v>
      </c>
      <c r="E98" s="180" t="s">
        <v>541</v>
      </c>
      <c r="F98" s="181"/>
      <c r="G98" s="117"/>
    </row>
    <row r="99" spans="1:7" ht="20.399999999999999" x14ac:dyDescent="0.35">
      <c r="A99" s="52" t="s">
        <v>39</v>
      </c>
      <c r="B99" s="53" t="s">
        <v>273</v>
      </c>
      <c r="C99" s="54"/>
      <c r="D99" s="54"/>
      <c r="E99" s="54" t="s">
        <v>542</v>
      </c>
      <c r="F99" s="54"/>
      <c r="G99" s="98"/>
    </row>
    <row r="100" spans="1:7" ht="20.399999999999999" x14ac:dyDescent="0.35">
      <c r="A100" s="52" t="s">
        <v>40</v>
      </c>
      <c r="B100" s="111"/>
      <c r="C100" s="112"/>
      <c r="D100" s="112"/>
      <c r="E100" s="112"/>
      <c r="F100" s="112"/>
      <c r="G100" s="113"/>
    </row>
    <row r="101" spans="1:7" ht="20.399999999999999" x14ac:dyDescent="0.35">
      <c r="A101" s="52" t="s">
        <v>41</v>
      </c>
      <c r="B101" s="173" t="s">
        <v>355</v>
      </c>
      <c r="C101" s="174"/>
      <c r="D101" s="174"/>
      <c r="E101" s="174"/>
      <c r="F101" s="174"/>
      <c r="G101" s="175"/>
    </row>
    <row r="102" spans="1:7" ht="20.399999999999999" x14ac:dyDescent="0.35">
      <c r="A102" s="52" t="s">
        <v>42</v>
      </c>
      <c r="B102" s="111" t="s">
        <v>356</v>
      </c>
      <c r="C102" s="112"/>
      <c r="D102" s="112"/>
      <c r="E102" s="112"/>
      <c r="F102" s="112"/>
      <c r="G102" s="113"/>
    </row>
    <row r="103" spans="1:7" ht="15" x14ac:dyDescent="0.3">
      <c r="A103" s="103" t="s">
        <v>8</v>
      </c>
      <c r="B103" s="103" t="s">
        <v>9</v>
      </c>
      <c r="C103" s="103" t="s">
        <v>10</v>
      </c>
      <c r="D103" s="103" t="s">
        <v>43</v>
      </c>
      <c r="E103" s="103" t="s">
        <v>12</v>
      </c>
      <c r="F103" s="103" t="s">
        <v>13</v>
      </c>
      <c r="G103" s="103" t="s">
        <v>14</v>
      </c>
    </row>
    <row r="104" spans="1:7" ht="15.6" x14ac:dyDescent="0.3">
      <c r="A104" s="57">
        <v>2</v>
      </c>
      <c r="B104" s="58" t="s">
        <v>112</v>
      </c>
      <c r="C104" s="58" t="s">
        <v>411</v>
      </c>
      <c r="D104" s="95"/>
      <c r="E104" s="60">
        <v>44.2</v>
      </c>
      <c r="F104" s="60">
        <f t="shared" ref="F104:F118" si="3">A104*E104</f>
        <v>88.4</v>
      </c>
      <c r="G104" s="129"/>
    </row>
    <row r="105" spans="1:7" ht="15.6" x14ac:dyDescent="0.3">
      <c r="A105" s="63">
        <v>2</v>
      </c>
      <c r="B105" s="64" t="s">
        <v>112</v>
      </c>
      <c r="C105" s="64" t="s">
        <v>357</v>
      </c>
      <c r="D105" s="96"/>
      <c r="E105" s="66">
        <v>9.4</v>
      </c>
      <c r="F105" s="66">
        <f t="shared" si="3"/>
        <v>18.8</v>
      </c>
      <c r="G105" s="129"/>
    </row>
    <row r="106" spans="1:7" ht="15.6" x14ac:dyDescent="0.3">
      <c r="A106" s="63">
        <v>280</v>
      </c>
      <c r="B106" s="64" t="s">
        <v>112</v>
      </c>
      <c r="C106" s="64" t="s">
        <v>530</v>
      </c>
      <c r="D106" s="96"/>
      <c r="E106" s="66">
        <v>4.33</v>
      </c>
      <c r="F106" s="66">
        <f t="shared" si="3"/>
        <v>1212.4000000000001</v>
      </c>
      <c r="G106" s="129"/>
    </row>
    <row r="107" spans="1:7" ht="31.2" x14ac:dyDescent="0.3">
      <c r="A107" s="63">
        <v>50</v>
      </c>
      <c r="B107" s="130" t="s">
        <v>112</v>
      </c>
      <c r="C107" s="130" t="s">
        <v>531</v>
      </c>
      <c r="D107" s="96"/>
      <c r="E107" s="66">
        <v>7.74</v>
      </c>
      <c r="F107" s="66">
        <f t="shared" si="3"/>
        <v>387</v>
      </c>
      <c r="G107" s="68"/>
    </row>
    <row r="108" spans="1:7" ht="15.6" x14ac:dyDescent="0.3">
      <c r="A108" s="63">
        <v>6</v>
      </c>
      <c r="B108" s="130" t="s">
        <v>112</v>
      </c>
      <c r="C108" s="130" t="s">
        <v>532</v>
      </c>
      <c r="D108" s="96" t="s">
        <v>537</v>
      </c>
      <c r="E108" s="66">
        <v>345.53</v>
      </c>
      <c r="F108" s="66">
        <f>A108*E108</f>
        <v>2073.1799999999998</v>
      </c>
      <c r="G108" s="68"/>
    </row>
    <row r="109" spans="1:7" ht="15.6" x14ac:dyDescent="0.3">
      <c r="A109" s="63">
        <v>5</v>
      </c>
      <c r="B109" s="130" t="s">
        <v>112</v>
      </c>
      <c r="C109" s="130" t="s">
        <v>538</v>
      </c>
      <c r="D109" s="96" t="s">
        <v>539</v>
      </c>
      <c r="E109" s="66">
        <v>552.55999999999995</v>
      </c>
      <c r="F109" s="66">
        <f>A109*E109</f>
        <v>2762.7999999999997</v>
      </c>
      <c r="G109" s="68"/>
    </row>
    <row r="110" spans="1:7" ht="15.6" x14ac:dyDescent="0.3">
      <c r="A110" s="63">
        <v>14</v>
      </c>
      <c r="B110" s="130" t="s">
        <v>112</v>
      </c>
      <c r="C110" s="130" t="s">
        <v>540</v>
      </c>
      <c r="D110" s="96"/>
      <c r="E110" s="66">
        <v>18.670000000000002</v>
      </c>
      <c r="F110" s="66">
        <f t="shared" si="3"/>
        <v>261.38</v>
      </c>
      <c r="G110" s="68"/>
    </row>
    <row r="111" spans="1:7" ht="15.6" x14ac:dyDescent="0.3">
      <c r="A111" s="69"/>
      <c r="B111" s="130"/>
      <c r="C111" s="130"/>
      <c r="D111" s="96"/>
      <c r="E111" s="66"/>
      <c r="F111" s="66">
        <f t="shared" si="3"/>
        <v>0</v>
      </c>
      <c r="G111" s="68"/>
    </row>
    <row r="112" spans="1:7" ht="15.6" x14ac:dyDescent="0.3">
      <c r="A112" s="69"/>
      <c r="B112" s="130"/>
      <c r="C112" s="130"/>
      <c r="D112" s="135"/>
      <c r="E112" s="66"/>
      <c r="F112" s="66">
        <f t="shared" si="3"/>
        <v>0</v>
      </c>
      <c r="G112" s="68"/>
    </row>
    <row r="113" spans="1:7" ht="15.6" x14ac:dyDescent="0.3">
      <c r="A113" s="69"/>
      <c r="B113" s="64"/>
      <c r="C113" s="64"/>
      <c r="D113" s="65"/>
      <c r="E113" s="66"/>
      <c r="F113" s="66">
        <f t="shared" si="3"/>
        <v>0</v>
      </c>
      <c r="G113" s="68"/>
    </row>
    <row r="114" spans="1:7" ht="15.6" x14ac:dyDescent="0.3">
      <c r="A114" s="69"/>
      <c r="B114" s="64"/>
      <c r="C114" s="64"/>
      <c r="D114" s="65"/>
      <c r="E114" s="66"/>
      <c r="F114" s="66">
        <f t="shared" si="3"/>
        <v>0</v>
      </c>
      <c r="G114" s="68"/>
    </row>
    <row r="115" spans="1:7" ht="15.6" x14ac:dyDescent="0.3">
      <c r="A115" s="69"/>
      <c r="B115" s="64"/>
      <c r="C115" s="64"/>
      <c r="D115" s="65"/>
      <c r="E115" s="66"/>
      <c r="F115" s="66">
        <f t="shared" si="3"/>
        <v>0</v>
      </c>
      <c r="G115" s="68"/>
    </row>
    <row r="116" spans="1:7" ht="15.6" x14ac:dyDescent="0.3">
      <c r="A116" s="69"/>
      <c r="B116" s="64"/>
      <c r="C116" s="64"/>
      <c r="D116" s="65"/>
      <c r="E116" s="66"/>
      <c r="F116" s="66">
        <f t="shared" si="3"/>
        <v>0</v>
      </c>
      <c r="G116" s="68"/>
    </row>
    <row r="117" spans="1:7" ht="15.6" x14ac:dyDescent="0.3">
      <c r="A117" s="69"/>
      <c r="B117" s="64"/>
      <c r="C117" s="64"/>
      <c r="D117" s="65"/>
      <c r="E117" s="66"/>
      <c r="F117" s="66">
        <f t="shared" si="3"/>
        <v>0</v>
      </c>
      <c r="G117" s="68"/>
    </row>
    <row r="118" spans="1:7" ht="15.6" x14ac:dyDescent="0.3">
      <c r="A118" s="70"/>
      <c r="B118" s="71"/>
      <c r="C118" s="71"/>
      <c r="D118" s="72"/>
      <c r="E118" s="73"/>
      <c r="F118" s="73">
        <f t="shared" si="3"/>
        <v>0</v>
      </c>
      <c r="G118" s="75"/>
    </row>
    <row r="119" spans="1:7" ht="17.399999999999999" x14ac:dyDescent="0.3">
      <c r="A119" s="76"/>
      <c r="B119" s="77"/>
      <c r="C119" s="114" t="s">
        <v>27</v>
      </c>
      <c r="D119" s="114"/>
      <c r="E119" s="78"/>
      <c r="F119" s="79">
        <f>SUM(F104:F117)</f>
        <v>6803.96</v>
      </c>
      <c r="G119" s="80"/>
    </row>
    <row r="120" spans="1:7" ht="17.399999999999999" x14ac:dyDescent="0.3">
      <c r="A120" s="81"/>
      <c r="B120" s="82"/>
      <c r="C120" s="106" t="s">
        <v>28</v>
      </c>
      <c r="D120" s="106"/>
      <c r="E120" s="83"/>
      <c r="F120" s="84">
        <f>F119*0.16</f>
        <v>1088.6336000000001</v>
      </c>
      <c r="G120" s="85"/>
    </row>
    <row r="121" spans="1:7" ht="17.399999999999999" x14ac:dyDescent="0.3">
      <c r="A121" s="81"/>
      <c r="B121" s="82"/>
      <c r="C121" s="107" t="s">
        <v>29</v>
      </c>
      <c r="D121" s="107"/>
      <c r="E121" s="86"/>
      <c r="F121" s="87">
        <f>F119+F120</f>
        <v>7892.5936000000002</v>
      </c>
      <c r="G121" s="88"/>
    </row>
    <row r="122" spans="1:7" ht="15.6" x14ac:dyDescent="0.3">
      <c r="A122" s="108" t="s">
        <v>30</v>
      </c>
      <c r="B122" s="89"/>
      <c r="C122" s="89" t="s">
        <v>31</v>
      </c>
      <c r="D122" s="89"/>
      <c r="E122" s="89" t="s">
        <v>32</v>
      </c>
      <c r="F122" s="89"/>
      <c r="G122" s="109"/>
    </row>
    <row r="123" spans="1:7" ht="15.6" x14ac:dyDescent="0.3">
      <c r="A123" s="134" t="s">
        <v>358</v>
      </c>
      <c r="B123" s="90"/>
      <c r="C123" s="90" t="s">
        <v>33</v>
      </c>
      <c r="D123" s="90"/>
      <c r="E123" s="90" t="s">
        <v>354</v>
      </c>
      <c r="F123" s="90"/>
      <c r="G123" s="110"/>
    </row>
    <row r="128" spans="1:7" ht="21" x14ac:dyDescent="0.4">
      <c r="A128" s="49"/>
      <c r="B128" s="184" t="s">
        <v>45</v>
      </c>
      <c r="C128" s="185"/>
      <c r="D128" s="190" t="s">
        <v>36</v>
      </c>
      <c r="E128" s="191"/>
      <c r="F128" s="191"/>
      <c r="G128" s="192"/>
    </row>
    <row r="129" spans="1:11" ht="21" x14ac:dyDescent="0.4">
      <c r="A129" s="50"/>
      <c r="B129" s="186"/>
      <c r="C129" s="187"/>
      <c r="D129" s="193" t="s">
        <v>1</v>
      </c>
      <c r="E129" s="194"/>
      <c r="F129" s="195" t="s">
        <v>549</v>
      </c>
      <c r="G129" s="177"/>
    </row>
    <row r="130" spans="1:11" ht="21" x14ac:dyDescent="0.4">
      <c r="A130" s="50"/>
      <c r="B130" s="186"/>
      <c r="C130" s="187"/>
      <c r="D130" s="193" t="s">
        <v>267</v>
      </c>
      <c r="E130" s="194"/>
      <c r="F130" s="176">
        <v>21</v>
      </c>
      <c r="G130" s="177"/>
    </row>
    <row r="131" spans="1:11" ht="21" x14ac:dyDescent="0.4">
      <c r="A131" s="51"/>
      <c r="B131" s="188"/>
      <c r="C131" s="189"/>
      <c r="D131" s="178" t="s">
        <v>38</v>
      </c>
      <c r="E131" s="179"/>
      <c r="F131" s="180" t="s">
        <v>550</v>
      </c>
      <c r="G131" s="181"/>
    </row>
    <row r="132" spans="1:11" ht="20.399999999999999" x14ac:dyDescent="0.35">
      <c r="A132" s="52" t="s">
        <v>39</v>
      </c>
      <c r="B132" s="53" t="s">
        <v>273</v>
      </c>
      <c r="C132" s="54"/>
      <c r="D132" s="54"/>
      <c r="E132" s="182" t="s">
        <v>546</v>
      </c>
      <c r="F132" s="182"/>
      <c r="G132" s="183"/>
    </row>
    <row r="133" spans="1:11" ht="20.399999999999999" x14ac:dyDescent="0.35">
      <c r="A133" s="52" t="s">
        <v>40</v>
      </c>
      <c r="B133" s="173"/>
      <c r="C133" s="174"/>
      <c r="D133" s="174"/>
      <c r="E133" s="174"/>
      <c r="F133" s="174"/>
      <c r="G133" s="175"/>
    </row>
    <row r="134" spans="1:11" ht="20.399999999999999" x14ac:dyDescent="0.35">
      <c r="A134" s="52" t="s">
        <v>41</v>
      </c>
      <c r="B134" s="173" t="s">
        <v>272</v>
      </c>
      <c r="C134" s="174"/>
      <c r="D134" s="174"/>
      <c r="E134" s="174"/>
      <c r="F134" s="174"/>
      <c r="G134" s="175"/>
    </row>
    <row r="135" spans="1:11" ht="20.399999999999999" x14ac:dyDescent="0.35">
      <c r="A135" s="52" t="s">
        <v>42</v>
      </c>
      <c r="B135" s="173" t="s">
        <v>280</v>
      </c>
      <c r="C135" s="174"/>
      <c r="D135" s="174"/>
      <c r="E135" s="174"/>
      <c r="F135" s="174"/>
      <c r="G135" s="175"/>
    </row>
    <row r="136" spans="1:11" ht="15" x14ac:dyDescent="0.3">
      <c r="A136" s="103" t="s">
        <v>8</v>
      </c>
      <c r="B136" s="103" t="s">
        <v>9</v>
      </c>
      <c r="C136" s="103" t="s">
        <v>10</v>
      </c>
      <c r="D136" s="103" t="s">
        <v>43</v>
      </c>
      <c r="E136" s="103" t="s">
        <v>12</v>
      </c>
      <c r="F136" s="103" t="s">
        <v>13</v>
      </c>
      <c r="G136" s="103" t="s">
        <v>14</v>
      </c>
    </row>
    <row r="137" spans="1:11" ht="15.6" x14ac:dyDescent="0.3">
      <c r="A137" s="57">
        <v>8</v>
      </c>
      <c r="B137" s="58" t="s">
        <v>281</v>
      </c>
      <c r="C137" s="58" t="s">
        <v>282</v>
      </c>
      <c r="D137" s="59"/>
      <c r="E137" s="60">
        <v>1447.03</v>
      </c>
      <c r="F137" s="61">
        <f t="shared" ref="F137:F147" si="4">A137*E137</f>
        <v>11576.24</v>
      </c>
      <c r="G137" s="62"/>
    </row>
    <row r="138" spans="1:11" ht="15.6" x14ac:dyDescent="0.3">
      <c r="A138" s="63">
        <v>5</v>
      </c>
      <c r="B138" s="64" t="s">
        <v>281</v>
      </c>
      <c r="C138" s="64" t="s">
        <v>502</v>
      </c>
      <c r="D138" s="65"/>
      <c r="E138" s="66">
        <v>1735.62</v>
      </c>
      <c r="F138" s="67">
        <f t="shared" si="4"/>
        <v>8678.0999999999985</v>
      </c>
      <c r="G138" s="68"/>
    </row>
    <row r="139" spans="1:11" ht="15.6" x14ac:dyDescent="0.3">
      <c r="A139" s="63">
        <v>1</v>
      </c>
      <c r="B139" s="64" t="s">
        <v>281</v>
      </c>
      <c r="C139" s="64" t="s">
        <v>543</v>
      </c>
      <c r="D139" s="65"/>
      <c r="E139" s="66"/>
      <c r="F139" s="67"/>
      <c r="G139" s="68"/>
    </row>
    <row r="140" spans="1:11" ht="31.2" x14ac:dyDescent="0.3">
      <c r="A140" s="63">
        <v>5</v>
      </c>
      <c r="B140" s="64" t="s">
        <v>288</v>
      </c>
      <c r="C140" s="64" t="s">
        <v>285</v>
      </c>
      <c r="D140" s="65"/>
      <c r="E140" s="66">
        <v>148.58000000000001</v>
      </c>
      <c r="F140" s="67">
        <f t="shared" si="4"/>
        <v>742.90000000000009</v>
      </c>
      <c r="G140" s="68"/>
    </row>
    <row r="141" spans="1:11" ht="31.2" x14ac:dyDescent="0.3">
      <c r="A141" s="63">
        <v>4</v>
      </c>
      <c r="B141" s="64" t="s">
        <v>288</v>
      </c>
      <c r="C141" s="64" t="s">
        <v>418</v>
      </c>
      <c r="D141" s="65"/>
      <c r="E141" s="66">
        <v>176.12</v>
      </c>
      <c r="F141" s="67">
        <f t="shared" si="4"/>
        <v>704.48</v>
      </c>
      <c r="G141" s="68"/>
    </row>
    <row r="142" spans="1:11" ht="15.6" x14ac:dyDescent="0.3">
      <c r="A142" s="69">
        <v>25</v>
      </c>
      <c r="B142" s="64" t="s">
        <v>112</v>
      </c>
      <c r="C142" s="64" t="s">
        <v>544</v>
      </c>
      <c r="D142" s="65"/>
      <c r="E142" s="66">
        <v>11.34</v>
      </c>
      <c r="F142" s="67">
        <f t="shared" si="4"/>
        <v>283.5</v>
      </c>
      <c r="G142" s="68"/>
    </row>
    <row r="143" spans="1:11" ht="15.6" x14ac:dyDescent="0.3">
      <c r="A143" s="69">
        <v>1</v>
      </c>
      <c r="B143" s="64" t="s">
        <v>548</v>
      </c>
      <c r="C143" s="64" t="s">
        <v>545</v>
      </c>
      <c r="D143" s="65"/>
      <c r="E143" s="66">
        <f>27.15*10</f>
        <v>271.5</v>
      </c>
      <c r="F143" s="67">
        <f t="shared" si="4"/>
        <v>271.5</v>
      </c>
      <c r="G143" s="68"/>
    </row>
    <row r="144" spans="1:11" ht="31.2" x14ac:dyDescent="0.3">
      <c r="A144" s="69">
        <v>4</v>
      </c>
      <c r="B144" s="64" t="s">
        <v>112</v>
      </c>
      <c r="C144" s="64" t="s">
        <v>552</v>
      </c>
      <c r="D144" s="65"/>
      <c r="E144" s="66">
        <v>58.58</v>
      </c>
      <c r="F144" s="67">
        <f t="shared" si="4"/>
        <v>234.32</v>
      </c>
      <c r="G144" s="68"/>
      <c r="K144">
        <f>482*1.16</f>
        <v>559.12</v>
      </c>
    </row>
    <row r="145" spans="1:7" ht="15.6" x14ac:dyDescent="0.3">
      <c r="A145" s="69"/>
      <c r="B145" s="64"/>
      <c r="C145" s="64"/>
      <c r="D145" s="65"/>
      <c r="E145" s="66"/>
      <c r="F145" s="67">
        <f t="shared" si="4"/>
        <v>0</v>
      </c>
      <c r="G145" s="68"/>
    </row>
    <row r="146" spans="1:7" ht="15.6" x14ac:dyDescent="0.3">
      <c r="A146" s="69"/>
      <c r="B146" s="64"/>
      <c r="C146" s="64"/>
      <c r="D146" s="65"/>
      <c r="E146" s="66"/>
      <c r="F146" s="67">
        <f t="shared" si="4"/>
        <v>0</v>
      </c>
      <c r="G146" s="68"/>
    </row>
    <row r="147" spans="1:7" ht="15.6" x14ac:dyDescent="0.3">
      <c r="A147" s="70"/>
      <c r="B147" s="71"/>
      <c r="C147" s="71"/>
      <c r="D147" s="72"/>
      <c r="E147" s="73"/>
      <c r="F147" s="74">
        <f t="shared" si="4"/>
        <v>0</v>
      </c>
      <c r="G147" s="75"/>
    </row>
    <row r="148" spans="1:7" ht="17.399999999999999" x14ac:dyDescent="0.3">
      <c r="A148" s="76"/>
      <c r="B148" s="77"/>
      <c r="C148" s="164" t="s">
        <v>27</v>
      </c>
      <c r="D148" s="164"/>
      <c r="E148" s="78"/>
      <c r="F148" s="79">
        <f>SUM(F137:F146)</f>
        <v>22491.039999999997</v>
      </c>
      <c r="G148" s="80"/>
    </row>
    <row r="149" spans="1:7" ht="17.399999999999999" x14ac:dyDescent="0.3">
      <c r="A149" s="81"/>
      <c r="B149" s="82"/>
      <c r="C149" s="165" t="s">
        <v>28</v>
      </c>
      <c r="D149" s="165"/>
      <c r="E149" s="83"/>
      <c r="F149" s="84">
        <f>F148*0.16</f>
        <v>3598.5663999999997</v>
      </c>
      <c r="G149" s="85"/>
    </row>
    <row r="150" spans="1:7" ht="17.399999999999999" x14ac:dyDescent="0.3">
      <c r="A150" s="81"/>
      <c r="B150" s="82"/>
      <c r="C150" s="166" t="s">
        <v>29</v>
      </c>
      <c r="D150" s="166"/>
      <c r="E150" s="86"/>
      <c r="F150" s="87">
        <f>F148+F149</f>
        <v>26089.606399999997</v>
      </c>
      <c r="G150" s="88"/>
    </row>
    <row r="151" spans="1:7" ht="15.6" x14ac:dyDescent="0.3">
      <c r="A151" s="167" t="s">
        <v>30</v>
      </c>
      <c r="B151" s="168"/>
      <c r="C151" s="89" t="s">
        <v>31</v>
      </c>
      <c r="D151" s="89"/>
      <c r="E151" s="168" t="s">
        <v>32</v>
      </c>
      <c r="F151" s="168"/>
      <c r="G151" s="169"/>
    </row>
    <row r="152" spans="1:7" ht="15.6" x14ac:dyDescent="0.3">
      <c r="A152" s="170" t="s">
        <v>467</v>
      </c>
      <c r="B152" s="171"/>
      <c r="C152" s="104" t="s">
        <v>33</v>
      </c>
      <c r="D152" s="90"/>
      <c r="E152" s="171" t="s">
        <v>273</v>
      </c>
      <c r="F152" s="171"/>
      <c r="G152" s="172"/>
    </row>
    <row r="156" spans="1:7" ht="21" x14ac:dyDescent="0.4">
      <c r="A156" s="49"/>
      <c r="B156" s="184" t="s">
        <v>45</v>
      </c>
      <c r="C156" s="185"/>
      <c r="D156" s="190" t="s">
        <v>36</v>
      </c>
      <c r="E156" s="191"/>
      <c r="F156" s="191"/>
      <c r="G156" s="192"/>
    </row>
    <row r="157" spans="1:7" ht="21" x14ac:dyDescent="0.4">
      <c r="A157" s="50"/>
      <c r="B157" s="186"/>
      <c r="C157" s="187"/>
      <c r="D157" s="193" t="s">
        <v>1</v>
      </c>
      <c r="E157" s="194"/>
      <c r="F157" s="195" t="s">
        <v>549</v>
      </c>
      <c r="G157" s="177"/>
    </row>
    <row r="158" spans="1:7" ht="21" x14ac:dyDescent="0.4">
      <c r="A158" s="50"/>
      <c r="B158" s="186"/>
      <c r="C158" s="187"/>
      <c r="D158" s="193" t="s">
        <v>267</v>
      </c>
      <c r="E158" s="194"/>
      <c r="F158" s="176">
        <v>21</v>
      </c>
      <c r="G158" s="177"/>
    </row>
    <row r="159" spans="1:7" ht="21" x14ac:dyDescent="0.4">
      <c r="A159" s="51"/>
      <c r="B159" s="188"/>
      <c r="C159" s="189"/>
      <c r="D159" s="178" t="s">
        <v>38</v>
      </c>
      <c r="E159" s="179"/>
      <c r="F159" s="180" t="s">
        <v>551</v>
      </c>
      <c r="G159" s="181"/>
    </row>
    <row r="160" spans="1:7" ht="20.399999999999999" x14ac:dyDescent="0.35">
      <c r="A160" s="52" t="s">
        <v>39</v>
      </c>
      <c r="B160" s="53" t="s">
        <v>279</v>
      </c>
      <c r="C160" s="54"/>
      <c r="D160" s="54"/>
      <c r="E160" s="182" t="s">
        <v>547</v>
      </c>
      <c r="F160" s="182"/>
      <c r="G160" s="183"/>
    </row>
    <row r="161" spans="1:7" ht="20.399999999999999" x14ac:dyDescent="0.35">
      <c r="A161" s="52" t="s">
        <v>40</v>
      </c>
      <c r="B161" s="173"/>
      <c r="C161" s="174"/>
      <c r="D161" s="174"/>
      <c r="E161" s="174"/>
      <c r="F161" s="174"/>
      <c r="G161" s="175"/>
    </row>
    <row r="162" spans="1:7" ht="20.399999999999999" x14ac:dyDescent="0.35">
      <c r="A162" s="52" t="s">
        <v>41</v>
      </c>
      <c r="B162" s="173" t="s">
        <v>272</v>
      </c>
      <c r="C162" s="174"/>
      <c r="D162" s="174"/>
      <c r="E162" s="174"/>
      <c r="F162" s="174"/>
      <c r="G162" s="175"/>
    </row>
    <row r="163" spans="1:7" ht="20.399999999999999" x14ac:dyDescent="0.35">
      <c r="A163" s="52" t="s">
        <v>42</v>
      </c>
      <c r="B163" s="173" t="s">
        <v>7</v>
      </c>
      <c r="C163" s="174"/>
      <c r="D163" s="174"/>
      <c r="E163" s="174"/>
      <c r="F163" s="174"/>
      <c r="G163" s="175"/>
    </row>
    <row r="164" spans="1:7" ht="15" x14ac:dyDescent="0.3">
      <c r="A164" s="103" t="s">
        <v>8</v>
      </c>
      <c r="B164" s="103" t="s">
        <v>9</v>
      </c>
      <c r="C164" s="103" t="s">
        <v>10</v>
      </c>
      <c r="D164" s="103" t="s">
        <v>43</v>
      </c>
      <c r="E164" s="103" t="s">
        <v>12</v>
      </c>
      <c r="F164" s="103" t="s">
        <v>13</v>
      </c>
      <c r="G164" s="103" t="s">
        <v>14</v>
      </c>
    </row>
    <row r="165" spans="1:7" ht="15.6" x14ac:dyDescent="0.3">
      <c r="A165" s="57">
        <v>80</v>
      </c>
      <c r="B165" s="58" t="s">
        <v>65</v>
      </c>
      <c r="C165" s="58" t="s">
        <v>327</v>
      </c>
      <c r="D165" s="59"/>
      <c r="E165" s="60">
        <v>105</v>
      </c>
      <c r="F165" s="61">
        <f t="shared" ref="F165:F174" si="5">A165*E165</f>
        <v>8400</v>
      </c>
      <c r="G165" s="62"/>
    </row>
    <row r="166" spans="1:7" ht="15.6" x14ac:dyDescent="0.3">
      <c r="A166" s="63">
        <v>40</v>
      </c>
      <c r="B166" s="64" t="s">
        <v>65</v>
      </c>
      <c r="C166" s="64" t="s">
        <v>328</v>
      </c>
      <c r="D166" s="65"/>
      <c r="E166" s="66">
        <v>80</v>
      </c>
      <c r="F166" s="67">
        <f t="shared" si="5"/>
        <v>3200</v>
      </c>
      <c r="G166" s="68"/>
    </row>
    <row r="167" spans="1:7" ht="15.6" x14ac:dyDescent="0.3">
      <c r="A167" s="63">
        <v>2</v>
      </c>
      <c r="B167" s="64" t="s">
        <v>281</v>
      </c>
      <c r="C167" s="64" t="s">
        <v>437</v>
      </c>
      <c r="D167" s="65">
        <v>170451</v>
      </c>
      <c r="E167" s="66">
        <v>482.65</v>
      </c>
      <c r="F167" s="67">
        <f t="shared" si="5"/>
        <v>965.3</v>
      </c>
      <c r="G167" s="68"/>
    </row>
    <row r="168" spans="1:7" ht="15.6" x14ac:dyDescent="0.3">
      <c r="A168" s="63"/>
      <c r="B168" s="64"/>
      <c r="C168" s="64"/>
      <c r="D168" s="65"/>
      <c r="E168" s="66"/>
      <c r="F168" s="67">
        <f t="shared" si="5"/>
        <v>0</v>
      </c>
      <c r="G168" s="68"/>
    </row>
    <row r="169" spans="1:7" ht="15.6" x14ac:dyDescent="0.3">
      <c r="A169" s="69"/>
      <c r="B169" s="64"/>
      <c r="C169" s="64"/>
      <c r="D169" s="65"/>
      <c r="E169" s="66"/>
      <c r="F169" s="67">
        <f t="shared" si="5"/>
        <v>0</v>
      </c>
      <c r="G169" s="68"/>
    </row>
    <row r="170" spans="1:7" ht="15.6" x14ac:dyDescent="0.3">
      <c r="A170" s="69"/>
      <c r="B170" s="64"/>
      <c r="C170" s="64"/>
      <c r="D170" s="65"/>
      <c r="E170" s="66"/>
      <c r="F170" s="67">
        <f t="shared" si="5"/>
        <v>0</v>
      </c>
      <c r="G170" s="68"/>
    </row>
    <row r="171" spans="1:7" ht="15.6" x14ac:dyDescent="0.3">
      <c r="A171" s="69"/>
      <c r="B171" s="64"/>
      <c r="C171" s="64"/>
      <c r="D171" s="65"/>
      <c r="E171" s="66"/>
      <c r="F171" s="67">
        <f t="shared" si="5"/>
        <v>0</v>
      </c>
      <c r="G171" s="68"/>
    </row>
    <row r="172" spans="1:7" ht="15.6" x14ac:dyDescent="0.3">
      <c r="A172" s="69"/>
      <c r="B172" s="64"/>
      <c r="C172" s="64"/>
      <c r="D172" s="65"/>
      <c r="E172" s="66"/>
      <c r="F172" s="67">
        <f t="shared" si="5"/>
        <v>0</v>
      </c>
      <c r="G172" s="68"/>
    </row>
    <row r="173" spans="1:7" ht="15.6" x14ac:dyDescent="0.3">
      <c r="A173" s="69"/>
      <c r="B173" s="64"/>
      <c r="C173" s="64"/>
      <c r="D173" s="65"/>
      <c r="E173" s="66"/>
      <c r="F173" s="67">
        <f t="shared" si="5"/>
        <v>0</v>
      </c>
      <c r="G173" s="68"/>
    </row>
    <row r="174" spans="1:7" ht="15.6" x14ac:dyDescent="0.3">
      <c r="A174" s="70"/>
      <c r="B174" s="71"/>
      <c r="C174" s="71"/>
      <c r="D174" s="72"/>
      <c r="E174" s="73"/>
      <c r="F174" s="74">
        <f t="shared" si="5"/>
        <v>0</v>
      </c>
      <c r="G174" s="75"/>
    </row>
    <row r="175" spans="1:7" ht="17.399999999999999" x14ac:dyDescent="0.3">
      <c r="A175" s="76"/>
      <c r="B175" s="77"/>
      <c r="C175" s="164" t="s">
        <v>27</v>
      </c>
      <c r="D175" s="164"/>
      <c r="E175" s="78"/>
      <c r="F175" s="79">
        <f>SUM(F165:F173)</f>
        <v>12565.3</v>
      </c>
      <c r="G175" s="80"/>
    </row>
    <row r="176" spans="1:7" ht="17.399999999999999" x14ac:dyDescent="0.3">
      <c r="A176" s="81"/>
      <c r="B176" s="82"/>
      <c r="C176" s="165" t="s">
        <v>28</v>
      </c>
      <c r="D176" s="165"/>
      <c r="E176" s="83"/>
      <c r="F176" s="84">
        <f>F175*0.16</f>
        <v>2010.4479999999999</v>
      </c>
      <c r="G176" s="85"/>
    </row>
    <row r="177" spans="1:7" ht="17.399999999999999" x14ac:dyDescent="0.3">
      <c r="A177" s="81"/>
      <c r="B177" s="82"/>
      <c r="C177" s="166" t="s">
        <v>29</v>
      </c>
      <c r="D177" s="166"/>
      <c r="E177" s="86"/>
      <c r="F177" s="87">
        <f>F175+F176</f>
        <v>14575.748</v>
      </c>
      <c r="G177" s="88"/>
    </row>
    <row r="178" spans="1:7" ht="15.6" x14ac:dyDescent="0.3">
      <c r="A178" s="167" t="s">
        <v>30</v>
      </c>
      <c r="B178" s="168"/>
      <c r="C178" s="89" t="s">
        <v>31</v>
      </c>
      <c r="D178" s="89"/>
      <c r="E178" s="168" t="s">
        <v>32</v>
      </c>
      <c r="F178" s="168"/>
      <c r="G178" s="169"/>
    </row>
    <row r="179" spans="1:7" ht="15.6" x14ac:dyDescent="0.3">
      <c r="A179" s="170" t="s">
        <v>444</v>
      </c>
      <c r="B179" s="171"/>
      <c r="C179" s="104" t="s">
        <v>33</v>
      </c>
      <c r="D179" s="90"/>
      <c r="E179" s="171" t="s">
        <v>273</v>
      </c>
      <c r="F179" s="171"/>
      <c r="G179" s="172"/>
    </row>
  </sheetData>
  <mergeCells count="101">
    <mergeCell ref="C23:D23"/>
    <mergeCell ref="B3:C6"/>
    <mergeCell ref="D3:G3"/>
    <mergeCell ref="D4:E4"/>
    <mergeCell ref="F4:G4"/>
    <mergeCell ref="D5:E5"/>
    <mergeCell ref="F5:G5"/>
    <mergeCell ref="D6:E6"/>
    <mergeCell ref="F6:G6"/>
    <mergeCell ref="E7:G7"/>
    <mergeCell ref="B8:G8"/>
    <mergeCell ref="B9:G9"/>
    <mergeCell ref="B10:G10"/>
    <mergeCell ref="C22:D22"/>
    <mergeCell ref="B36:G36"/>
    <mergeCell ref="C62:D62"/>
    <mergeCell ref="C63:D63"/>
    <mergeCell ref="C64:D64"/>
    <mergeCell ref="A65:B65"/>
    <mergeCell ref="E65:G65"/>
    <mergeCell ref="B35:G35"/>
    <mergeCell ref="C24:D24"/>
    <mergeCell ref="A25:B25"/>
    <mergeCell ref="E25:G25"/>
    <mergeCell ref="A26:B26"/>
    <mergeCell ref="E26:G26"/>
    <mergeCell ref="B29:C32"/>
    <mergeCell ref="D29:G29"/>
    <mergeCell ref="D30:E30"/>
    <mergeCell ref="F30:G30"/>
    <mergeCell ref="D31:E31"/>
    <mergeCell ref="F31:G31"/>
    <mergeCell ref="D32:E32"/>
    <mergeCell ref="F32:G32"/>
    <mergeCell ref="E33:G33"/>
    <mergeCell ref="B34:G34"/>
    <mergeCell ref="C89:D89"/>
    <mergeCell ref="A66:B66"/>
    <mergeCell ref="E66:G66"/>
    <mergeCell ref="B69:C72"/>
    <mergeCell ref="D69:G69"/>
    <mergeCell ref="D70:E70"/>
    <mergeCell ref="F70:G70"/>
    <mergeCell ref="D71:E71"/>
    <mergeCell ref="F71:G71"/>
    <mergeCell ref="D72:E72"/>
    <mergeCell ref="F72:G72"/>
    <mergeCell ref="E73:G73"/>
    <mergeCell ref="B74:G74"/>
    <mergeCell ref="B75:G75"/>
    <mergeCell ref="B76:G76"/>
    <mergeCell ref="C88:D88"/>
    <mergeCell ref="B101:G101"/>
    <mergeCell ref="C90:D90"/>
    <mergeCell ref="A91:B91"/>
    <mergeCell ref="E91:G91"/>
    <mergeCell ref="A92:B92"/>
    <mergeCell ref="E92:G92"/>
    <mergeCell ref="A95:C98"/>
    <mergeCell ref="D95:G95"/>
    <mergeCell ref="E96:F96"/>
    <mergeCell ref="E97:F97"/>
    <mergeCell ref="E98:F98"/>
    <mergeCell ref="E132:G132"/>
    <mergeCell ref="B133:G133"/>
    <mergeCell ref="B134:G134"/>
    <mergeCell ref="B135:G135"/>
    <mergeCell ref="C148:D148"/>
    <mergeCell ref="B128:C131"/>
    <mergeCell ref="D128:G128"/>
    <mergeCell ref="D129:E129"/>
    <mergeCell ref="F129:G129"/>
    <mergeCell ref="D130:E130"/>
    <mergeCell ref="F130:G130"/>
    <mergeCell ref="D131:E131"/>
    <mergeCell ref="F131:G131"/>
    <mergeCell ref="B156:C159"/>
    <mergeCell ref="D156:G156"/>
    <mergeCell ref="D157:E157"/>
    <mergeCell ref="F157:G157"/>
    <mergeCell ref="D158:E158"/>
    <mergeCell ref="F158:G158"/>
    <mergeCell ref="D159:E159"/>
    <mergeCell ref="F159:G159"/>
    <mergeCell ref="C149:D149"/>
    <mergeCell ref="C150:D150"/>
    <mergeCell ref="A151:B151"/>
    <mergeCell ref="E151:G151"/>
    <mergeCell ref="A152:B152"/>
    <mergeCell ref="E152:G152"/>
    <mergeCell ref="C176:D176"/>
    <mergeCell ref="C177:D177"/>
    <mergeCell ref="A178:B178"/>
    <mergeCell ref="E178:G178"/>
    <mergeCell ref="A179:B179"/>
    <mergeCell ref="E179:G179"/>
    <mergeCell ref="E160:G160"/>
    <mergeCell ref="B161:G161"/>
    <mergeCell ref="B162:G162"/>
    <mergeCell ref="B163:G163"/>
    <mergeCell ref="C175:D175"/>
  </mergeCells>
  <dataValidations disablePrompts="1"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5 A65 A91 A122 A151 A178" xr:uid="{90F5B401-9F51-4AF7-885C-272BEA5902A9}">
      <formula1>0</formula1>
      <formula2>256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36A34-1D0D-4017-9940-205993CA994B}">
  <dimension ref="A3:G339"/>
  <sheetViews>
    <sheetView topLeftCell="A23" workbookViewId="0">
      <selection activeCell="A86" sqref="A86"/>
    </sheetView>
  </sheetViews>
  <sheetFormatPr baseColWidth="10" defaultRowHeight="14.4" x14ac:dyDescent="0.3"/>
  <cols>
    <col min="1" max="1" width="22.88671875" customWidth="1"/>
    <col min="2" max="2" width="17.5546875" customWidth="1"/>
    <col min="3" max="3" width="27.77734375" customWidth="1"/>
    <col min="4" max="4" width="27.6640625" customWidth="1"/>
    <col min="5" max="5" width="17.5546875" customWidth="1"/>
    <col min="6" max="6" width="15.21875" customWidth="1"/>
    <col min="7" max="7" width="26.6640625" customWidth="1"/>
  </cols>
  <sheetData>
    <row r="3" spans="1:7" ht="24.6" x14ac:dyDescent="0.3">
      <c r="A3" s="184" t="s">
        <v>48</v>
      </c>
      <c r="B3" s="197"/>
      <c r="C3" s="185"/>
      <c r="D3" s="200" t="s">
        <v>36</v>
      </c>
      <c r="E3" s="201"/>
      <c r="F3" s="201"/>
      <c r="G3" s="202"/>
    </row>
    <row r="4" spans="1:7" ht="21" x14ac:dyDescent="0.4">
      <c r="A4" s="186"/>
      <c r="B4" s="198"/>
      <c r="C4" s="187"/>
      <c r="D4" s="118" t="s">
        <v>1</v>
      </c>
      <c r="E4" s="196" t="s">
        <v>435</v>
      </c>
      <c r="F4" s="195"/>
      <c r="G4" s="115"/>
    </row>
    <row r="5" spans="1:7" ht="21" x14ac:dyDescent="0.4">
      <c r="A5" s="186"/>
      <c r="B5" s="198"/>
      <c r="C5" s="187"/>
      <c r="D5" s="118" t="s">
        <v>334</v>
      </c>
      <c r="E5" s="176">
        <v>20</v>
      </c>
      <c r="F5" s="195"/>
      <c r="G5" s="115"/>
    </row>
    <row r="6" spans="1:7" ht="30" x14ac:dyDescent="0.3">
      <c r="A6" s="188"/>
      <c r="B6" s="199"/>
      <c r="C6" s="189"/>
      <c r="D6" s="119" t="s">
        <v>38</v>
      </c>
      <c r="E6" s="180" t="s">
        <v>445</v>
      </c>
      <c r="F6" s="181"/>
      <c r="G6" s="117"/>
    </row>
    <row r="7" spans="1:7" ht="20.399999999999999" x14ac:dyDescent="0.35">
      <c r="A7" s="52" t="s">
        <v>39</v>
      </c>
      <c r="B7" s="53" t="s">
        <v>273</v>
      </c>
      <c r="C7" s="54"/>
      <c r="D7" s="54"/>
      <c r="E7" s="120" t="s">
        <v>446</v>
      </c>
      <c r="F7" s="121"/>
      <c r="G7" s="122"/>
    </row>
    <row r="8" spans="1:7" ht="20.399999999999999" x14ac:dyDescent="0.35">
      <c r="A8" s="52" t="s">
        <v>40</v>
      </c>
      <c r="B8" s="111" t="s">
        <v>440</v>
      </c>
      <c r="C8" s="112"/>
      <c r="D8" s="112"/>
      <c r="E8" s="123"/>
      <c r="F8" s="124"/>
      <c r="G8" s="125"/>
    </row>
    <row r="9" spans="1:7" ht="20.399999999999999" x14ac:dyDescent="0.35">
      <c r="A9" s="52" t="s">
        <v>41</v>
      </c>
      <c r="B9" s="111" t="s">
        <v>348</v>
      </c>
      <c r="C9" s="112"/>
      <c r="D9" s="112"/>
      <c r="E9" s="126"/>
      <c r="F9" s="127"/>
      <c r="G9" s="128"/>
    </row>
    <row r="10" spans="1:7" ht="20.399999999999999" x14ac:dyDescent="0.35">
      <c r="A10" s="52" t="s">
        <v>42</v>
      </c>
      <c r="B10" s="111" t="s">
        <v>441</v>
      </c>
      <c r="C10" s="112"/>
      <c r="D10" s="112"/>
      <c r="E10" s="112"/>
      <c r="F10" s="112"/>
      <c r="G10" s="113"/>
    </row>
    <row r="11" spans="1:7" ht="60" x14ac:dyDescent="0.3">
      <c r="A11" s="103" t="s">
        <v>8</v>
      </c>
      <c r="B11" s="103" t="s">
        <v>9</v>
      </c>
      <c r="C11" s="103" t="s">
        <v>10</v>
      </c>
      <c r="D11" s="103" t="s">
        <v>43</v>
      </c>
      <c r="E11" s="103" t="s">
        <v>12</v>
      </c>
      <c r="F11" s="103" t="s">
        <v>13</v>
      </c>
      <c r="G11" s="103" t="s">
        <v>14</v>
      </c>
    </row>
    <row r="12" spans="1:7" ht="46.8" x14ac:dyDescent="0.3">
      <c r="A12" s="57">
        <v>400</v>
      </c>
      <c r="B12" s="58" t="s">
        <v>112</v>
      </c>
      <c r="C12" s="58" t="s">
        <v>442</v>
      </c>
      <c r="D12" s="95"/>
      <c r="E12" s="60">
        <v>4.08</v>
      </c>
      <c r="F12" s="60">
        <f t="shared" ref="F12:F26" si="0">A12*E12</f>
        <v>1632</v>
      </c>
      <c r="G12" s="129"/>
    </row>
    <row r="13" spans="1:7" ht="46.8" x14ac:dyDescent="0.3">
      <c r="A13" s="63">
        <v>500</v>
      </c>
      <c r="B13" s="64" t="s">
        <v>112</v>
      </c>
      <c r="C13" s="64" t="s">
        <v>443</v>
      </c>
      <c r="D13" s="96"/>
      <c r="E13" s="66">
        <v>0.95</v>
      </c>
      <c r="F13" s="66">
        <f t="shared" si="0"/>
        <v>475</v>
      </c>
      <c r="G13" s="129"/>
    </row>
    <row r="14" spans="1:7" ht="15.6" x14ac:dyDescent="0.3">
      <c r="A14" s="63"/>
      <c r="B14" s="64"/>
      <c r="C14" s="64"/>
      <c r="D14" s="96"/>
      <c r="E14" s="66"/>
      <c r="F14" s="66">
        <f t="shared" si="0"/>
        <v>0</v>
      </c>
      <c r="G14" s="129"/>
    </row>
    <row r="15" spans="1:7" ht="15.6" x14ac:dyDescent="0.3">
      <c r="A15" s="63"/>
      <c r="B15" s="130"/>
      <c r="C15" s="130"/>
      <c r="D15" s="96"/>
      <c r="E15" s="66"/>
      <c r="F15" s="66">
        <f t="shared" si="0"/>
        <v>0</v>
      </c>
      <c r="G15" s="68"/>
    </row>
    <row r="16" spans="1:7" ht="15.6" x14ac:dyDescent="0.3">
      <c r="A16" s="63"/>
      <c r="B16" s="130"/>
      <c r="C16" s="130"/>
      <c r="D16" s="96"/>
      <c r="E16" s="66"/>
      <c r="F16" s="66">
        <f t="shared" si="0"/>
        <v>0</v>
      </c>
      <c r="G16" s="68"/>
    </row>
    <row r="17" spans="1:7" ht="15.6" x14ac:dyDescent="0.3">
      <c r="A17" s="63"/>
      <c r="B17" s="130"/>
      <c r="C17" s="130"/>
      <c r="D17" s="96"/>
      <c r="E17" s="66"/>
      <c r="F17" s="66">
        <f t="shared" si="0"/>
        <v>0</v>
      </c>
      <c r="G17" s="68"/>
    </row>
    <row r="18" spans="1:7" ht="15.6" x14ac:dyDescent="0.3">
      <c r="A18" s="63"/>
      <c r="B18" s="130"/>
      <c r="C18" s="130"/>
      <c r="D18" s="96"/>
      <c r="E18" s="66"/>
      <c r="F18" s="66">
        <f t="shared" si="0"/>
        <v>0</v>
      </c>
      <c r="G18" s="68"/>
    </row>
    <row r="19" spans="1:7" ht="15.6" x14ac:dyDescent="0.3">
      <c r="A19" s="69"/>
      <c r="B19" s="130"/>
      <c r="C19" s="130"/>
      <c r="D19" s="96"/>
      <c r="E19" s="66"/>
      <c r="F19" s="66">
        <f t="shared" si="0"/>
        <v>0</v>
      </c>
      <c r="G19" s="68"/>
    </row>
    <row r="20" spans="1:7" ht="15.6" x14ac:dyDescent="0.3">
      <c r="A20" s="69"/>
      <c r="B20" s="130"/>
      <c r="C20" s="130"/>
      <c r="D20" s="96"/>
      <c r="E20" s="66"/>
      <c r="F20" s="66">
        <f t="shared" si="0"/>
        <v>0</v>
      </c>
      <c r="G20" s="68"/>
    </row>
    <row r="21" spans="1:7" ht="15.6" x14ac:dyDescent="0.3">
      <c r="A21" s="69"/>
      <c r="B21" s="64"/>
      <c r="C21" s="130"/>
      <c r="D21" s="96"/>
      <c r="E21" s="66"/>
      <c r="F21" s="66">
        <f t="shared" si="0"/>
        <v>0</v>
      </c>
      <c r="G21" s="68"/>
    </row>
    <row r="22" spans="1:7" ht="15.6" x14ac:dyDescent="0.3">
      <c r="A22" s="69"/>
      <c r="B22" s="64"/>
      <c r="C22" s="130"/>
      <c r="D22" s="96"/>
      <c r="E22" s="66"/>
      <c r="F22" s="66">
        <f t="shared" si="0"/>
        <v>0</v>
      </c>
      <c r="G22" s="68"/>
    </row>
    <row r="23" spans="1:7" ht="15.6" x14ac:dyDescent="0.3">
      <c r="A23" s="69"/>
      <c r="B23" s="64"/>
      <c r="C23" s="64"/>
      <c r="D23" s="65"/>
      <c r="E23" s="66"/>
      <c r="F23" s="66">
        <f t="shared" si="0"/>
        <v>0</v>
      </c>
      <c r="G23" s="68"/>
    </row>
    <row r="24" spans="1:7" ht="15.6" x14ac:dyDescent="0.3">
      <c r="A24" s="69"/>
      <c r="B24" s="64"/>
      <c r="C24" s="64"/>
      <c r="D24" s="65"/>
      <c r="E24" s="66"/>
      <c r="F24" s="66">
        <f t="shared" si="0"/>
        <v>0</v>
      </c>
      <c r="G24" s="68"/>
    </row>
    <row r="25" spans="1:7" ht="15.6" x14ac:dyDescent="0.3">
      <c r="A25" s="69"/>
      <c r="B25" s="64"/>
      <c r="C25" s="64"/>
      <c r="D25" s="65"/>
      <c r="E25" s="66"/>
      <c r="F25" s="66">
        <f t="shared" si="0"/>
        <v>0</v>
      </c>
      <c r="G25" s="68"/>
    </row>
    <row r="26" spans="1:7" ht="15.6" x14ac:dyDescent="0.3">
      <c r="A26" s="70"/>
      <c r="B26" s="71"/>
      <c r="C26" s="71"/>
      <c r="D26" s="72"/>
      <c r="E26" s="73"/>
      <c r="F26" s="73">
        <f t="shared" si="0"/>
        <v>0</v>
      </c>
      <c r="G26" s="75"/>
    </row>
    <row r="27" spans="1:7" ht="17.399999999999999" x14ac:dyDescent="0.3">
      <c r="A27" s="76"/>
      <c r="B27" s="77"/>
      <c r="C27" s="114" t="s">
        <v>27</v>
      </c>
      <c r="D27" s="114"/>
      <c r="E27" s="78"/>
      <c r="F27" s="131">
        <f>SUM(F12:F25)</f>
        <v>2107</v>
      </c>
      <c r="G27" s="80"/>
    </row>
    <row r="28" spans="1:7" ht="17.399999999999999" x14ac:dyDescent="0.3">
      <c r="A28" s="81"/>
      <c r="B28" s="82"/>
      <c r="C28" s="106" t="s">
        <v>28</v>
      </c>
      <c r="D28" s="106"/>
      <c r="E28" s="83"/>
      <c r="F28" s="132">
        <f>F27*0.16</f>
        <v>337.12</v>
      </c>
      <c r="G28" s="85"/>
    </row>
    <row r="29" spans="1:7" ht="17.399999999999999" x14ac:dyDescent="0.3">
      <c r="A29" s="81"/>
      <c r="B29" s="82"/>
      <c r="C29" s="107" t="s">
        <v>29</v>
      </c>
      <c r="D29" s="107"/>
      <c r="E29" s="86"/>
      <c r="F29" s="133">
        <f>F27+F28</f>
        <v>2444.12</v>
      </c>
      <c r="G29" s="88"/>
    </row>
    <row r="30" spans="1:7" ht="15.6" x14ac:dyDescent="0.3">
      <c r="A30" s="108" t="s">
        <v>30</v>
      </c>
      <c r="B30" s="89"/>
      <c r="C30" s="89" t="s">
        <v>31</v>
      </c>
      <c r="D30" s="89"/>
      <c r="E30" s="89" t="s">
        <v>32</v>
      </c>
      <c r="F30" s="89"/>
      <c r="G30" s="109"/>
    </row>
    <row r="31" spans="1:7" ht="15.6" x14ac:dyDescent="0.3">
      <c r="A31" s="134" t="s">
        <v>444</v>
      </c>
      <c r="B31" s="90"/>
      <c r="C31" s="90" t="s">
        <v>33</v>
      </c>
      <c r="D31" s="90"/>
      <c r="E31" s="90" t="s">
        <v>273</v>
      </c>
      <c r="F31" s="90"/>
      <c r="G31" s="110"/>
    </row>
    <row r="35" spans="1:7" ht="21" x14ac:dyDescent="0.4">
      <c r="A35" s="49"/>
      <c r="B35" s="184" t="s">
        <v>45</v>
      </c>
      <c r="C35" s="185"/>
      <c r="D35" s="190" t="s">
        <v>36</v>
      </c>
      <c r="E35" s="191"/>
      <c r="F35" s="191"/>
      <c r="G35" s="192"/>
    </row>
    <row r="36" spans="1:7" ht="21" x14ac:dyDescent="0.4">
      <c r="A36" s="50"/>
      <c r="B36" s="186"/>
      <c r="C36" s="187"/>
      <c r="D36" s="193" t="s">
        <v>1</v>
      </c>
      <c r="E36" s="194"/>
      <c r="F36" s="196" t="s">
        <v>435</v>
      </c>
      <c r="G36" s="177"/>
    </row>
    <row r="37" spans="1:7" ht="21" x14ac:dyDescent="0.4">
      <c r="A37" s="50"/>
      <c r="B37" s="186"/>
      <c r="C37" s="187"/>
      <c r="D37" s="193" t="s">
        <v>267</v>
      </c>
      <c r="E37" s="194"/>
      <c r="F37" s="176">
        <v>20</v>
      </c>
      <c r="G37" s="177"/>
    </row>
    <row r="38" spans="1:7" ht="21" x14ac:dyDescent="0.4">
      <c r="A38" s="51"/>
      <c r="B38" s="188"/>
      <c r="C38" s="189"/>
      <c r="D38" s="178" t="s">
        <v>38</v>
      </c>
      <c r="E38" s="179"/>
      <c r="F38" s="180" t="s">
        <v>448</v>
      </c>
      <c r="G38" s="181"/>
    </row>
    <row r="39" spans="1:7" ht="20.399999999999999" x14ac:dyDescent="0.35">
      <c r="A39" s="52" t="s">
        <v>39</v>
      </c>
      <c r="B39" s="53" t="s">
        <v>279</v>
      </c>
      <c r="C39" s="54"/>
      <c r="D39" s="54"/>
      <c r="E39" s="182" t="s">
        <v>449</v>
      </c>
      <c r="F39" s="182"/>
      <c r="G39" s="183"/>
    </row>
    <row r="40" spans="1:7" ht="20.399999999999999" x14ac:dyDescent="0.35">
      <c r="A40" s="52" t="s">
        <v>40</v>
      </c>
      <c r="B40" s="173" t="s">
        <v>450</v>
      </c>
      <c r="C40" s="174"/>
      <c r="D40" s="174"/>
      <c r="E40" s="174"/>
      <c r="F40" s="174"/>
      <c r="G40" s="175"/>
    </row>
    <row r="41" spans="1:7" ht="20.399999999999999" x14ac:dyDescent="0.35">
      <c r="A41" s="52" t="s">
        <v>41</v>
      </c>
      <c r="B41" s="173" t="s">
        <v>451</v>
      </c>
      <c r="C41" s="174"/>
      <c r="D41" s="174"/>
      <c r="E41" s="174"/>
      <c r="F41" s="174"/>
      <c r="G41" s="175"/>
    </row>
    <row r="42" spans="1:7" ht="20.399999999999999" x14ac:dyDescent="0.35">
      <c r="A42" s="52" t="s">
        <v>42</v>
      </c>
      <c r="B42" s="173" t="s">
        <v>278</v>
      </c>
      <c r="C42" s="174"/>
      <c r="D42" s="174"/>
      <c r="E42" s="174"/>
      <c r="F42" s="174"/>
      <c r="G42" s="175"/>
    </row>
    <row r="43" spans="1:7" ht="15" x14ac:dyDescent="0.3">
      <c r="A43" s="103" t="s">
        <v>8</v>
      </c>
      <c r="B43" s="103" t="s">
        <v>9</v>
      </c>
      <c r="C43" s="103" t="s">
        <v>10</v>
      </c>
      <c r="D43" s="103" t="s">
        <v>43</v>
      </c>
      <c r="E43" s="103" t="s">
        <v>12</v>
      </c>
      <c r="F43" s="103" t="s">
        <v>13</v>
      </c>
      <c r="G43" s="103" t="s">
        <v>14</v>
      </c>
    </row>
    <row r="44" spans="1:7" ht="15.6" x14ac:dyDescent="0.3">
      <c r="A44" s="57">
        <v>7</v>
      </c>
      <c r="B44" s="58" t="s">
        <v>79</v>
      </c>
      <c r="C44" s="58" t="s">
        <v>453</v>
      </c>
      <c r="D44" s="59" t="s">
        <v>452</v>
      </c>
      <c r="E44" s="60">
        <v>509</v>
      </c>
      <c r="F44" s="61">
        <f t="shared" ref="F44:F65" si="1">A44*E44</f>
        <v>3563</v>
      </c>
      <c r="G44" s="62"/>
    </row>
    <row r="45" spans="1:7" ht="15.6" x14ac:dyDescent="0.3">
      <c r="A45" s="63">
        <v>4</v>
      </c>
      <c r="B45" s="64" t="s">
        <v>79</v>
      </c>
      <c r="C45" s="64" t="s">
        <v>454</v>
      </c>
      <c r="D45" s="65" t="s">
        <v>452</v>
      </c>
      <c r="E45" s="66">
        <v>378</v>
      </c>
      <c r="F45" s="67">
        <f t="shared" si="1"/>
        <v>1512</v>
      </c>
      <c r="G45" s="68"/>
    </row>
    <row r="46" spans="1:7" ht="15.6" x14ac:dyDescent="0.3">
      <c r="A46" s="63">
        <v>62</v>
      </c>
      <c r="B46" s="64" t="s">
        <v>112</v>
      </c>
      <c r="C46" s="64" t="s">
        <v>110</v>
      </c>
      <c r="D46" s="65" t="s">
        <v>452</v>
      </c>
      <c r="E46" s="66">
        <v>5.59</v>
      </c>
      <c r="F46" s="67">
        <f t="shared" si="1"/>
        <v>346.58</v>
      </c>
      <c r="G46" s="68"/>
    </row>
    <row r="47" spans="1:7" ht="15.6" x14ac:dyDescent="0.3">
      <c r="A47" s="63">
        <v>15</v>
      </c>
      <c r="B47" s="64" t="s">
        <v>112</v>
      </c>
      <c r="C47" s="64" t="s">
        <v>116</v>
      </c>
      <c r="D47" s="65" t="s">
        <v>452</v>
      </c>
      <c r="E47" s="66">
        <v>8.64</v>
      </c>
      <c r="F47" s="67">
        <f t="shared" si="1"/>
        <v>129.60000000000002</v>
      </c>
      <c r="G47" s="68"/>
    </row>
    <row r="48" spans="1:7" ht="15.6" x14ac:dyDescent="0.3">
      <c r="A48" s="63">
        <v>18</v>
      </c>
      <c r="B48" s="64" t="s">
        <v>112</v>
      </c>
      <c r="C48" s="64" t="s">
        <v>117</v>
      </c>
      <c r="D48" s="65" t="s">
        <v>452</v>
      </c>
      <c r="E48" s="66">
        <v>10.130000000000001</v>
      </c>
      <c r="F48" s="67">
        <f t="shared" si="1"/>
        <v>182.34</v>
      </c>
      <c r="G48" s="68"/>
    </row>
    <row r="49" spans="1:7" ht="31.2" x14ac:dyDescent="0.3">
      <c r="A49" s="63">
        <v>25</v>
      </c>
      <c r="B49" s="64" t="s">
        <v>112</v>
      </c>
      <c r="C49" s="64" t="s">
        <v>131</v>
      </c>
      <c r="D49" s="65" t="s">
        <v>452</v>
      </c>
      <c r="E49" s="66">
        <v>6.82</v>
      </c>
      <c r="F49" s="67">
        <f t="shared" si="1"/>
        <v>170.5</v>
      </c>
      <c r="G49" s="68"/>
    </row>
    <row r="50" spans="1:7" ht="15.6" x14ac:dyDescent="0.3">
      <c r="A50" s="63">
        <v>6</v>
      </c>
      <c r="B50" s="64" t="s">
        <v>112</v>
      </c>
      <c r="C50" s="64" t="s">
        <v>455</v>
      </c>
      <c r="D50" s="65" t="s">
        <v>452</v>
      </c>
      <c r="E50" s="66">
        <v>7.73</v>
      </c>
      <c r="F50" s="67">
        <f t="shared" si="1"/>
        <v>46.38</v>
      </c>
      <c r="G50" s="68"/>
    </row>
    <row r="51" spans="1:7" ht="15.6" x14ac:dyDescent="0.3">
      <c r="A51" s="63">
        <v>12</v>
      </c>
      <c r="B51" s="64" t="s">
        <v>112</v>
      </c>
      <c r="C51" s="64" t="s">
        <v>134</v>
      </c>
      <c r="D51" s="65" t="s">
        <v>452</v>
      </c>
      <c r="E51" s="66">
        <v>7.15</v>
      </c>
      <c r="F51" s="67">
        <f t="shared" si="1"/>
        <v>85.800000000000011</v>
      </c>
      <c r="G51" s="68"/>
    </row>
    <row r="52" spans="1:7" ht="15.6" x14ac:dyDescent="0.3">
      <c r="A52" s="63">
        <v>10</v>
      </c>
      <c r="B52" s="64" t="s">
        <v>112</v>
      </c>
      <c r="C52" s="64" t="s">
        <v>456</v>
      </c>
      <c r="D52" s="65" t="s">
        <v>452</v>
      </c>
      <c r="E52" s="66">
        <v>12.12</v>
      </c>
      <c r="F52" s="67">
        <f t="shared" si="1"/>
        <v>121.19999999999999</v>
      </c>
      <c r="G52" s="68"/>
    </row>
    <row r="53" spans="1:7" ht="15.6" x14ac:dyDescent="0.3">
      <c r="A53" s="63">
        <v>20</v>
      </c>
      <c r="B53" s="64" t="s">
        <v>112</v>
      </c>
      <c r="C53" s="64" t="s">
        <v>457</v>
      </c>
      <c r="D53" s="65"/>
      <c r="E53" s="66">
        <v>43.04</v>
      </c>
      <c r="F53" s="67">
        <f t="shared" si="1"/>
        <v>860.8</v>
      </c>
      <c r="G53" s="68"/>
    </row>
    <row r="54" spans="1:7" ht="15.6" x14ac:dyDescent="0.3">
      <c r="A54" s="63">
        <v>2</v>
      </c>
      <c r="B54" s="64" t="s">
        <v>112</v>
      </c>
      <c r="C54" s="64" t="s">
        <v>458</v>
      </c>
      <c r="D54" s="65"/>
      <c r="E54" s="66">
        <v>66.459999999999994</v>
      </c>
      <c r="F54" s="67">
        <f t="shared" si="1"/>
        <v>132.91999999999999</v>
      </c>
      <c r="G54" s="68"/>
    </row>
    <row r="55" spans="1:7" ht="15.6" x14ac:dyDescent="0.3">
      <c r="A55" s="63">
        <v>6</v>
      </c>
      <c r="B55" s="64" t="s">
        <v>112</v>
      </c>
      <c r="C55" s="64" t="s">
        <v>459</v>
      </c>
      <c r="D55" s="65" t="s">
        <v>452</v>
      </c>
      <c r="E55" s="66">
        <v>7.42</v>
      </c>
      <c r="F55" s="67">
        <f t="shared" si="1"/>
        <v>44.519999999999996</v>
      </c>
      <c r="G55" s="68"/>
    </row>
    <row r="56" spans="1:7" ht="15.6" x14ac:dyDescent="0.3">
      <c r="A56" s="63">
        <v>50</v>
      </c>
      <c r="B56" s="64" t="s">
        <v>112</v>
      </c>
      <c r="C56" s="64" t="s">
        <v>455</v>
      </c>
      <c r="D56" s="65" t="s">
        <v>312</v>
      </c>
      <c r="E56" s="66">
        <v>5.29</v>
      </c>
      <c r="F56" s="67">
        <f t="shared" si="1"/>
        <v>264.5</v>
      </c>
      <c r="G56" s="68"/>
    </row>
    <row r="57" spans="1:7" ht="15.6" x14ac:dyDescent="0.3">
      <c r="A57" s="63"/>
      <c r="B57" s="64"/>
      <c r="C57" s="64"/>
      <c r="D57" s="65"/>
      <c r="E57" s="66"/>
      <c r="F57" s="67">
        <f t="shared" si="1"/>
        <v>0</v>
      </c>
      <c r="G57" s="68"/>
    </row>
    <row r="58" spans="1:7" ht="15.6" x14ac:dyDescent="0.3">
      <c r="A58" s="63"/>
      <c r="B58" s="64"/>
      <c r="C58" s="64"/>
      <c r="D58" s="65"/>
      <c r="E58" s="66"/>
      <c r="F58" s="67"/>
      <c r="G58" s="68"/>
    </row>
    <row r="59" spans="1:7" ht="15.6" x14ac:dyDescent="0.3">
      <c r="A59" s="63"/>
      <c r="B59" s="64"/>
      <c r="C59" s="64"/>
      <c r="D59" s="65"/>
      <c r="E59" s="66"/>
      <c r="F59" s="67">
        <f t="shared" si="1"/>
        <v>0</v>
      </c>
      <c r="G59" s="68"/>
    </row>
    <row r="60" spans="1:7" ht="15.6" x14ac:dyDescent="0.3">
      <c r="A60" s="69"/>
      <c r="B60" s="64"/>
      <c r="C60" s="64"/>
      <c r="D60" s="65"/>
      <c r="E60" s="66"/>
      <c r="F60" s="67">
        <f t="shared" si="1"/>
        <v>0</v>
      </c>
      <c r="G60" s="68"/>
    </row>
    <row r="61" spans="1:7" ht="15.6" x14ac:dyDescent="0.3">
      <c r="A61" s="69"/>
      <c r="B61" s="64"/>
      <c r="C61" s="64"/>
      <c r="D61" s="65"/>
      <c r="E61" s="66"/>
      <c r="F61" s="67">
        <f t="shared" si="1"/>
        <v>0</v>
      </c>
      <c r="G61" s="68"/>
    </row>
    <row r="62" spans="1:7" ht="15.6" x14ac:dyDescent="0.3">
      <c r="A62" s="69"/>
      <c r="B62" s="64"/>
      <c r="C62" s="64"/>
      <c r="D62" s="65"/>
      <c r="E62" s="66"/>
      <c r="F62" s="67">
        <f t="shared" si="1"/>
        <v>0</v>
      </c>
      <c r="G62" s="68"/>
    </row>
    <row r="63" spans="1:7" ht="15.6" x14ac:dyDescent="0.3">
      <c r="A63" s="69"/>
      <c r="B63" s="64"/>
      <c r="C63" s="64"/>
      <c r="D63" s="65"/>
      <c r="E63" s="66"/>
      <c r="F63" s="67">
        <f t="shared" si="1"/>
        <v>0</v>
      </c>
      <c r="G63" s="68"/>
    </row>
    <row r="64" spans="1:7" ht="15.6" x14ac:dyDescent="0.3">
      <c r="A64" s="69"/>
      <c r="B64" s="64"/>
      <c r="C64" s="64"/>
      <c r="D64" s="65"/>
      <c r="E64" s="66"/>
      <c r="F64" s="67">
        <f t="shared" si="1"/>
        <v>0</v>
      </c>
      <c r="G64" s="68"/>
    </row>
    <row r="65" spans="1:7" ht="15.6" x14ac:dyDescent="0.3">
      <c r="A65" s="70"/>
      <c r="B65" s="71"/>
      <c r="C65" s="71"/>
      <c r="D65" s="72"/>
      <c r="E65" s="73"/>
      <c r="F65" s="74">
        <f t="shared" si="1"/>
        <v>0</v>
      </c>
      <c r="G65" s="75"/>
    </row>
    <row r="66" spans="1:7" ht="17.399999999999999" x14ac:dyDescent="0.3">
      <c r="A66" s="76"/>
      <c r="B66" s="77"/>
      <c r="C66" s="164" t="s">
        <v>27</v>
      </c>
      <c r="D66" s="164"/>
      <c r="E66" s="78"/>
      <c r="F66" s="79">
        <f>SUM(F44:F64)</f>
        <v>7460.1400000000012</v>
      </c>
      <c r="G66" s="80"/>
    </row>
    <row r="67" spans="1:7" ht="17.399999999999999" x14ac:dyDescent="0.3">
      <c r="A67" s="81"/>
      <c r="B67" s="82"/>
      <c r="C67" s="165" t="s">
        <v>28</v>
      </c>
      <c r="D67" s="165"/>
      <c r="E67" s="83"/>
      <c r="F67" s="84">
        <f>F66*0.16</f>
        <v>1193.6224000000002</v>
      </c>
      <c r="G67" s="85"/>
    </row>
    <row r="68" spans="1:7" ht="17.399999999999999" x14ac:dyDescent="0.3">
      <c r="A68" s="81"/>
      <c r="B68" s="82"/>
      <c r="C68" s="166" t="s">
        <v>29</v>
      </c>
      <c r="D68" s="166"/>
      <c r="E68" s="86"/>
      <c r="F68" s="87">
        <f>F66+F67</f>
        <v>8653.7624000000014</v>
      </c>
      <c r="G68" s="88"/>
    </row>
    <row r="69" spans="1:7" ht="15.6" x14ac:dyDescent="0.3">
      <c r="A69" s="167" t="s">
        <v>30</v>
      </c>
      <c r="B69" s="168"/>
      <c r="C69" s="89" t="s">
        <v>31</v>
      </c>
      <c r="D69" s="89"/>
      <c r="E69" s="168" t="s">
        <v>32</v>
      </c>
      <c r="F69" s="168"/>
      <c r="G69" s="169"/>
    </row>
    <row r="70" spans="1:7" ht="15.6" x14ac:dyDescent="0.3">
      <c r="A70" s="170" t="s">
        <v>52</v>
      </c>
      <c r="B70" s="171"/>
      <c r="C70" s="104" t="s">
        <v>33</v>
      </c>
      <c r="D70" s="90"/>
      <c r="E70" s="171" t="s">
        <v>273</v>
      </c>
      <c r="F70" s="171"/>
      <c r="G70" s="172"/>
    </row>
    <row r="75" spans="1:7" ht="21" x14ac:dyDescent="0.4">
      <c r="A75" s="49"/>
      <c r="B75" s="184" t="s">
        <v>45</v>
      </c>
      <c r="C75" s="185"/>
      <c r="D75" s="190" t="s">
        <v>36</v>
      </c>
      <c r="E75" s="191"/>
      <c r="F75" s="191"/>
      <c r="G75" s="192"/>
    </row>
    <row r="76" spans="1:7" ht="21" x14ac:dyDescent="0.4">
      <c r="A76" s="50"/>
      <c r="B76" s="186"/>
      <c r="C76" s="187"/>
      <c r="D76" s="193" t="s">
        <v>1</v>
      </c>
      <c r="E76" s="194"/>
      <c r="F76" s="196" t="s">
        <v>487</v>
      </c>
      <c r="G76" s="177"/>
    </row>
    <row r="77" spans="1:7" ht="21" x14ac:dyDescent="0.4">
      <c r="A77" s="50"/>
      <c r="B77" s="186"/>
      <c r="C77" s="187"/>
      <c r="D77" s="193" t="s">
        <v>267</v>
      </c>
      <c r="E77" s="194"/>
      <c r="F77" s="176">
        <v>20</v>
      </c>
      <c r="G77" s="177"/>
    </row>
    <row r="78" spans="1:7" ht="21" x14ac:dyDescent="0.4">
      <c r="A78" s="51"/>
      <c r="B78" s="188"/>
      <c r="C78" s="189"/>
      <c r="D78" s="178" t="s">
        <v>38</v>
      </c>
      <c r="E78" s="179"/>
      <c r="F78" s="180" t="s">
        <v>462</v>
      </c>
      <c r="G78" s="181"/>
    </row>
    <row r="79" spans="1:7" ht="20.399999999999999" x14ac:dyDescent="0.35">
      <c r="A79" s="52" t="s">
        <v>39</v>
      </c>
      <c r="B79" s="53" t="s">
        <v>279</v>
      </c>
      <c r="C79" s="54"/>
      <c r="D79" s="54"/>
      <c r="E79" s="182" t="s">
        <v>476</v>
      </c>
      <c r="F79" s="182"/>
      <c r="G79" s="183"/>
    </row>
    <row r="80" spans="1:7" ht="20.399999999999999" x14ac:dyDescent="0.35">
      <c r="A80" s="52" t="s">
        <v>40</v>
      </c>
      <c r="B80" s="173" t="s">
        <v>468</v>
      </c>
      <c r="C80" s="174"/>
      <c r="D80" s="174"/>
      <c r="E80" s="174"/>
      <c r="F80" s="174"/>
      <c r="G80" s="175"/>
    </row>
    <row r="81" spans="1:7" ht="20.399999999999999" x14ac:dyDescent="0.35">
      <c r="A81" s="52" t="s">
        <v>41</v>
      </c>
      <c r="B81" s="173" t="s">
        <v>461</v>
      </c>
      <c r="C81" s="174"/>
      <c r="D81" s="174"/>
      <c r="E81" s="174"/>
      <c r="F81" s="174"/>
      <c r="G81" s="175"/>
    </row>
    <row r="82" spans="1:7" ht="20.399999999999999" x14ac:dyDescent="0.35">
      <c r="A82" s="52" t="s">
        <v>42</v>
      </c>
      <c r="B82" s="173" t="s">
        <v>236</v>
      </c>
      <c r="C82" s="174"/>
      <c r="D82" s="174"/>
      <c r="E82" s="174"/>
      <c r="F82" s="174"/>
      <c r="G82" s="175"/>
    </row>
    <row r="83" spans="1:7" ht="15" x14ac:dyDescent="0.3">
      <c r="A83" s="103" t="s">
        <v>8</v>
      </c>
      <c r="B83" s="103" t="s">
        <v>9</v>
      </c>
      <c r="C83" s="103" t="s">
        <v>10</v>
      </c>
      <c r="D83" s="103" t="s">
        <v>43</v>
      </c>
      <c r="E83" s="103" t="s">
        <v>12</v>
      </c>
      <c r="F83" s="103" t="s">
        <v>13</v>
      </c>
      <c r="G83" s="103" t="s">
        <v>14</v>
      </c>
    </row>
    <row r="84" spans="1:7" ht="31.2" x14ac:dyDescent="0.3">
      <c r="A84" s="57">
        <v>8</v>
      </c>
      <c r="B84" s="58" t="s">
        <v>112</v>
      </c>
      <c r="C84" s="58" t="s">
        <v>463</v>
      </c>
      <c r="D84" s="59"/>
      <c r="E84" s="60">
        <v>2200</v>
      </c>
      <c r="F84" s="67">
        <f t="shared" ref="F84:F92" si="2">A84*E84</f>
        <v>17600</v>
      </c>
      <c r="G84" s="62"/>
    </row>
    <row r="85" spans="1:7" ht="31.2" x14ac:dyDescent="0.3">
      <c r="A85" s="63">
        <v>2</v>
      </c>
      <c r="B85" s="64" t="s">
        <v>112</v>
      </c>
      <c r="C85" s="64" t="s">
        <v>464</v>
      </c>
      <c r="D85" s="65"/>
      <c r="E85" s="66">
        <v>1406</v>
      </c>
      <c r="F85" s="67">
        <f t="shared" si="2"/>
        <v>2812</v>
      </c>
      <c r="G85" s="68"/>
    </row>
    <row r="86" spans="1:7" ht="46.8" x14ac:dyDescent="0.3">
      <c r="A86" s="63">
        <v>10</v>
      </c>
      <c r="B86" s="64" t="s">
        <v>112</v>
      </c>
      <c r="C86" s="64" t="s">
        <v>465</v>
      </c>
      <c r="D86" s="65"/>
      <c r="E86" s="66">
        <v>492.53</v>
      </c>
      <c r="F86" s="67">
        <f t="shared" si="2"/>
        <v>4925.2999999999993</v>
      </c>
      <c r="G86" s="68"/>
    </row>
    <row r="87" spans="1:7" ht="46.8" x14ac:dyDescent="0.3">
      <c r="A87" s="63">
        <v>2</v>
      </c>
      <c r="B87" s="64" t="s">
        <v>112</v>
      </c>
      <c r="C87" s="64" t="s">
        <v>466</v>
      </c>
      <c r="D87" s="65"/>
      <c r="E87" s="66">
        <v>639.04</v>
      </c>
      <c r="F87" s="67">
        <f t="shared" si="2"/>
        <v>1278.08</v>
      </c>
      <c r="G87" s="68"/>
    </row>
    <row r="88" spans="1:7" ht="15.6" x14ac:dyDescent="0.3">
      <c r="A88" s="63"/>
      <c r="B88" s="64"/>
      <c r="C88" s="64"/>
      <c r="D88" s="65"/>
      <c r="E88" s="66"/>
      <c r="F88" s="67">
        <f t="shared" si="2"/>
        <v>0</v>
      </c>
      <c r="G88" s="68"/>
    </row>
    <row r="89" spans="1:7" ht="15.6" x14ac:dyDescent="0.3">
      <c r="A89" s="63"/>
      <c r="B89" s="64"/>
      <c r="C89" s="64"/>
      <c r="D89" s="65"/>
      <c r="E89" s="66"/>
      <c r="F89" s="67">
        <f t="shared" si="2"/>
        <v>0</v>
      </c>
      <c r="G89" s="68"/>
    </row>
    <row r="90" spans="1:7" ht="15.6" x14ac:dyDescent="0.3">
      <c r="A90" s="63"/>
      <c r="B90" s="64"/>
      <c r="C90" s="64"/>
      <c r="D90" s="65"/>
      <c r="E90" s="66"/>
      <c r="F90" s="67">
        <f t="shared" si="2"/>
        <v>0</v>
      </c>
      <c r="G90" s="68"/>
    </row>
    <row r="91" spans="1:7" ht="15.6" x14ac:dyDescent="0.3">
      <c r="A91" s="63"/>
      <c r="B91" s="64"/>
      <c r="C91" s="64"/>
      <c r="D91" s="65"/>
      <c r="E91" s="66"/>
      <c r="F91" s="67">
        <f t="shared" si="2"/>
        <v>0</v>
      </c>
      <c r="G91" s="68"/>
    </row>
    <row r="92" spans="1:7" ht="15.6" x14ac:dyDescent="0.3">
      <c r="A92" s="63"/>
      <c r="B92" s="64"/>
      <c r="C92" s="64"/>
      <c r="D92" s="65"/>
      <c r="E92" s="66"/>
      <c r="F92" s="67">
        <f t="shared" si="2"/>
        <v>0</v>
      </c>
      <c r="G92" s="68"/>
    </row>
    <row r="93" spans="1:7" ht="15.6" x14ac:dyDescent="0.3">
      <c r="A93" s="63"/>
      <c r="B93" s="64"/>
      <c r="C93" s="64"/>
      <c r="D93" s="65"/>
      <c r="E93" s="66"/>
      <c r="F93" s="67">
        <f t="shared" ref="F93:F99" si="3">A93*E93</f>
        <v>0</v>
      </c>
      <c r="G93" s="68"/>
    </row>
    <row r="94" spans="1:7" ht="15.6" x14ac:dyDescent="0.3">
      <c r="A94" s="69"/>
      <c r="B94" s="64"/>
      <c r="C94" s="64"/>
      <c r="D94" s="65"/>
      <c r="E94" s="66"/>
      <c r="F94" s="67">
        <f t="shared" si="3"/>
        <v>0</v>
      </c>
      <c r="G94" s="68"/>
    </row>
    <row r="95" spans="1:7" ht="15.6" x14ac:dyDescent="0.3">
      <c r="A95" s="69"/>
      <c r="B95" s="64"/>
      <c r="C95" s="64"/>
      <c r="D95" s="65"/>
      <c r="E95" s="66"/>
      <c r="F95" s="67">
        <f t="shared" si="3"/>
        <v>0</v>
      </c>
      <c r="G95" s="68"/>
    </row>
    <row r="96" spans="1:7" ht="15.6" x14ac:dyDescent="0.3">
      <c r="A96" s="69"/>
      <c r="B96" s="64"/>
      <c r="C96" s="64"/>
      <c r="D96" s="65"/>
      <c r="E96" s="66"/>
      <c r="F96" s="67">
        <f t="shared" si="3"/>
        <v>0</v>
      </c>
      <c r="G96" s="68"/>
    </row>
    <row r="97" spans="1:7" ht="15.6" x14ac:dyDescent="0.3">
      <c r="A97" s="69"/>
      <c r="B97" s="64"/>
      <c r="C97" s="64"/>
      <c r="D97" s="65"/>
      <c r="E97" s="66"/>
      <c r="F97" s="67">
        <f t="shared" si="3"/>
        <v>0</v>
      </c>
      <c r="G97" s="68"/>
    </row>
    <row r="98" spans="1:7" ht="15.6" x14ac:dyDescent="0.3">
      <c r="A98" s="69"/>
      <c r="B98" s="64"/>
      <c r="C98" s="64"/>
      <c r="D98" s="65"/>
      <c r="E98" s="66"/>
      <c r="F98" s="67">
        <f t="shared" si="3"/>
        <v>0</v>
      </c>
      <c r="G98" s="68"/>
    </row>
    <row r="99" spans="1:7" ht="15.6" x14ac:dyDescent="0.3">
      <c r="A99" s="70"/>
      <c r="B99" s="71"/>
      <c r="C99" s="71"/>
      <c r="D99" s="72"/>
      <c r="E99" s="73"/>
      <c r="F99" s="74">
        <f t="shared" si="3"/>
        <v>0</v>
      </c>
      <c r="G99" s="75"/>
    </row>
    <row r="100" spans="1:7" ht="17.399999999999999" x14ac:dyDescent="0.3">
      <c r="A100" s="76"/>
      <c r="B100" s="77"/>
      <c r="C100" s="164" t="s">
        <v>27</v>
      </c>
      <c r="D100" s="164"/>
      <c r="E100" s="78"/>
      <c r="F100" s="79">
        <f>SUM(F84:F98)</f>
        <v>26615.379999999997</v>
      </c>
      <c r="G100" s="80"/>
    </row>
    <row r="101" spans="1:7" ht="17.399999999999999" x14ac:dyDescent="0.3">
      <c r="A101" s="81"/>
      <c r="B101" s="82"/>
      <c r="C101" s="165" t="s">
        <v>28</v>
      </c>
      <c r="D101" s="165"/>
      <c r="E101" s="83"/>
      <c r="F101" s="84">
        <f>F100*0.16</f>
        <v>4258.4607999999998</v>
      </c>
      <c r="G101" s="85"/>
    </row>
    <row r="102" spans="1:7" ht="17.399999999999999" x14ac:dyDescent="0.3">
      <c r="A102" s="81"/>
      <c r="B102" s="82"/>
      <c r="C102" s="166" t="s">
        <v>29</v>
      </c>
      <c r="D102" s="166"/>
      <c r="E102" s="86"/>
      <c r="F102" s="87">
        <f>F100+F101</f>
        <v>30873.840799999998</v>
      </c>
      <c r="G102" s="88"/>
    </row>
    <row r="103" spans="1:7" ht="15.6" x14ac:dyDescent="0.3">
      <c r="A103" s="167" t="s">
        <v>30</v>
      </c>
      <c r="B103" s="168"/>
      <c r="C103" s="89" t="s">
        <v>31</v>
      </c>
      <c r="D103" s="89"/>
      <c r="E103" s="168" t="s">
        <v>32</v>
      </c>
      <c r="F103" s="168"/>
      <c r="G103" s="169"/>
    </row>
    <row r="104" spans="1:7" ht="15.6" x14ac:dyDescent="0.3">
      <c r="A104" s="170" t="s">
        <v>467</v>
      </c>
      <c r="B104" s="171"/>
      <c r="C104" s="104" t="s">
        <v>33</v>
      </c>
      <c r="D104" s="90"/>
      <c r="E104" s="171" t="s">
        <v>273</v>
      </c>
      <c r="F104" s="171"/>
      <c r="G104" s="172"/>
    </row>
    <row r="108" spans="1:7" ht="21" x14ac:dyDescent="0.4">
      <c r="A108" s="49"/>
      <c r="B108" s="184" t="s">
        <v>45</v>
      </c>
      <c r="C108" s="185"/>
      <c r="D108" s="190" t="s">
        <v>36</v>
      </c>
      <c r="E108" s="191"/>
      <c r="F108" s="191"/>
      <c r="G108" s="192"/>
    </row>
    <row r="109" spans="1:7" ht="21" x14ac:dyDescent="0.4">
      <c r="A109" s="50"/>
      <c r="B109" s="186"/>
      <c r="C109" s="187"/>
      <c r="D109" s="193" t="s">
        <v>1</v>
      </c>
      <c r="E109" s="194"/>
      <c r="F109" s="196" t="s">
        <v>487</v>
      </c>
      <c r="G109" s="177"/>
    </row>
    <row r="110" spans="1:7" ht="21" x14ac:dyDescent="0.4">
      <c r="A110" s="50"/>
      <c r="B110" s="186"/>
      <c r="C110" s="187"/>
      <c r="D110" s="193" t="s">
        <v>267</v>
      </c>
      <c r="E110" s="194"/>
      <c r="F110" s="176">
        <v>20</v>
      </c>
      <c r="G110" s="177"/>
    </row>
    <row r="111" spans="1:7" ht="21" x14ac:dyDescent="0.4">
      <c r="A111" s="51"/>
      <c r="B111" s="188"/>
      <c r="C111" s="189"/>
      <c r="D111" s="178" t="s">
        <v>38</v>
      </c>
      <c r="E111" s="179"/>
      <c r="F111" s="180" t="s">
        <v>469</v>
      </c>
      <c r="G111" s="181"/>
    </row>
    <row r="112" spans="1:7" ht="20.399999999999999" x14ac:dyDescent="0.35">
      <c r="A112" s="52" t="s">
        <v>39</v>
      </c>
      <c r="B112" s="53" t="s">
        <v>279</v>
      </c>
      <c r="C112" s="54"/>
      <c r="D112" s="54"/>
      <c r="E112" s="182" t="s">
        <v>476</v>
      </c>
      <c r="F112" s="182"/>
      <c r="G112" s="183"/>
    </row>
    <row r="113" spans="1:7" ht="20.399999999999999" x14ac:dyDescent="0.35">
      <c r="A113" s="52" t="s">
        <v>40</v>
      </c>
      <c r="B113" s="173" t="s">
        <v>460</v>
      </c>
      <c r="C113" s="174"/>
      <c r="D113" s="174"/>
      <c r="E113" s="174"/>
      <c r="F113" s="174"/>
      <c r="G113" s="175"/>
    </row>
    <row r="114" spans="1:7" ht="20.399999999999999" x14ac:dyDescent="0.35">
      <c r="A114" s="52" t="s">
        <v>41</v>
      </c>
      <c r="B114" s="173" t="s">
        <v>484</v>
      </c>
      <c r="C114" s="174"/>
      <c r="D114" s="174"/>
      <c r="E114" s="174"/>
      <c r="F114" s="174"/>
      <c r="G114" s="175"/>
    </row>
    <row r="115" spans="1:7" ht="20.399999999999999" x14ac:dyDescent="0.35">
      <c r="A115" s="52" t="s">
        <v>42</v>
      </c>
      <c r="B115" s="173" t="s">
        <v>236</v>
      </c>
      <c r="C115" s="174"/>
      <c r="D115" s="174"/>
      <c r="E115" s="174"/>
      <c r="F115" s="174"/>
      <c r="G115" s="175"/>
    </row>
    <row r="116" spans="1:7" ht="15" x14ac:dyDescent="0.3">
      <c r="A116" s="103" t="s">
        <v>8</v>
      </c>
      <c r="B116" s="103" t="s">
        <v>9</v>
      </c>
      <c r="C116" s="103" t="s">
        <v>10</v>
      </c>
      <c r="D116" s="103" t="s">
        <v>43</v>
      </c>
      <c r="E116" s="103" t="s">
        <v>12</v>
      </c>
      <c r="F116" s="103" t="s">
        <v>13</v>
      </c>
      <c r="G116" s="103" t="s">
        <v>14</v>
      </c>
    </row>
    <row r="117" spans="1:7" ht="31.2" x14ac:dyDescent="0.3">
      <c r="A117" s="57">
        <v>4</v>
      </c>
      <c r="B117" s="58" t="s">
        <v>112</v>
      </c>
      <c r="C117" s="58" t="s">
        <v>470</v>
      </c>
      <c r="D117" s="59"/>
      <c r="E117" s="60">
        <v>356.37</v>
      </c>
      <c r="F117" s="67">
        <f t="shared" ref="F117:F124" si="4">A117*E117</f>
        <v>1425.48</v>
      </c>
      <c r="G117" s="62" t="s">
        <v>498</v>
      </c>
    </row>
    <row r="118" spans="1:7" ht="31.2" x14ac:dyDescent="0.3">
      <c r="A118" s="63">
        <v>4</v>
      </c>
      <c r="B118" s="64" t="s">
        <v>112</v>
      </c>
      <c r="C118" s="64" t="s">
        <v>471</v>
      </c>
      <c r="D118" s="65"/>
      <c r="E118" s="66">
        <v>215.03</v>
      </c>
      <c r="F118" s="67">
        <f t="shared" si="4"/>
        <v>860.12</v>
      </c>
      <c r="G118" s="68" t="s">
        <v>498</v>
      </c>
    </row>
    <row r="119" spans="1:7" ht="31.2" x14ac:dyDescent="0.3">
      <c r="A119" s="63">
        <v>2</v>
      </c>
      <c r="B119" s="64" t="s">
        <v>112</v>
      </c>
      <c r="C119" s="64" t="s">
        <v>472</v>
      </c>
      <c r="D119" s="65"/>
      <c r="E119" s="66">
        <v>486.5</v>
      </c>
      <c r="F119" s="67">
        <f t="shared" si="4"/>
        <v>973</v>
      </c>
      <c r="G119" s="68"/>
    </row>
    <row r="120" spans="1:7" ht="46.8" x14ac:dyDescent="0.3">
      <c r="A120" s="63">
        <v>6</v>
      </c>
      <c r="B120" s="64" t="s">
        <v>112</v>
      </c>
      <c r="C120" s="64" t="s">
        <v>479</v>
      </c>
      <c r="D120" s="65"/>
      <c r="E120" s="66">
        <v>1929.62</v>
      </c>
      <c r="F120" s="67">
        <f t="shared" si="4"/>
        <v>11577.72</v>
      </c>
      <c r="G120" s="68"/>
    </row>
    <row r="121" spans="1:7" ht="46.8" x14ac:dyDescent="0.3">
      <c r="A121" s="63">
        <v>8</v>
      </c>
      <c r="B121" s="64" t="s">
        <v>112</v>
      </c>
      <c r="C121" s="64" t="s">
        <v>480</v>
      </c>
      <c r="D121" s="65"/>
      <c r="E121" s="66">
        <v>427.2</v>
      </c>
      <c r="F121" s="67">
        <f t="shared" si="4"/>
        <v>3417.6</v>
      </c>
      <c r="G121" s="68"/>
    </row>
    <row r="122" spans="1:7" ht="31.2" x14ac:dyDescent="0.3">
      <c r="A122" s="63">
        <v>8</v>
      </c>
      <c r="B122" s="64" t="s">
        <v>112</v>
      </c>
      <c r="C122" s="64" t="s">
        <v>481</v>
      </c>
      <c r="D122" s="65"/>
      <c r="E122" s="66">
        <v>553.1</v>
      </c>
      <c r="F122" s="67">
        <f t="shared" si="4"/>
        <v>4424.8</v>
      </c>
      <c r="G122" s="68"/>
    </row>
    <row r="123" spans="1:7" ht="46.8" x14ac:dyDescent="0.3">
      <c r="A123" s="63">
        <v>6</v>
      </c>
      <c r="B123" s="64" t="s">
        <v>112</v>
      </c>
      <c r="C123" s="64" t="s">
        <v>482</v>
      </c>
      <c r="D123" s="65"/>
      <c r="E123" s="66">
        <v>832.23</v>
      </c>
      <c r="F123" s="67">
        <f t="shared" si="4"/>
        <v>4993.38</v>
      </c>
      <c r="G123" s="68"/>
    </row>
    <row r="124" spans="1:7" ht="46.8" x14ac:dyDescent="0.3">
      <c r="A124" s="63">
        <v>6</v>
      </c>
      <c r="B124" s="64" t="s">
        <v>112</v>
      </c>
      <c r="C124" s="64" t="s">
        <v>483</v>
      </c>
      <c r="D124" s="65"/>
      <c r="E124" s="66">
        <v>232.79</v>
      </c>
      <c r="F124" s="67">
        <f t="shared" si="4"/>
        <v>1396.74</v>
      </c>
      <c r="G124" s="68"/>
    </row>
    <row r="125" spans="1:7" ht="15.6" x14ac:dyDescent="0.3">
      <c r="A125" s="69"/>
      <c r="B125" s="64"/>
      <c r="C125" s="64"/>
      <c r="D125" s="65"/>
      <c r="E125" s="66"/>
      <c r="F125" s="67">
        <f t="shared" ref="F125:F128" si="5">A125*E125</f>
        <v>0</v>
      </c>
      <c r="G125" s="68"/>
    </row>
    <row r="126" spans="1:7" ht="15.6" x14ac:dyDescent="0.3">
      <c r="A126" s="69"/>
      <c r="B126" s="64"/>
      <c r="C126" s="64"/>
      <c r="D126" s="65"/>
      <c r="E126" s="66"/>
      <c r="F126" s="67">
        <f t="shared" si="5"/>
        <v>0</v>
      </c>
      <c r="G126" s="68"/>
    </row>
    <row r="127" spans="1:7" ht="15.6" x14ac:dyDescent="0.3">
      <c r="A127" s="69"/>
      <c r="B127" s="64"/>
      <c r="C127" s="64"/>
      <c r="D127" s="65"/>
      <c r="E127" s="66"/>
      <c r="F127" s="67">
        <f t="shared" si="5"/>
        <v>0</v>
      </c>
      <c r="G127" s="68"/>
    </row>
    <row r="128" spans="1:7" ht="15.6" x14ac:dyDescent="0.3">
      <c r="A128" s="70"/>
      <c r="B128" s="71"/>
      <c r="C128" s="71"/>
      <c r="D128" s="72"/>
      <c r="E128" s="73"/>
      <c r="F128" s="74">
        <f t="shared" si="5"/>
        <v>0</v>
      </c>
      <c r="G128" s="75"/>
    </row>
    <row r="129" spans="1:7" ht="17.399999999999999" x14ac:dyDescent="0.3">
      <c r="A129" s="76"/>
      <c r="B129" s="77"/>
      <c r="C129" s="164" t="s">
        <v>27</v>
      </c>
      <c r="D129" s="164"/>
      <c r="E129" s="78"/>
      <c r="F129" s="79">
        <f>SUM(F117:F127)</f>
        <v>29068.84</v>
      </c>
      <c r="G129" s="80"/>
    </row>
    <row r="130" spans="1:7" ht="17.399999999999999" x14ac:dyDescent="0.3">
      <c r="A130" s="81"/>
      <c r="B130" s="82"/>
      <c r="C130" s="165" t="s">
        <v>28</v>
      </c>
      <c r="D130" s="165"/>
      <c r="E130" s="83"/>
      <c r="F130" s="84">
        <f>F129*0.16</f>
        <v>4651.0144</v>
      </c>
      <c r="G130" s="85"/>
    </row>
    <row r="131" spans="1:7" ht="17.399999999999999" x14ac:dyDescent="0.3">
      <c r="A131" s="81"/>
      <c r="B131" s="82"/>
      <c r="C131" s="166" t="s">
        <v>29</v>
      </c>
      <c r="D131" s="166"/>
      <c r="E131" s="86"/>
      <c r="F131" s="87">
        <f>F129+F130</f>
        <v>33719.854399999997</v>
      </c>
      <c r="G131" s="88"/>
    </row>
    <row r="132" spans="1:7" ht="15.6" x14ac:dyDescent="0.3">
      <c r="A132" s="167" t="s">
        <v>30</v>
      </c>
      <c r="B132" s="168"/>
      <c r="C132" s="89" t="s">
        <v>31</v>
      </c>
      <c r="D132" s="89"/>
      <c r="E132" s="168" t="s">
        <v>32</v>
      </c>
      <c r="F132" s="168"/>
      <c r="G132" s="169"/>
    </row>
    <row r="133" spans="1:7" ht="15.6" x14ac:dyDescent="0.3">
      <c r="A133" s="170" t="s">
        <v>52</v>
      </c>
      <c r="B133" s="171"/>
      <c r="C133" s="104" t="s">
        <v>33</v>
      </c>
      <c r="D133" s="90"/>
      <c r="E133" s="171" t="s">
        <v>273</v>
      </c>
      <c r="F133" s="171"/>
      <c r="G133" s="172"/>
    </row>
    <row r="137" spans="1:7" ht="21" x14ac:dyDescent="0.4">
      <c r="A137" s="49"/>
      <c r="B137" s="184" t="s">
        <v>45</v>
      </c>
      <c r="C137" s="185"/>
      <c r="D137" s="190" t="s">
        <v>36</v>
      </c>
      <c r="E137" s="191"/>
      <c r="F137" s="191"/>
      <c r="G137" s="192"/>
    </row>
    <row r="138" spans="1:7" ht="21" x14ac:dyDescent="0.4">
      <c r="A138" s="50"/>
      <c r="B138" s="186"/>
      <c r="C138" s="187"/>
      <c r="D138" s="193" t="s">
        <v>1</v>
      </c>
      <c r="E138" s="194"/>
      <c r="F138" s="196" t="s">
        <v>487</v>
      </c>
      <c r="G138" s="177"/>
    </row>
    <row r="139" spans="1:7" ht="21" x14ac:dyDescent="0.4">
      <c r="A139" s="50"/>
      <c r="B139" s="186"/>
      <c r="C139" s="187"/>
      <c r="D139" s="193" t="s">
        <v>267</v>
      </c>
      <c r="E139" s="194"/>
      <c r="F139" s="176">
        <v>20</v>
      </c>
      <c r="G139" s="177"/>
    </row>
    <row r="140" spans="1:7" ht="21" x14ac:dyDescent="0.4">
      <c r="A140" s="51"/>
      <c r="B140" s="188"/>
      <c r="C140" s="189"/>
      <c r="D140" s="178" t="s">
        <v>38</v>
      </c>
      <c r="E140" s="179"/>
      <c r="F140" s="180" t="s">
        <v>485</v>
      </c>
      <c r="G140" s="181"/>
    </row>
    <row r="141" spans="1:7" ht="20.399999999999999" x14ac:dyDescent="0.35">
      <c r="A141" s="52" t="s">
        <v>39</v>
      </c>
      <c r="B141" s="53" t="s">
        <v>279</v>
      </c>
      <c r="C141" s="54"/>
      <c r="D141" s="54"/>
      <c r="E141" s="182" t="s">
        <v>476</v>
      </c>
      <c r="F141" s="182"/>
      <c r="G141" s="183"/>
    </row>
    <row r="142" spans="1:7" ht="20.399999999999999" x14ac:dyDescent="0.35">
      <c r="A142" s="52" t="s">
        <v>40</v>
      </c>
      <c r="B142" s="173" t="s">
        <v>486</v>
      </c>
      <c r="C142" s="174"/>
      <c r="D142" s="174"/>
      <c r="E142" s="174"/>
      <c r="F142" s="174"/>
      <c r="G142" s="175"/>
    </row>
    <row r="143" spans="1:7" ht="20.399999999999999" x14ac:dyDescent="0.35">
      <c r="A143" s="52" t="s">
        <v>41</v>
      </c>
      <c r="B143" s="173" t="s">
        <v>477</v>
      </c>
      <c r="C143" s="174"/>
      <c r="D143" s="174"/>
      <c r="E143" s="174"/>
      <c r="F143" s="174"/>
      <c r="G143" s="175"/>
    </row>
    <row r="144" spans="1:7" ht="20.399999999999999" x14ac:dyDescent="0.35">
      <c r="A144" s="52" t="s">
        <v>42</v>
      </c>
      <c r="B144" s="173" t="s">
        <v>236</v>
      </c>
      <c r="C144" s="174"/>
      <c r="D144" s="174"/>
      <c r="E144" s="174"/>
      <c r="F144" s="174"/>
      <c r="G144" s="175"/>
    </row>
    <row r="145" spans="1:7" ht="15" x14ac:dyDescent="0.3">
      <c r="A145" s="103" t="s">
        <v>8</v>
      </c>
      <c r="B145" s="103" t="s">
        <v>9</v>
      </c>
      <c r="C145" s="103" t="s">
        <v>10</v>
      </c>
      <c r="D145" s="103" t="s">
        <v>43</v>
      </c>
      <c r="E145" s="103" t="s">
        <v>12</v>
      </c>
      <c r="F145" s="103" t="s">
        <v>13</v>
      </c>
      <c r="G145" s="103" t="s">
        <v>14</v>
      </c>
    </row>
    <row r="146" spans="1:7" ht="46.8" x14ac:dyDescent="0.3">
      <c r="A146" s="57">
        <v>10</v>
      </c>
      <c r="B146" s="58" t="s">
        <v>112</v>
      </c>
      <c r="C146" s="58" t="s">
        <v>478</v>
      </c>
      <c r="D146" s="59"/>
      <c r="E146" s="60">
        <v>1650.66</v>
      </c>
      <c r="F146" s="67">
        <f t="shared" ref="F146:F157" si="6">A146*E146</f>
        <v>16506.600000000002</v>
      </c>
      <c r="G146" s="62"/>
    </row>
    <row r="147" spans="1:7" ht="46.8" x14ac:dyDescent="0.3">
      <c r="A147" s="63">
        <v>2</v>
      </c>
      <c r="B147" s="64" t="s">
        <v>112</v>
      </c>
      <c r="C147" s="64" t="s">
        <v>473</v>
      </c>
      <c r="D147" s="65"/>
      <c r="E147" s="66">
        <v>640.55999999999995</v>
      </c>
      <c r="F147" s="67">
        <f t="shared" si="6"/>
        <v>1281.1199999999999</v>
      </c>
      <c r="G147" s="68"/>
    </row>
    <row r="148" spans="1:7" ht="62.4" x14ac:dyDescent="0.3">
      <c r="A148" s="63">
        <v>12</v>
      </c>
      <c r="B148" s="64" t="s">
        <v>112</v>
      </c>
      <c r="C148" s="64" t="s">
        <v>474</v>
      </c>
      <c r="D148" s="65"/>
      <c r="E148" s="66">
        <v>204.79</v>
      </c>
      <c r="F148" s="67">
        <f t="shared" si="6"/>
        <v>2457.48</v>
      </c>
      <c r="G148" s="68"/>
    </row>
    <row r="149" spans="1:7" ht="46.8" x14ac:dyDescent="0.3">
      <c r="A149" s="63">
        <v>12</v>
      </c>
      <c r="B149" s="64" t="s">
        <v>112</v>
      </c>
      <c r="C149" s="64" t="s">
        <v>475</v>
      </c>
      <c r="D149" s="65"/>
      <c r="E149" s="66">
        <v>159.85</v>
      </c>
      <c r="F149" s="67">
        <f t="shared" si="6"/>
        <v>1918.1999999999998</v>
      </c>
      <c r="G149" s="68"/>
    </row>
    <row r="150" spans="1:7" ht="15.6" x14ac:dyDescent="0.3">
      <c r="A150" s="63"/>
      <c r="B150" s="64"/>
      <c r="C150" s="64"/>
      <c r="D150" s="65"/>
      <c r="E150" s="66"/>
      <c r="F150" s="67">
        <f t="shared" si="6"/>
        <v>0</v>
      </c>
      <c r="G150" s="68"/>
    </row>
    <row r="151" spans="1:7" ht="15.6" x14ac:dyDescent="0.3">
      <c r="A151" s="63"/>
      <c r="B151" s="64"/>
      <c r="C151" s="64"/>
      <c r="D151" s="65"/>
      <c r="E151" s="66"/>
      <c r="F151" s="67">
        <f t="shared" si="6"/>
        <v>0</v>
      </c>
      <c r="G151" s="68"/>
    </row>
    <row r="152" spans="1:7" ht="15.6" x14ac:dyDescent="0.3">
      <c r="A152" s="63"/>
      <c r="B152" s="64"/>
      <c r="C152" s="64"/>
      <c r="D152" s="65"/>
      <c r="E152" s="66"/>
      <c r="F152" s="67">
        <f t="shared" si="6"/>
        <v>0</v>
      </c>
      <c r="G152" s="68"/>
    </row>
    <row r="153" spans="1:7" ht="15.6" x14ac:dyDescent="0.3">
      <c r="A153" s="63"/>
      <c r="B153" s="64"/>
      <c r="C153" s="64"/>
      <c r="D153" s="65"/>
      <c r="E153" s="66"/>
      <c r="F153" s="67">
        <f t="shared" si="6"/>
        <v>0</v>
      </c>
      <c r="G153" s="68"/>
    </row>
    <row r="154" spans="1:7" ht="15.6" x14ac:dyDescent="0.3">
      <c r="A154" s="69"/>
      <c r="B154" s="64"/>
      <c r="C154" s="64"/>
      <c r="D154" s="65"/>
      <c r="E154" s="66"/>
      <c r="F154" s="67">
        <f t="shared" si="6"/>
        <v>0</v>
      </c>
      <c r="G154" s="68"/>
    </row>
    <row r="155" spans="1:7" ht="15.6" x14ac:dyDescent="0.3">
      <c r="A155" s="69"/>
      <c r="B155" s="64"/>
      <c r="C155" s="64"/>
      <c r="D155" s="65"/>
      <c r="E155" s="66"/>
      <c r="F155" s="67">
        <f t="shared" si="6"/>
        <v>0</v>
      </c>
      <c r="G155" s="68"/>
    </row>
    <row r="156" spans="1:7" ht="15.6" x14ac:dyDescent="0.3">
      <c r="A156" s="69"/>
      <c r="B156" s="64"/>
      <c r="C156" s="64"/>
      <c r="D156" s="65"/>
      <c r="E156" s="66"/>
      <c r="F156" s="67">
        <f t="shared" si="6"/>
        <v>0</v>
      </c>
      <c r="G156" s="68"/>
    </row>
    <row r="157" spans="1:7" ht="15.6" x14ac:dyDescent="0.3">
      <c r="A157" s="70"/>
      <c r="B157" s="71"/>
      <c r="C157" s="71"/>
      <c r="D157" s="72"/>
      <c r="E157" s="73"/>
      <c r="F157" s="74">
        <f t="shared" si="6"/>
        <v>0</v>
      </c>
      <c r="G157" s="75"/>
    </row>
    <row r="158" spans="1:7" ht="17.399999999999999" x14ac:dyDescent="0.3">
      <c r="A158" s="76"/>
      <c r="B158" s="77"/>
      <c r="C158" s="164" t="s">
        <v>27</v>
      </c>
      <c r="D158" s="164"/>
      <c r="E158" s="78"/>
      <c r="F158" s="79">
        <f>SUM(F146:F156)</f>
        <v>22163.4</v>
      </c>
      <c r="G158" s="80"/>
    </row>
    <row r="159" spans="1:7" ht="17.399999999999999" x14ac:dyDescent="0.3">
      <c r="A159" s="81"/>
      <c r="B159" s="82"/>
      <c r="C159" s="165" t="s">
        <v>28</v>
      </c>
      <c r="D159" s="165"/>
      <c r="E159" s="83"/>
      <c r="F159" s="84">
        <f>F158*0.16</f>
        <v>3546.1440000000002</v>
      </c>
      <c r="G159" s="85"/>
    </row>
    <row r="160" spans="1:7" ht="17.399999999999999" x14ac:dyDescent="0.3">
      <c r="A160" s="81"/>
      <c r="B160" s="82"/>
      <c r="C160" s="166" t="s">
        <v>29</v>
      </c>
      <c r="D160" s="166"/>
      <c r="E160" s="86"/>
      <c r="F160" s="87">
        <f>F158+F159</f>
        <v>25709.544000000002</v>
      </c>
      <c r="G160" s="88"/>
    </row>
    <row r="161" spans="1:7" ht="15.6" x14ac:dyDescent="0.3">
      <c r="A161" s="167" t="s">
        <v>30</v>
      </c>
      <c r="B161" s="168"/>
      <c r="C161" s="89" t="s">
        <v>31</v>
      </c>
      <c r="D161" s="89"/>
      <c r="E161" s="168" t="s">
        <v>32</v>
      </c>
      <c r="F161" s="168"/>
      <c r="G161" s="169"/>
    </row>
    <row r="162" spans="1:7" ht="15.6" x14ac:dyDescent="0.3">
      <c r="A162" s="170" t="s">
        <v>52</v>
      </c>
      <c r="B162" s="171"/>
      <c r="C162" s="104" t="s">
        <v>33</v>
      </c>
      <c r="D162" s="90"/>
      <c r="E162" s="171" t="s">
        <v>273</v>
      </c>
      <c r="F162" s="171"/>
      <c r="G162" s="172"/>
    </row>
    <row r="165" spans="1:7" ht="21" customHeight="1" x14ac:dyDescent="0.4">
      <c r="A165" s="49"/>
      <c r="B165" s="184" t="s">
        <v>45</v>
      </c>
      <c r="C165" s="185"/>
      <c r="D165" s="190" t="s">
        <v>36</v>
      </c>
      <c r="E165" s="191"/>
      <c r="F165" s="191"/>
      <c r="G165" s="192"/>
    </row>
    <row r="166" spans="1:7" ht="21" customHeight="1" x14ac:dyDescent="0.4">
      <c r="A166" s="50"/>
      <c r="B166" s="186"/>
      <c r="C166" s="187"/>
      <c r="D166" s="193" t="s">
        <v>1</v>
      </c>
      <c r="E166" s="194"/>
      <c r="F166" s="196" t="s">
        <v>487</v>
      </c>
      <c r="G166" s="177"/>
    </row>
    <row r="167" spans="1:7" ht="21" customHeight="1" x14ac:dyDescent="0.4">
      <c r="A167" s="50"/>
      <c r="B167" s="186"/>
      <c r="C167" s="187"/>
      <c r="D167" s="193" t="s">
        <v>267</v>
      </c>
      <c r="E167" s="194"/>
      <c r="F167" s="176">
        <v>20</v>
      </c>
      <c r="G167" s="177"/>
    </row>
    <row r="168" spans="1:7" ht="21" customHeight="1" x14ac:dyDescent="0.4">
      <c r="A168" s="51"/>
      <c r="B168" s="188"/>
      <c r="C168" s="189"/>
      <c r="D168" s="178" t="s">
        <v>38</v>
      </c>
      <c r="E168" s="179"/>
      <c r="F168" s="180" t="s">
        <v>493</v>
      </c>
      <c r="G168" s="181"/>
    </row>
    <row r="169" spans="1:7" ht="20.399999999999999" x14ac:dyDescent="0.35">
      <c r="A169" s="52" t="s">
        <v>39</v>
      </c>
      <c r="B169" s="53" t="s">
        <v>273</v>
      </c>
      <c r="C169" s="54"/>
      <c r="D169" s="54"/>
      <c r="E169" s="54"/>
      <c r="F169" s="54"/>
      <c r="G169" s="98"/>
    </row>
    <row r="170" spans="1:7" ht="20.399999999999999" x14ac:dyDescent="0.35">
      <c r="A170" s="52" t="s">
        <v>40</v>
      </c>
      <c r="B170" s="111" t="s">
        <v>497</v>
      </c>
      <c r="C170" s="112"/>
      <c r="D170" s="112"/>
      <c r="E170" s="112"/>
      <c r="F170" s="112"/>
      <c r="G170" s="113"/>
    </row>
    <row r="171" spans="1:7" ht="20.399999999999999" x14ac:dyDescent="0.35">
      <c r="A171" s="52" t="s">
        <v>41</v>
      </c>
      <c r="B171" s="173" t="s">
        <v>496</v>
      </c>
      <c r="C171" s="174"/>
      <c r="D171" s="174"/>
      <c r="E171" s="174"/>
      <c r="F171" s="174"/>
      <c r="G171" s="175"/>
    </row>
    <row r="172" spans="1:7" ht="20.399999999999999" x14ac:dyDescent="0.35">
      <c r="A172" s="52" t="s">
        <v>42</v>
      </c>
      <c r="B172" s="111" t="s">
        <v>252</v>
      </c>
      <c r="C172" s="112"/>
      <c r="D172" s="112"/>
      <c r="E172" s="112"/>
      <c r="F172" s="112"/>
      <c r="G172" s="113"/>
    </row>
    <row r="173" spans="1:7" ht="15" x14ac:dyDescent="0.3">
      <c r="A173" s="103" t="s">
        <v>8</v>
      </c>
      <c r="B173" s="103" t="s">
        <v>9</v>
      </c>
      <c r="C173" s="103" t="s">
        <v>10</v>
      </c>
      <c r="D173" s="103" t="s">
        <v>43</v>
      </c>
      <c r="E173" s="103" t="s">
        <v>12</v>
      </c>
      <c r="F173" s="103" t="s">
        <v>13</v>
      </c>
      <c r="G173" s="103" t="s">
        <v>14</v>
      </c>
    </row>
    <row r="174" spans="1:7" ht="15.6" x14ac:dyDescent="0.3">
      <c r="A174" s="57"/>
      <c r="B174" s="58"/>
      <c r="C174" s="58"/>
      <c r="D174" s="95"/>
      <c r="E174" s="60"/>
      <c r="F174" s="60">
        <f t="shared" ref="F174:F188" si="7">A174*E174</f>
        <v>0</v>
      </c>
      <c r="G174" s="129"/>
    </row>
    <row r="175" spans="1:7" ht="15.6" x14ac:dyDescent="0.3">
      <c r="A175" s="63"/>
      <c r="B175" s="64"/>
      <c r="C175" s="64"/>
      <c r="D175" s="96"/>
      <c r="E175" s="66"/>
      <c r="F175" s="66">
        <f t="shared" si="7"/>
        <v>0</v>
      </c>
      <c r="G175" s="129"/>
    </row>
    <row r="176" spans="1:7" ht="31.2" x14ac:dyDescent="0.3">
      <c r="A176" s="63">
        <v>10</v>
      </c>
      <c r="B176" s="64" t="s">
        <v>488</v>
      </c>
      <c r="C176" s="64" t="s">
        <v>489</v>
      </c>
      <c r="D176" s="96" t="s">
        <v>490</v>
      </c>
      <c r="E176" s="66">
        <v>96.82</v>
      </c>
      <c r="F176" s="66">
        <f t="shared" si="7"/>
        <v>968.19999999999993</v>
      </c>
      <c r="G176" s="129"/>
    </row>
    <row r="177" spans="1:7" ht="15.6" x14ac:dyDescent="0.3">
      <c r="A177" s="63">
        <v>12</v>
      </c>
      <c r="B177" s="130" t="s">
        <v>488</v>
      </c>
      <c r="C177" s="130" t="s">
        <v>491</v>
      </c>
      <c r="D177" s="96" t="s">
        <v>492</v>
      </c>
      <c r="E177" s="66">
        <v>219.26</v>
      </c>
      <c r="F177" s="66">
        <f t="shared" si="7"/>
        <v>2631.12</v>
      </c>
      <c r="G177" s="68"/>
    </row>
    <row r="178" spans="1:7" ht="46.8" x14ac:dyDescent="0.3">
      <c r="A178" s="63">
        <v>12</v>
      </c>
      <c r="B178" s="130" t="s">
        <v>112</v>
      </c>
      <c r="C178" s="130" t="s">
        <v>494</v>
      </c>
      <c r="D178" s="96"/>
      <c r="E178" s="66">
        <v>90.23</v>
      </c>
      <c r="F178" s="66">
        <f>A178*E178</f>
        <v>1082.76</v>
      </c>
      <c r="G178" s="68"/>
    </row>
    <row r="179" spans="1:7" ht="31.2" x14ac:dyDescent="0.3">
      <c r="A179" s="63">
        <v>10</v>
      </c>
      <c r="B179" s="130" t="s">
        <v>112</v>
      </c>
      <c r="C179" s="130" t="s">
        <v>495</v>
      </c>
      <c r="D179" s="96"/>
      <c r="E179" s="66">
        <v>19.239999999999998</v>
      </c>
      <c r="F179" s="66">
        <f>A179*E179</f>
        <v>192.39999999999998</v>
      </c>
      <c r="G179" s="68"/>
    </row>
    <row r="180" spans="1:7" ht="15.6" x14ac:dyDescent="0.3">
      <c r="A180" s="63"/>
      <c r="B180" s="130"/>
      <c r="C180" s="130"/>
      <c r="D180" s="96"/>
      <c r="E180" s="66"/>
      <c r="F180" s="66">
        <f t="shared" si="7"/>
        <v>0</v>
      </c>
      <c r="G180" s="68"/>
    </row>
    <row r="181" spans="1:7" ht="15.6" x14ac:dyDescent="0.3">
      <c r="A181" s="69"/>
      <c r="B181" s="130"/>
      <c r="C181" s="130"/>
      <c r="D181" s="96"/>
      <c r="E181" s="66"/>
      <c r="F181" s="66">
        <f t="shared" si="7"/>
        <v>0</v>
      </c>
      <c r="G181" s="68"/>
    </row>
    <row r="182" spans="1:7" ht="15.6" x14ac:dyDescent="0.3">
      <c r="A182" s="69"/>
      <c r="B182" s="130"/>
      <c r="C182" s="130"/>
      <c r="D182" s="135"/>
      <c r="E182" s="66"/>
      <c r="F182" s="66">
        <f t="shared" si="7"/>
        <v>0</v>
      </c>
      <c r="G182" s="68"/>
    </row>
    <row r="183" spans="1:7" ht="15.6" x14ac:dyDescent="0.3">
      <c r="A183" s="69"/>
      <c r="B183" s="64"/>
      <c r="C183" s="64"/>
      <c r="D183" s="65"/>
      <c r="E183" s="66"/>
      <c r="F183" s="66">
        <f t="shared" si="7"/>
        <v>0</v>
      </c>
      <c r="G183" s="68"/>
    </row>
    <row r="184" spans="1:7" ht="15.6" x14ac:dyDescent="0.3">
      <c r="A184" s="69"/>
      <c r="B184" s="64"/>
      <c r="C184" s="64"/>
      <c r="D184" s="65"/>
      <c r="E184" s="66"/>
      <c r="F184" s="66">
        <f t="shared" si="7"/>
        <v>0</v>
      </c>
      <c r="G184" s="68"/>
    </row>
    <row r="185" spans="1:7" ht="15.6" x14ac:dyDescent="0.3">
      <c r="A185" s="69"/>
      <c r="B185" s="64"/>
      <c r="C185" s="64"/>
      <c r="D185" s="65"/>
      <c r="E185" s="66"/>
      <c r="F185" s="66">
        <f t="shared" si="7"/>
        <v>0</v>
      </c>
      <c r="G185" s="68"/>
    </row>
    <row r="186" spans="1:7" ht="15.6" x14ac:dyDescent="0.3">
      <c r="A186" s="69"/>
      <c r="B186" s="64"/>
      <c r="C186" s="64"/>
      <c r="D186" s="65"/>
      <c r="E186" s="66"/>
      <c r="F186" s="66">
        <f t="shared" si="7"/>
        <v>0</v>
      </c>
      <c r="G186" s="68"/>
    </row>
    <row r="187" spans="1:7" ht="15.6" x14ac:dyDescent="0.3">
      <c r="A187" s="69"/>
      <c r="B187" s="64"/>
      <c r="C187" s="64"/>
      <c r="D187" s="65"/>
      <c r="E187" s="66"/>
      <c r="F187" s="66">
        <f t="shared" si="7"/>
        <v>0</v>
      </c>
      <c r="G187" s="68"/>
    </row>
    <row r="188" spans="1:7" ht="15.6" x14ac:dyDescent="0.3">
      <c r="A188" s="70"/>
      <c r="B188" s="71"/>
      <c r="C188" s="71"/>
      <c r="D188" s="72"/>
      <c r="E188" s="73"/>
      <c r="F188" s="73">
        <f t="shared" si="7"/>
        <v>0</v>
      </c>
      <c r="G188" s="75"/>
    </row>
    <row r="189" spans="1:7" ht="17.399999999999999" x14ac:dyDescent="0.3">
      <c r="A189" s="76"/>
      <c r="B189" s="77"/>
      <c r="C189" s="114" t="s">
        <v>27</v>
      </c>
      <c r="D189" s="114"/>
      <c r="E189" s="78"/>
      <c r="F189" s="79">
        <f>SUM(F174:F187)</f>
        <v>4874.4799999999996</v>
      </c>
      <c r="G189" s="80"/>
    </row>
    <row r="190" spans="1:7" ht="17.399999999999999" x14ac:dyDescent="0.3">
      <c r="A190" s="81"/>
      <c r="B190" s="82"/>
      <c r="C190" s="106" t="s">
        <v>28</v>
      </c>
      <c r="D190" s="106"/>
      <c r="E190" s="83"/>
      <c r="F190" s="84">
        <f>F189*0.16</f>
        <v>779.91679999999997</v>
      </c>
      <c r="G190" s="85"/>
    </row>
    <row r="191" spans="1:7" ht="17.399999999999999" x14ac:dyDescent="0.3">
      <c r="A191" s="81"/>
      <c r="B191" s="82"/>
      <c r="C191" s="107" t="s">
        <v>29</v>
      </c>
      <c r="D191" s="107"/>
      <c r="E191" s="86"/>
      <c r="F191" s="87">
        <f>F189+F190</f>
        <v>5654.3967999999995</v>
      </c>
      <c r="G191" s="88"/>
    </row>
    <row r="192" spans="1:7" ht="15.6" x14ac:dyDescent="0.3">
      <c r="A192" s="108" t="s">
        <v>30</v>
      </c>
      <c r="B192" s="89"/>
      <c r="C192" s="89" t="s">
        <v>31</v>
      </c>
      <c r="D192" s="89"/>
      <c r="E192" s="89" t="s">
        <v>32</v>
      </c>
      <c r="F192" s="89"/>
      <c r="G192" s="109"/>
    </row>
    <row r="193" spans="1:7" ht="15.6" x14ac:dyDescent="0.3">
      <c r="A193" s="134" t="s">
        <v>467</v>
      </c>
      <c r="B193" s="90"/>
      <c r="C193" s="90" t="s">
        <v>33</v>
      </c>
      <c r="D193" s="90"/>
      <c r="E193" s="90" t="s">
        <v>354</v>
      </c>
      <c r="F193" s="90"/>
      <c r="G193" s="110"/>
    </row>
    <row r="196" spans="1:7" ht="21" x14ac:dyDescent="0.4">
      <c r="A196" s="49"/>
      <c r="B196" s="184" t="s">
        <v>45</v>
      </c>
      <c r="C196" s="185"/>
      <c r="D196" s="190" t="s">
        <v>36</v>
      </c>
      <c r="E196" s="191"/>
      <c r="F196" s="191"/>
      <c r="G196" s="192"/>
    </row>
    <row r="197" spans="1:7" ht="21" x14ac:dyDescent="0.4">
      <c r="A197" s="50"/>
      <c r="B197" s="186"/>
      <c r="C197" s="187"/>
      <c r="D197" s="193" t="s">
        <v>1</v>
      </c>
      <c r="E197" s="194"/>
      <c r="F197" s="195" t="s">
        <v>487</v>
      </c>
      <c r="G197" s="177"/>
    </row>
    <row r="198" spans="1:7" ht="21" x14ac:dyDescent="0.4">
      <c r="A198" s="50"/>
      <c r="B198" s="186"/>
      <c r="C198" s="187"/>
      <c r="D198" s="193" t="s">
        <v>267</v>
      </c>
      <c r="E198" s="194"/>
      <c r="F198" s="176">
        <v>20</v>
      </c>
      <c r="G198" s="177"/>
    </row>
    <row r="199" spans="1:7" ht="21" x14ac:dyDescent="0.4">
      <c r="A199" s="51"/>
      <c r="B199" s="188"/>
      <c r="C199" s="189"/>
      <c r="D199" s="178" t="s">
        <v>38</v>
      </c>
      <c r="E199" s="179"/>
      <c r="F199" s="180" t="s">
        <v>500</v>
      </c>
      <c r="G199" s="181"/>
    </row>
    <row r="200" spans="1:7" ht="20.399999999999999" x14ac:dyDescent="0.35">
      <c r="A200" s="52" t="s">
        <v>39</v>
      </c>
      <c r="B200" s="53" t="s">
        <v>279</v>
      </c>
      <c r="C200" s="54"/>
      <c r="D200" s="54"/>
      <c r="E200" s="182"/>
      <c r="F200" s="182"/>
      <c r="G200" s="183"/>
    </row>
    <row r="201" spans="1:7" ht="20.399999999999999" x14ac:dyDescent="0.35">
      <c r="A201" s="52" t="s">
        <v>40</v>
      </c>
      <c r="B201" s="173"/>
      <c r="C201" s="174"/>
      <c r="D201" s="174"/>
      <c r="E201" s="174"/>
      <c r="F201" s="174"/>
      <c r="G201" s="175"/>
    </row>
    <row r="202" spans="1:7" ht="20.399999999999999" x14ac:dyDescent="0.35">
      <c r="A202" s="52" t="s">
        <v>41</v>
      </c>
      <c r="B202" s="173" t="s">
        <v>505</v>
      </c>
      <c r="C202" s="174"/>
      <c r="D202" s="174"/>
      <c r="E202" s="174"/>
      <c r="F202" s="174"/>
      <c r="G202" s="175"/>
    </row>
    <row r="203" spans="1:7" ht="20.399999999999999" x14ac:dyDescent="0.35">
      <c r="A203" s="52" t="s">
        <v>42</v>
      </c>
      <c r="B203" s="173" t="s">
        <v>7</v>
      </c>
      <c r="C203" s="174"/>
      <c r="D203" s="174"/>
      <c r="E203" s="174"/>
      <c r="F203" s="174"/>
      <c r="G203" s="175"/>
    </row>
    <row r="204" spans="1:7" ht="15" x14ac:dyDescent="0.3">
      <c r="A204" s="103" t="s">
        <v>8</v>
      </c>
      <c r="B204" s="103" t="s">
        <v>9</v>
      </c>
      <c r="C204" s="103" t="s">
        <v>10</v>
      </c>
      <c r="D204" s="103" t="s">
        <v>43</v>
      </c>
      <c r="E204" s="103" t="s">
        <v>12</v>
      </c>
      <c r="F204" s="103" t="s">
        <v>13</v>
      </c>
      <c r="G204" s="103" t="s">
        <v>14</v>
      </c>
    </row>
    <row r="205" spans="1:7" ht="15.6" x14ac:dyDescent="0.3">
      <c r="A205" s="57">
        <v>75</v>
      </c>
      <c r="B205" s="58" t="s">
        <v>65</v>
      </c>
      <c r="C205" s="58" t="s">
        <v>499</v>
      </c>
      <c r="D205" s="59"/>
      <c r="E205" s="60">
        <v>105</v>
      </c>
      <c r="F205" s="61">
        <f t="shared" ref="F205:F214" si="8">A205*E205</f>
        <v>7875</v>
      </c>
      <c r="G205" s="62"/>
    </row>
    <row r="206" spans="1:7" ht="15.6" x14ac:dyDescent="0.3">
      <c r="A206" s="63"/>
      <c r="B206" s="64"/>
      <c r="C206" s="64"/>
      <c r="D206" s="65"/>
      <c r="E206" s="66"/>
      <c r="F206" s="67">
        <f t="shared" si="8"/>
        <v>0</v>
      </c>
      <c r="G206" s="68"/>
    </row>
    <row r="207" spans="1:7" ht="15.6" x14ac:dyDescent="0.3">
      <c r="A207" s="63"/>
      <c r="B207" s="64"/>
      <c r="C207" s="64"/>
      <c r="D207" s="65"/>
      <c r="E207" s="66"/>
      <c r="F207" s="67">
        <f t="shared" si="8"/>
        <v>0</v>
      </c>
      <c r="G207" s="68"/>
    </row>
    <row r="208" spans="1:7" ht="15.6" x14ac:dyDescent="0.3">
      <c r="A208" s="63"/>
      <c r="B208" s="64"/>
      <c r="C208" s="64"/>
      <c r="D208" s="65"/>
      <c r="E208" s="66"/>
      <c r="F208" s="67">
        <f t="shared" si="8"/>
        <v>0</v>
      </c>
      <c r="G208" s="68"/>
    </row>
    <row r="209" spans="1:7" ht="15.6" x14ac:dyDescent="0.3">
      <c r="A209" s="69"/>
      <c r="B209" s="64"/>
      <c r="C209" s="64"/>
      <c r="D209" s="65"/>
      <c r="E209" s="66"/>
      <c r="F209" s="67">
        <f t="shared" si="8"/>
        <v>0</v>
      </c>
      <c r="G209" s="68"/>
    </row>
    <row r="210" spans="1:7" ht="15.6" x14ac:dyDescent="0.3">
      <c r="A210" s="69"/>
      <c r="B210" s="64"/>
      <c r="C210" s="64"/>
      <c r="D210" s="65"/>
      <c r="E210" s="66"/>
      <c r="F210" s="67">
        <f t="shared" si="8"/>
        <v>0</v>
      </c>
      <c r="G210" s="68"/>
    </row>
    <row r="211" spans="1:7" ht="15.6" x14ac:dyDescent="0.3">
      <c r="A211" s="69"/>
      <c r="B211" s="64"/>
      <c r="C211" s="64"/>
      <c r="D211" s="65"/>
      <c r="E211" s="66"/>
      <c r="F211" s="67">
        <f t="shared" si="8"/>
        <v>0</v>
      </c>
      <c r="G211" s="68"/>
    </row>
    <row r="212" spans="1:7" ht="15.6" x14ac:dyDescent="0.3">
      <c r="A212" s="69"/>
      <c r="B212" s="64"/>
      <c r="C212" s="64"/>
      <c r="D212" s="65"/>
      <c r="E212" s="66"/>
      <c r="F212" s="67">
        <f t="shared" si="8"/>
        <v>0</v>
      </c>
      <c r="G212" s="68"/>
    </row>
    <row r="213" spans="1:7" ht="15.6" x14ac:dyDescent="0.3">
      <c r="A213" s="69"/>
      <c r="B213" s="64"/>
      <c r="C213" s="64"/>
      <c r="D213" s="65"/>
      <c r="E213" s="66"/>
      <c r="F213" s="67">
        <f t="shared" si="8"/>
        <v>0</v>
      </c>
      <c r="G213" s="68"/>
    </row>
    <row r="214" spans="1:7" ht="15.6" x14ac:dyDescent="0.3">
      <c r="A214" s="70"/>
      <c r="B214" s="71"/>
      <c r="C214" s="71"/>
      <c r="D214" s="72"/>
      <c r="E214" s="73"/>
      <c r="F214" s="74">
        <f t="shared" si="8"/>
        <v>0</v>
      </c>
      <c r="G214" s="75"/>
    </row>
    <row r="215" spans="1:7" ht="17.399999999999999" x14ac:dyDescent="0.3">
      <c r="A215" s="76"/>
      <c r="B215" s="77"/>
      <c r="C215" s="164" t="s">
        <v>27</v>
      </c>
      <c r="D215" s="164"/>
      <c r="E215" s="78"/>
      <c r="F215" s="79">
        <f>SUM(F205:F213)</f>
        <v>7875</v>
      </c>
      <c r="G215" s="80"/>
    </row>
    <row r="216" spans="1:7" ht="17.399999999999999" x14ac:dyDescent="0.3">
      <c r="A216" s="81"/>
      <c r="B216" s="82"/>
      <c r="C216" s="165" t="s">
        <v>28</v>
      </c>
      <c r="D216" s="165"/>
      <c r="E216" s="83"/>
      <c r="F216" s="84">
        <f>F215*0.16</f>
        <v>1260</v>
      </c>
      <c r="G216" s="85"/>
    </row>
    <row r="217" spans="1:7" ht="17.399999999999999" x14ac:dyDescent="0.3">
      <c r="A217" s="81"/>
      <c r="B217" s="82"/>
      <c r="C217" s="166" t="s">
        <v>29</v>
      </c>
      <c r="D217" s="166"/>
      <c r="E217" s="86"/>
      <c r="F217" s="87">
        <f>F215+F216</f>
        <v>9135</v>
      </c>
      <c r="G217" s="88"/>
    </row>
    <row r="218" spans="1:7" ht="15.6" x14ac:dyDescent="0.3">
      <c r="A218" s="167" t="s">
        <v>30</v>
      </c>
      <c r="B218" s="168"/>
      <c r="C218" s="89" t="s">
        <v>31</v>
      </c>
      <c r="D218" s="89"/>
      <c r="E218" s="168" t="s">
        <v>32</v>
      </c>
      <c r="F218" s="168"/>
      <c r="G218" s="169"/>
    </row>
    <row r="219" spans="1:7" ht="15.6" x14ac:dyDescent="0.3">
      <c r="A219" s="170" t="s">
        <v>444</v>
      </c>
      <c r="B219" s="171"/>
      <c r="C219" s="104" t="s">
        <v>33</v>
      </c>
      <c r="D219" s="90"/>
      <c r="E219" s="171" t="s">
        <v>273</v>
      </c>
      <c r="F219" s="171"/>
      <c r="G219" s="172"/>
    </row>
    <row r="223" spans="1:7" ht="21" x14ac:dyDescent="0.4">
      <c r="A223" s="49"/>
      <c r="B223" s="184" t="s">
        <v>45</v>
      </c>
      <c r="C223" s="185"/>
      <c r="D223" s="190" t="s">
        <v>36</v>
      </c>
      <c r="E223" s="191"/>
      <c r="F223" s="191"/>
      <c r="G223" s="192"/>
    </row>
    <row r="224" spans="1:7" ht="21" x14ac:dyDescent="0.4">
      <c r="A224" s="50"/>
      <c r="B224" s="186"/>
      <c r="C224" s="187"/>
      <c r="D224" s="193" t="s">
        <v>1</v>
      </c>
      <c r="E224" s="194"/>
      <c r="F224" s="195" t="s">
        <v>487</v>
      </c>
      <c r="G224" s="177"/>
    </row>
    <row r="225" spans="1:7" ht="21" x14ac:dyDescent="0.4">
      <c r="A225" s="50"/>
      <c r="B225" s="186"/>
      <c r="C225" s="187"/>
      <c r="D225" s="193" t="s">
        <v>267</v>
      </c>
      <c r="E225" s="194"/>
      <c r="F225" s="176">
        <v>20</v>
      </c>
      <c r="G225" s="177"/>
    </row>
    <row r="226" spans="1:7" ht="21" x14ac:dyDescent="0.4">
      <c r="A226" s="51"/>
      <c r="B226" s="188"/>
      <c r="C226" s="189"/>
      <c r="D226" s="178" t="s">
        <v>38</v>
      </c>
      <c r="E226" s="179"/>
      <c r="F226" s="180" t="s">
        <v>501</v>
      </c>
      <c r="G226" s="181"/>
    </row>
    <row r="227" spans="1:7" ht="20.399999999999999" x14ac:dyDescent="0.35">
      <c r="A227" s="52" t="s">
        <v>39</v>
      </c>
      <c r="B227" s="53" t="s">
        <v>273</v>
      </c>
      <c r="C227" s="54"/>
      <c r="D227" s="54"/>
      <c r="E227" s="182" t="s">
        <v>506</v>
      </c>
      <c r="F227" s="182"/>
      <c r="G227" s="183"/>
    </row>
    <row r="228" spans="1:7" ht="20.399999999999999" x14ac:dyDescent="0.35">
      <c r="A228" s="52" t="s">
        <v>40</v>
      </c>
      <c r="B228" s="173"/>
      <c r="C228" s="174"/>
      <c r="D228" s="174"/>
      <c r="E228" s="174"/>
      <c r="F228" s="174"/>
      <c r="G228" s="175"/>
    </row>
    <row r="229" spans="1:7" ht="20.399999999999999" x14ac:dyDescent="0.35">
      <c r="A229" s="52" t="s">
        <v>41</v>
      </c>
      <c r="B229" s="173" t="s">
        <v>272</v>
      </c>
      <c r="C229" s="174"/>
      <c r="D229" s="174"/>
      <c r="E229" s="174"/>
      <c r="F229" s="174"/>
      <c r="G229" s="175"/>
    </row>
    <row r="230" spans="1:7" ht="20.399999999999999" x14ac:dyDescent="0.35">
      <c r="A230" s="52" t="s">
        <v>42</v>
      </c>
      <c r="B230" s="173" t="s">
        <v>280</v>
      </c>
      <c r="C230" s="174"/>
      <c r="D230" s="174"/>
      <c r="E230" s="174"/>
      <c r="F230" s="174"/>
      <c r="G230" s="175"/>
    </row>
    <row r="231" spans="1:7" ht="15" x14ac:dyDescent="0.3">
      <c r="A231" s="103" t="s">
        <v>8</v>
      </c>
      <c r="B231" s="103" t="s">
        <v>9</v>
      </c>
      <c r="C231" s="103" t="s">
        <v>10</v>
      </c>
      <c r="D231" s="103" t="s">
        <v>43</v>
      </c>
      <c r="E231" s="103" t="s">
        <v>12</v>
      </c>
      <c r="F231" s="103" t="s">
        <v>13</v>
      </c>
      <c r="G231" s="103" t="s">
        <v>14</v>
      </c>
    </row>
    <row r="232" spans="1:7" ht="15.6" x14ac:dyDescent="0.3">
      <c r="A232" s="57">
        <v>6</v>
      </c>
      <c r="B232" s="58" t="s">
        <v>281</v>
      </c>
      <c r="C232" s="58" t="s">
        <v>282</v>
      </c>
      <c r="D232" s="59"/>
      <c r="E232" s="60">
        <v>1447.03</v>
      </c>
      <c r="F232" s="61">
        <f t="shared" ref="F232:F241" si="9">A232*E232</f>
        <v>8682.18</v>
      </c>
      <c r="G232" s="62"/>
    </row>
    <row r="233" spans="1:7" ht="15.6" x14ac:dyDescent="0.3">
      <c r="A233" s="63">
        <v>4</v>
      </c>
      <c r="B233" s="64" t="s">
        <v>281</v>
      </c>
      <c r="C233" s="64" t="s">
        <v>502</v>
      </c>
      <c r="D233" s="65"/>
      <c r="E233" s="66">
        <v>1735.62</v>
      </c>
      <c r="F233" s="67">
        <f t="shared" si="9"/>
        <v>6942.48</v>
      </c>
      <c r="G233" s="68"/>
    </row>
    <row r="234" spans="1:7" ht="31.2" x14ac:dyDescent="0.3">
      <c r="A234" s="63">
        <v>3</v>
      </c>
      <c r="B234" s="64" t="s">
        <v>288</v>
      </c>
      <c r="C234" s="64" t="s">
        <v>285</v>
      </c>
      <c r="D234" s="65"/>
      <c r="E234" s="66">
        <v>148.58000000000001</v>
      </c>
      <c r="F234" s="67">
        <f t="shared" si="9"/>
        <v>445.74</v>
      </c>
      <c r="G234" s="68"/>
    </row>
    <row r="235" spans="1:7" ht="15.6" x14ac:dyDescent="0.3">
      <c r="A235" s="63">
        <v>2</v>
      </c>
      <c r="B235" s="64" t="s">
        <v>503</v>
      </c>
      <c r="C235" s="64" t="s">
        <v>504</v>
      </c>
      <c r="D235" s="65"/>
      <c r="E235" s="66">
        <v>84.57</v>
      </c>
      <c r="F235" s="67">
        <f t="shared" si="9"/>
        <v>169.14</v>
      </c>
      <c r="G235" s="68"/>
    </row>
    <row r="236" spans="1:7" ht="15.6" x14ac:dyDescent="0.3">
      <c r="A236" s="69"/>
      <c r="B236" s="64"/>
      <c r="C236" s="64"/>
      <c r="D236" s="65"/>
      <c r="E236" s="66"/>
      <c r="F236" s="67">
        <f t="shared" si="9"/>
        <v>0</v>
      </c>
      <c r="G236" s="68"/>
    </row>
    <row r="237" spans="1:7" ht="15.6" x14ac:dyDescent="0.3">
      <c r="A237" s="69"/>
      <c r="B237" s="64"/>
      <c r="C237" s="64"/>
      <c r="D237" s="65"/>
      <c r="E237" s="66"/>
      <c r="F237" s="67">
        <f t="shared" si="9"/>
        <v>0</v>
      </c>
      <c r="G237" s="68"/>
    </row>
    <row r="238" spans="1:7" ht="15.6" x14ac:dyDescent="0.3">
      <c r="A238" s="69"/>
      <c r="B238" s="64"/>
      <c r="C238" s="64"/>
      <c r="D238" s="65"/>
      <c r="E238" s="66"/>
      <c r="F238" s="67">
        <f t="shared" si="9"/>
        <v>0</v>
      </c>
      <c r="G238" s="68"/>
    </row>
    <row r="239" spans="1:7" ht="15.6" x14ac:dyDescent="0.3">
      <c r="A239" s="69"/>
      <c r="B239" s="64"/>
      <c r="C239" s="64"/>
      <c r="D239" s="65"/>
      <c r="E239" s="66"/>
      <c r="F239" s="67">
        <f t="shared" si="9"/>
        <v>0</v>
      </c>
      <c r="G239" s="68"/>
    </row>
    <row r="240" spans="1:7" ht="15.6" x14ac:dyDescent="0.3">
      <c r="A240" s="69"/>
      <c r="B240" s="64"/>
      <c r="C240" s="64"/>
      <c r="D240" s="65"/>
      <c r="E240" s="66"/>
      <c r="F240" s="67">
        <f t="shared" si="9"/>
        <v>0</v>
      </c>
      <c r="G240" s="68"/>
    </row>
    <row r="241" spans="1:7" ht="15.6" x14ac:dyDescent="0.3">
      <c r="A241" s="70"/>
      <c r="B241" s="71"/>
      <c r="C241" s="71"/>
      <c r="D241" s="72"/>
      <c r="E241" s="73"/>
      <c r="F241" s="74">
        <f t="shared" si="9"/>
        <v>0</v>
      </c>
      <c r="G241" s="75"/>
    </row>
    <row r="242" spans="1:7" ht="17.399999999999999" x14ac:dyDescent="0.3">
      <c r="A242" s="76"/>
      <c r="B242" s="77"/>
      <c r="C242" s="164" t="s">
        <v>27</v>
      </c>
      <c r="D242" s="164"/>
      <c r="E242" s="78"/>
      <c r="F242" s="79">
        <f>SUM(F232:F240)</f>
        <v>16239.539999999999</v>
      </c>
      <c r="G242" s="80"/>
    </row>
    <row r="243" spans="1:7" ht="17.399999999999999" x14ac:dyDescent="0.3">
      <c r="A243" s="81"/>
      <c r="B243" s="82"/>
      <c r="C243" s="165" t="s">
        <v>28</v>
      </c>
      <c r="D243" s="165"/>
      <c r="E243" s="83"/>
      <c r="F243" s="84">
        <f>F242*0.16</f>
        <v>2598.3263999999999</v>
      </c>
      <c r="G243" s="85"/>
    </row>
    <row r="244" spans="1:7" ht="17.399999999999999" x14ac:dyDescent="0.3">
      <c r="A244" s="81"/>
      <c r="B244" s="82"/>
      <c r="C244" s="166" t="s">
        <v>29</v>
      </c>
      <c r="D244" s="166"/>
      <c r="E244" s="86"/>
      <c r="F244" s="87">
        <f>F242+F243</f>
        <v>18837.866399999999</v>
      </c>
      <c r="G244" s="88"/>
    </row>
    <row r="245" spans="1:7" ht="15.6" x14ac:dyDescent="0.3">
      <c r="A245" s="167" t="s">
        <v>30</v>
      </c>
      <c r="B245" s="168"/>
      <c r="C245" s="89" t="s">
        <v>31</v>
      </c>
      <c r="D245" s="89"/>
      <c r="E245" s="168" t="s">
        <v>32</v>
      </c>
      <c r="F245" s="168"/>
      <c r="G245" s="169"/>
    </row>
    <row r="246" spans="1:7" ht="15.6" x14ac:dyDescent="0.3">
      <c r="A246" s="170" t="s">
        <v>467</v>
      </c>
      <c r="B246" s="171"/>
      <c r="C246" s="104" t="s">
        <v>33</v>
      </c>
      <c r="D246" s="90"/>
      <c r="E246" s="171" t="s">
        <v>273</v>
      </c>
      <c r="F246" s="171"/>
      <c r="G246" s="172"/>
    </row>
    <row r="250" spans="1:7" ht="21" x14ac:dyDescent="0.4">
      <c r="A250" s="49"/>
      <c r="B250" s="184" t="s">
        <v>45</v>
      </c>
      <c r="C250" s="185"/>
      <c r="D250" s="190" t="s">
        <v>36</v>
      </c>
      <c r="E250" s="191"/>
      <c r="F250" s="191"/>
      <c r="G250" s="192"/>
    </row>
    <row r="251" spans="1:7" ht="21" x14ac:dyDescent="0.4">
      <c r="A251" s="50"/>
      <c r="B251" s="186"/>
      <c r="C251" s="187"/>
      <c r="D251" s="193" t="s">
        <v>1</v>
      </c>
      <c r="E251" s="194"/>
      <c r="F251" s="196" t="s">
        <v>487</v>
      </c>
      <c r="G251" s="177"/>
    </row>
    <row r="252" spans="1:7" ht="21" x14ac:dyDescent="0.4">
      <c r="A252" s="50"/>
      <c r="B252" s="186"/>
      <c r="C252" s="187"/>
      <c r="D252" s="193" t="s">
        <v>267</v>
      </c>
      <c r="E252" s="194"/>
      <c r="F252" s="176">
        <v>20</v>
      </c>
      <c r="G252" s="177"/>
    </row>
    <row r="253" spans="1:7" ht="21" x14ac:dyDescent="0.4">
      <c r="A253" s="51"/>
      <c r="B253" s="188"/>
      <c r="C253" s="189"/>
      <c r="D253" s="178" t="s">
        <v>38</v>
      </c>
      <c r="E253" s="179"/>
      <c r="F253" s="180" t="s">
        <v>509</v>
      </c>
      <c r="G253" s="181"/>
    </row>
    <row r="254" spans="1:7" ht="20.399999999999999" x14ac:dyDescent="0.35">
      <c r="A254" s="52" t="s">
        <v>39</v>
      </c>
      <c r="B254" s="53" t="s">
        <v>273</v>
      </c>
      <c r="C254" s="54"/>
      <c r="D254" s="54"/>
      <c r="E254" s="54"/>
      <c r="F254" s="54"/>
      <c r="G254" s="98"/>
    </row>
    <row r="255" spans="1:7" ht="20.399999999999999" x14ac:dyDescent="0.35">
      <c r="A255" s="52" t="s">
        <v>40</v>
      </c>
      <c r="B255" s="111" t="s">
        <v>510</v>
      </c>
      <c r="C255" s="112"/>
      <c r="D255" s="112"/>
      <c r="E255" s="112"/>
      <c r="F255" s="112"/>
      <c r="G255" s="113"/>
    </row>
    <row r="256" spans="1:7" ht="20.399999999999999" x14ac:dyDescent="0.35">
      <c r="A256" s="52" t="s">
        <v>41</v>
      </c>
      <c r="B256" s="173"/>
      <c r="C256" s="174"/>
      <c r="D256" s="174"/>
      <c r="E256" s="174"/>
      <c r="F256" s="174"/>
      <c r="G256" s="175"/>
    </row>
    <row r="257" spans="1:7" ht="20.399999999999999" x14ac:dyDescent="0.35">
      <c r="A257" s="52" t="s">
        <v>42</v>
      </c>
      <c r="B257" s="111" t="s">
        <v>252</v>
      </c>
      <c r="C257" s="112"/>
      <c r="D257" s="112"/>
      <c r="E257" s="112"/>
      <c r="F257" s="112"/>
      <c r="G257" s="113"/>
    </row>
    <row r="258" spans="1:7" ht="15" x14ac:dyDescent="0.3">
      <c r="A258" s="103" t="s">
        <v>8</v>
      </c>
      <c r="B258" s="103" t="s">
        <v>9</v>
      </c>
      <c r="C258" s="103" t="s">
        <v>10</v>
      </c>
      <c r="D258" s="103" t="s">
        <v>43</v>
      </c>
      <c r="E258" s="103" t="s">
        <v>12</v>
      </c>
      <c r="F258" s="103" t="s">
        <v>13</v>
      </c>
      <c r="G258" s="103" t="s">
        <v>14</v>
      </c>
    </row>
    <row r="259" spans="1:7" ht="15.6" x14ac:dyDescent="0.3">
      <c r="A259" s="57"/>
      <c r="B259" s="58"/>
      <c r="C259" s="58"/>
      <c r="D259" s="95"/>
      <c r="E259" s="60"/>
      <c r="F259" s="60">
        <f t="shared" ref="F259:F262" si="10">A259*E259</f>
        <v>0</v>
      </c>
      <c r="G259" s="129"/>
    </row>
    <row r="260" spans="1:7" ht="31.2" x14ac:dyDescent="0.3">
      <c r="A260" s="63">
        <v>17</v>
      </c>
      <c r="B260" s="64" t="s">
        <v>112</v>
      </c>
      <c r="C260" s="64" t="s">
        <v>507</v>
      </c>
      <c r="D260" s="96" t="s">
        <v>508</v>
      </c>
      <c r="E260" s="66">
        <v>459.67</v>
      </c>
      <c r="F260" s="66">
        <f t="shared" si="10"/>
        <v>7814.39</v>
      </c>
      <c r="G260" s="129"/>
    </row>
    <row r="261" spans="1:7" ht="15.6" x14ac:dyDescent="0.3">
      <c r="A261" s="63"/>
      <c r="B261" s="64"/>
      <c r="C261" s="64"/>
      <c r="D261" s="96"/>
      <c r="E261" s="66"/>
      <c r="F261" s="66">
        <f t="shared" si="10"/>
        <v>0</v>
      </c>
      <c r="G261" s="129"/>
    </row>
    <row r="262" spans="1:7" ht="15.6" x14ac:dyDescent="0.3">
      <c r="A262" s="63"/>
      <c r="B262" s="130"/>
      <c r="C262" s="130"/>
      <c r="D262" s="96"/>
      <c r="E262" s="66"/>
      <c r="F262" s="66">
        <f t="shared" si="10"/>
        <v>0</v>
      </c>
      <c r="G262" s="68"/>
    </row>
    <row r="263" spans="1:7" ht="15.6" x14ac:dyDescent="0.3">
      <c r="A263" s="63"/>
      <c r="B263" s="130"/>
      <c r="C263" s="130"/>
      <c r="D263" s="96"/>
      <c r="E263" s="66"/>
      <c r="F263" s="66">
        <f>A263*E263</f>
        <v>0</v>
      </c>
      <c r="G263" s="68"/>
    </row>
    <row r="264" spans="1:7" ht="15.6" x14ac:dyDescent="0.3">
      <c r="A264" s="63"/>
      <c r="B264" s="130"/>
      <c r="C264" s="130"/>
      <c r="D264" s="96"/>
      <c r="E264" s="66"/>
      <c r="F264" s="66">
        <f>A264*E264</f>
        <v>0</v>
      </c>
      <c r="G264" s="68"/>
    </row>
    <row r="265" spans="1:7" ht="15.6" x14ac:dyDescent="0.3">
      <c r="A265" s="63"/>
      <c r="B265" s="130"/>
      <c r="C265" s="130"/>
      <c r="D265" s="96"/>
      <c r="E265" s="66"/>
      <c r="F265" s="66">
        <f t="shared" ref="F265:F273" si="11">A265*E265</f>
        <v>0</v>
      </c>
      <c r="G265" s="68"/>
    </row>
    <row r="266" spans="1:7" ht="15.6" x14ac:dyDescent="0.3">
      <c r="A266" s="69"/>
      <c r="B266" s="130"/>
      <c r="C266" s="130"/>
      <c r="D266" s="96"/>
      <c r="E266" s="66"/>
      <c r="F266" s="66">
        <f t="shared" si="11"/>
        <v>0</v>
      </c>
      <c r="G266" s="68"/>
    </row>
    <row r="267" spans="1:7" ht="15.6" x14ac:dyDescent="0.3">
      <c r="A267" s="69"/>
      <c r="B267" s="130"/>
      <c r="C267" s="130"/>
      <c r="D267" s="135"/>
      <c r="E267" s="66"/>
      <c r="F267" s="66">
        <f t="shared" si="11"/>
        <v>0</v>
      </c>
      <c r="G267" s="68"/>
    </row>
    <row r="268" spans="1:7" ht="15.6" x14ac:dyDescent="0.3">
      <c r="A268" s="69"/>
      <c r="B268" s="64"/>
      <c r="C268" s="64"/>
      <c r="D268" s="65"/>
      <c r="E268" s="66"/>
      <c r="F268" s="66">
        <f t="shared" si="11"/>
        <v>0</v>
      </c>
      <c r="G268" s="68"/>
    </row>
    <row r="269" spans="1:7" ht="15.6" x14ac:dyDescent="0.3">
      <c r="A269" s="69"/>
      <c r="B269" s="64"/>
      <c r="C269" s="64"/>
      <c r="D269" s="65"/>
      <c r="E269" s="66"/>
      <c r="F269" s="66">
        <f t="shared" si="11"/>
        <v>0</v>
      </c>
      <c r="G269" s="68"/>
    </row>
    <row r="270" spans="1:7" ht="15.6" x14ac:dyDescent="0.3">
      <c r="A270" s="69"/>
      <c r="B270" s="64"/>
      <c r="C270" s="64"/>
      <c r="D270" s="65"/>
      <c r="E270" s="66"/>
      <c r="F270" s="66">
        <f t="shared" si="11"/>
        <v>0</v>
      </c>
      <c r="G270" s="68"/>
    </row>
    <row r="271" spans="1:7" ht="15.6" x14ac:dyDescent="0.3">
      <c r="A271" s="69"/>
      <c r="B271" s="64"/>
      <c r="C271" s="64"/>
      <c r="D271" s="65"/>
      <c r="E271" s="66"/>
      <c r="F271" s="66">
        <f t="shared" si="11"/>
        <v>0</v>
      </c>
      <c r="G271" s="68"/>
    </row>
    <row r="272" spans="1:7" ht="15.6" x14ac:dyDescent="0.3">
      <c r="A272" s="69"/>
      <c r="B272" s="64"/>
      <c r="C272" s="64"/>
      <c r="D272" s="65"/>
      <c r="E272" s="66"/>
      <c r="F272" s="66">
        <f t="shared" si="11"/>
        <v>0</v>
      </c>
      <c r="G272" s="68"/>
    </row>
    <row r="273" spans="1:7" ht="15.6" x14ac:dyDescent="0.3">
      <c r="A273" s="70"/>
      <c r="B273" s="71"/>
      <c r="C273" s="71"/>
      <c r="D273" s="72"/>
      <c r="E273" s="73"/>
      <c r="F273" s="73">
        <f t="shared" si="11"/>
        <v>0</v>
      </c>
      <c r="G273" s="75"/>
    </row>
    <row r="274" spans="1:7" ht="17.399999999999999" x14ac:dyDescent="0.3">
      <c r="A274" s="76"/>
      <c r="B274" s="77"/>
      <c r="C274" s="114" t="s">
        <v>27</v>
      </c>
      <c r="D274" s="114"/>
      <c r="E274" s="78"/>
      <c r="F274" s="79">
        <f>SUM(F259:F272)</f>
        <v>7814.39</v>
      </c>
      <c r="G274" s="80"/>
    </row>
    <row r="275" spans="1:7" ht="17.399999999999999" x14ac:dyDescent="0.3">
      <c r="A275" s="81"/>
      <c r="B275" s="82"/>
      <c r="C275" s="106" t="s">
        <v>28</v>
      </c>
      <c r="D275" s="106"/>
      <c r="E275" s="83"/>
      <c r="F275" s="84">
        <f>F274*0.16</f>
        <v>1250.3024</v>
      </c>
      <c r="G275" s="85"/>
    </row>
    <row r="276" spans="1:7" ht="17.399999999999999" x14ac:dyDescent="0.3">
      <c r="A276" s="81"/>
      <c r="B276" s="82"/>
      <c r="C276" s="107" t="s">
        <v>29</v>
      </c>
      <c r="D276" s="107"/>
      <c r="E276" s="86"/>
      <c r="F276" s="87">
        <f>F274+F275</f>
        <v>9064.6923999999999</v>
      </c>
      <c r="G276" s="88"/>
    </row>
    <row r="277" spans="1:7" ht="15.6" x14ac:dyDescent="0.3">
      <c r="A277" s="108" t="s">
        <v>30</v>
      </c>
      <c r="B277" s="89"/>
      <c r="C277" s="89" t="s">
        <v>31</v>
      </c>
      <c r="D277" s="89"/>
      <c r="E277" s="89" t="s">
        <v>32</v>
      </c>
      <c r="F277" s="89"/>
      <c r="G277" s="109"/>
    </row>
    <row r="278" spans="1:7" ht="15.6" x14ac:dyDescent="0.3">
      <c r="A278" s="134" t="s">
        <v>467</v>
      </c>
      <c r="B278" s="90"/>
      <c r="C278" s="90" t="s">
        <v>33</v>
      </c>
      <c r="D278" s="90"/>
      <c r="E278" s="90" t="s">
        <v>354</v>
      </c>
      <c r="F278" s="90"/>
      <c r="G278" s="110"/>
    </row>
    <row r="281" spans="1:7" ht="21" x14ac:dyDescent="0.4">
      <c r="A281" s="49"/>
      <c r="B281" s="184" t="s">
        <v>45</v>
      </c>
      <c r="C281" s="185"/>
      <c r="D281" s="190" t="s">
        <v>36</v>
      </c>
      <c r="E281" s="191"/>
      <c r="F281" s="191"/>
      <c r="G281" s="192"/>
    </row>
    <row r="282" spans="1:7" ht="21" x14ac:dyDescent="0.4">
      <c r="A282" s="50"/>
      <c r="B282" s="186"/>
      <c r="C282" s="187"/>
      <c r="D282" s="193" t="s">
        <v>1</v>
      </c>
      <c r="E282" s="194"/>
      <c r="F282" s="196" t="s">
        <v>487</v>
      </c>
      <c r="G282" s="177"/>
    </row>
    <row r="283" spans="1:7" ht="21" x14ac:dyDescent="0.4">
      <c r="A283" s="50"/>
      <c r="B283" s="186"/>
      <c r="C283" s="187"/>
      <c r="D283" s="193" t="s">
        <v>267</v>
      </c>
      <c r="E283" s="194"/>
      <c r="F283" s="176">
        <v>20</v>
      </c>
      <c r="G283" s="177"/>
    </row>
    <row r="284" spans="1:7" ht="21" x14ac:dyDescent="0.4">
      <c r="A284" s="51"/>
      <c r="B284" s="188"/>
      <c r="C284" s="189"/>
      <c r="D284" s="178" t="s">
        <v>38</v>
      </c>
      <c r="E284" s="179"/>
      <c r="F284" s="180" t="s">
        <v>512</v>
      </c>
      <c r="G284" s="181"/>
    </row>
    <row r="285" spans="1:7" ht="20.399999999999999" x14ac:dyDescent="0.35">
      <c r="A285" s="52" t="s">
        <v>39</v>
      </c>
      <c r="B285" s="53" t="s">
        <v>279</v>
      </c>
      <c r="C285" s="54"/>
      <c r="D285" s="54"/>
      <c r="E285" s="182" t="s">
        <v>513</v>
      </c>
      <c r="F285" s="182"/>
      <c r="G285" s="183"/>
    </row>
    <row r="286" spans="1:7" ht="20.399999999999999" x14ac:dyDescent="0.35">
      <c r="A286" s="52" t="s">
        <v>40</v>
      </c>
      <c r="B286" s="173" t="s">
        <v>468</v>
      </c>
      <c r="C286" s="174"/>
      <c r="D286" s="174"/>
      <c r="E286" s="174"/>
      <c r="F286" s="174"/>
      <c r="G286" s="175"/>
    </row>
    <row r="287" spans="1:7" ht="20.399999999999999" x14ac:dyDescent="0.35">
      <c r="A287" s="52" t="s">
        <v>41</v>
      </c>
      <c r="B287" s="173" t="s">
        <v>511</v>
      </c>
      <c r="C287" s="174"/>
      <c r="D287" s="174"/>
      <c r="E287" s="174"/>
      <c r="F287" s="174"/>
      <c r="G287" s="175"/>
    </row>
    <row r="288" spans="1:7" ht="20.399999999999999" x14ac:dyDescent="0.35">
      <c r="A288" s="52" t="s">
        <v>42</v>
      </c>
      <c r="B288" s="173" t="s">
        <v>175</v>
      </c>
      <c r="C288" s="174"/>
      <c r="D288" s="174"/>
      <c r="E288" s="174"/>
      <c r="F288" s="174"/>
      <c r="G288" s="175"/>
    </row>
    <row r="289" spans="1:7" ht="15" x14ac:dyDescent="0.3">
      <c r="A289" s="103" t="s">
        <v>8</v>
      </c>
      <c r="B289" s="103" t="s">
        <v>9</v>
      </c>
      <c r="C289" s="103" t="s">
        <v>10</v>
      </c>
      <c r="D289" s="103" t="s">
        <v>43</v>
      </c>
      <c r="E289" s="103" t="s">
        <v>12</v>
      </c>
      <c r="F289" s="103" t="s">
        <v>13</v>
      </c>
      <c r="G289" s="103" t="s">
        <v>14</v>
      </c>
    </row>
    <row r="290" spans="1:7" ht="15.6" x14ac:dyDescent="0.3">
      <c r="A290" s="57"/>
      <c r="B290" s="58"/>
      <c r="C290" s="58"/>
      <c r="D290" s="59"/>
      <c r="E290" s="60"/>
      <c r="F290" s="67">
        <f t="shared" ref="F290:F305" si="12">A290*E290</f>
        <v>0</v>
      </c>
      <c r="G290" s="62"/>
    </row>
    <row r="291" spans="1:7" ht="15.6" x14ac:dyDescent="0.3">
      <c r="A291" s="63"/>
      <c r="B291" s="64"/>
      <c r="C291" s="64"/>
      <c r="D291" s="65"/>
      <c r="E291" s="66"/>
      <c r="F291" s="67">
        <f t="shared" si="12"/>
        <v>0</v>
      </c>
      <c r="G291" s="68"/>
    </row>
    <row r="292" spans="1:7" ht="15.6" x14ac:dyDescent="0.3">
      <c r="A292" s="63"/>
      <c r="B292" s="64"/>
      <c r="C292" s="64"/>
      <c r="D292" s="65"/>
      <c r="E292" s="66"/>
      <c r="F292" s="67">
        <f t="shared" si="12"/>
        <v>0</v>
      </c>
      <c r="G292" s="68"/>
    </row>
    <row r="293" spans="1:7" ht="46.8" x14ac:dyDescent="0.3">
      <c r="A293" s="63">
        <v>4</v>
      </c>
      <c r="B293" s="64" t="s">
        <v>112</v>
      </c>
      <c r="C293" s="64" t="s">
        <v>466</v>
      </c>
      <c r="D293" s="65"/>
      <c r="E293" s="66">
        <v>639.04</v>
      </c>
      <c r="F293" s="67">
        <f t="shared" si="12"/>
        <v>2556.16</v>
      </c>
      <c r="G293" s="68"/>
    </row>
    <row r="294" spans="1:7" ht="15.6" x14ac:dyDescent="0.3">
      <c r="A294" s="63"/>
      <c r="B294" s="64"/>
      <c r="C294" s="64"/>
      <c r="D294" s="65"/>
      <c r="E294" s="66"/>
      <c r="F294" s="67">
        <f t="shared" si="12"/>
        <v>0</v>
      </c>
      <c r="G294" s="68"/>
    </row>
    <row r="295" spans="1:7" ht="15.6" x14ac:dyDescent="0.3">
      <c r="A295" s="63"/>
      <c r="B295" s="64"/>
      <c r="C295" s="64"/>
      <c r="D295" s="65"/>
      <c r="E295" s="66"/>
      <c r="F295" s="67">
        <f t="shared" si="12"/>
        <v>0</v>
      </c>
      <c r="G295" s="68"/>
    </row>
    <row r="296" spans="1:7" ht="15.6" x14ac:dyDescent="0.3">
      <c r="A296" s="63"/>
      <c r="B296" s="64"/>
      <c r="C296" s="64"/>
      <c r="D296" s="65"/>
      <c r="E296" s="66"/>
      <c r="F296" s="67">
        <f t="shared" si="12"/>
        <v>0</v>
      </c>
      <c r="G296" s="68"/>
    </row>
    <row r="297" spans="1:7" ht="15.6" x14ac:dyDescent="0.3">
      <c r="A297" s="63"/>
      <c r="B297" s="64"/>
      <c r="C297" s="64"/>
      <c r="D297" s="65"/>
      <c r="E297" s="66"/>
      <c r="F297" s="67">
        <f t="shared" si="12"/>
        <v>0</v>
      </c>
      <c r="G297" s="68"/>
    </row>
    <row r="298" spans="1:7" ht="15.6" x14ac:dyDescent="0.3">
      <c r="A298" s="63"/>
      <c r="B298" s="64"/>
      <c r="C298" s="64"/>
      <c r="D298" s="65"/>
      <c r="E298" s="66"/>
      <c r="F298" s="67">
        <f t="shared" si="12"/>
        <v>0</v>
      </c>
      <c r="G298" s="68"/>
    </row>
    <row r="299" spans="1:7" ht="15.6" x14ac:dyDescent="0.3">
      <c r="A299" s="63"/>
      <c r="B299" s="64"/>
      <c r="C299" s="64"/>
      <c r="D299" s="65"/>
      <c r="E299" s="66"/>
      <c r="F299" s="67">
        <f t="shared" si="12"/>
        <v>0</v>
      </c>
      <c r="G299" s="68"/>
    </row>
    <row r="300" spans="1:7" ht="15.6" x14ac:dyDescent="0.3">
      <c r="A300" s="69"/>
      <c r="B300" s="64"/>
      <c r="C300" s="64"/>
      <c r="D300" s="65"/>
      <c r="E300" s="66"/>
      <c r="F300" s="67">
        <f t="shared" si="12"/>
        <v>0</v>
      </c>
      <c r="G300" s="68"/>
    </row>
    <row r="301" spans="1:7" ht="15.6" x14ac:dyDescent="0.3">
      <c r="A301" s="69"/>
      <c r="B301" s="64"/>
      <c r="C301" s="64"/>
      <c r="D301" s="65"/>
      <c r="E301" s="66"/>
      <c r="F301" s="67">
        <f t="shared" si="12"/>
        <v>0</v>
      </c>
      <c r="G301" s="68"/>
    </row>
    <row r="302" spans="1:7" ht="15.6" x14ac:dyDescent="0.3">
      <c r="A302" s="69"/>
      <c r="B302" s="64"/>
      <c r="C302" s="64"/>
      <c r="D302" s="65"/>
      <c r="E302" s="66"/>
      <c r="F302" s="67">
        <f t="shared" si="12"/>
        <v>0</v>
      </c>
      <c r="G302" s="68"/>
    </row>
    <row r="303" spans="1:7" ht="15.6" x14ac:dyDescent="0.3">
      <c r="A303" s="69"/>
      <c r="B303" s="64"/>
      <c r="C303" s="64"/>
      <c r="D303" s="65"/>
      <c r="E303" s="66"/>
      <c r="F303" s="67">
        <f t="shared" si="12"/>
        <v>0</v>
      </c>
      <c r="G303" s="68"/>
    </row>
    <row r="304" spans="1:7" ht="15.6" x14ac:dyDescent="0.3">
      <c r="A304" s="69"/>
      <c r="B304" s="64"/>
      <c r="C304" s="64"/>
      <c r="D304" s="65"/>
      <c r="E304" s="66"/>
      <c r="F304" s="67">
        <f t="shared" si="12"/>
        <v>0</v>
      </c>
      <c r="G304" s="68"/>
    </row>
    <row r="305" spans="1:7" ht="15.6" x14ac:dyDescent="0.3">
      <c r="A305" s="70"/>
      <c r="B305" s="71"/>
      <c r="C305" s="71"/>
      <c r="D305" s="72"/>
      <c r="E305" s="73"/>
      <c r="F305" s="74">
        <f t="shared" si="12"/>
        <v>0</v>
      </c>
      <c r="G305" s="75"/>
    </row>
    <row r="306" spans="1:7" ht="17.399999999999999" x14ac:dyDescent="0.3">
      <c r="A306" s="76"/>
      <c r="B306" s="77"/>
      <c r="C306" s="164" t="s">
        <v>27</v>
      </c>
      <c r="D306" s="164"/>
      <c r="E306" s="78"/>
      <c r="F306" s="79">
        <f>SUM(F290:F304)</f>
        <v>2556.16</v>
      </c>
      <c r="G306" s="80"/>
    </row>
    <row r="307" spans="1:7" ht="17.399999999999999" x14ac:dyDescent="0.3">
      <c r="A307" s="81"/>
      <c r="B307" s="82"/>
      <c r="C307" s="165" t="s">
        <v>28</v>
      </c>
      <c r="D307" s="165"/>
      <c r="E307" s="83"/>
      <c r="F307" s="84">
        <f>F306*0.16</f>
        <v>408.98559999999998</v>
      </c>
      <c r="G307" s="85"/>
    </row>
    <row r="308" spans="1:7" ht="17.399999999999999" x14ac:dyDescent="0.3">
      <c r="A308" s="81"/>
      <c r="B308" s="82"/>
      <c r="C308" s="166" t="s">
        <v>29</v>
      </c>
      <c r="D308" s="166"/>
      <c r="E308" s="86"/>
      <c r="F308" s="87">
        <f>F306+F307</f>
        <v>2965.1455999999998</v>
      </c>
      <c r="G308" s="88"/>
    </row>
    <row r="309" spans="1:7" ht="15.6" x14ac:dyDescent="0.3">
      <c r="A309" s="167" t="s">
        <v>30</v>
      </c>
      <c r="B309" s="168"/>
      <c r="C309" s="89" t="s">
        <v>31</v>
      </c>
      <c r="D309" s="89"/>
      <c r="E309" s="168" t="s">
        <v>32</v>
      </c>
      <c r="F309" s="168"/>
      <c r="G309" s="169"/>
    </row>
    <row r="310" spans="1:7" ht="15.6" x14ac:dyDescent="0.3">
      <c r="A310" s="170" t="s">
        <v>467</v>
      </c>
      <c r="B310" s="171"/>
      <c r="C310" s="104" t="s">
        <v>33</v>
      </c>
      <c r="D310" s="90"/>
      <c r="E310" s="171" t="s">
        <v>273</v>
      </c>
      <c r="F310" s="171"/>
      <c r="G310" s="172"/>
    </row>
    <row r="316" spans="1:7" ht="21" x14ac:dyDescent="0.4">
      <c r="A316" s="49"/>
      <c r="B316" s="184" t="s">
        <v>45</v>
      </c>
      <c r="C316" s="185"/>
      <c r="D316" s="190" t="s">
        <v>36</v>
      </c>
      <c r="E316" s="191"/>
      <c r="F316" s="191"/>
      <c r="G316" s="192"/>
    </row>
    <row r="317" spans="1:7" ht="21" x14ac:dyDescent="0.4">
      <c r="A317" s="50"/>
      <c r="B317" s="186"/>
      <c r="C317" s="187"/>
      <c r="D317" s="193" t="s">
        <v>1</v>
      </c>
      <c r="E317" s="194"/>
      <c r="F317" s="195" t="s">
        <v>514</v>
      </c>
      <c r="G317" s="177"/>
    </row>
    <row r="318" spans="1:7" ht="21" x14ac:dyDescent="0.4">
      <c r="A318" s="50"/>
      <c r="B318" s="186"/>
      <c r="C318" s="187"/>
      <c r="D318" s="193" t="s">
        <v>267</v>
      </c>
      <c r="E318" s="194"/>
      <c r="F318" s="176">
        <v>20</v>
      </c>
      <c r="G318" s="177"/>
    </row>
    <row r="319" spans="1:7" ht="21" x14ac:dyDescent="0.4">
      <c r="A319" s="51"/>
      <c r="B319" s="188"/>
      <c r="C319" s="189"/>
      <c r="D319" s="178" t="s">
        <v>38</v>
      </c>
      <c r="E319" s="179"/>
      <c r="F319" s="180" t="s">
        <v>515</v>
      </c>
      <c r="G319" s="181"/>
    </row>
    <row r="320" spans="1:7" ht="20.399999999999999" x14ac:dyDescent="0.35">
      <c r="A320" s="52" t="s">
        <v>39</v>
      </c>
      <c r="B320" s="53" t="s">
        <v>279</v>
      </c>
      <c r="C320" s="54"/>
      <c r="D320" s="54"/>
      <c r="E320" s="182"/>
      <c r="F320" s="182"/>
      <c r="G320" s="183"/>
    </row>
    <row r="321" spans="1:7" ht="20.399999999999999" x14ac:dyDescent="0.35">
      <c r="A321" s="52" t="s">
        <v>40</v>
      </c>
      <c r="B321" s="173"/>
      <c r="C321" s="174"/>
      <c r="D321" s="174"/>
      <c r="E321" s="174"/>
      <c r="F321" s="174"/>
      <c r="G321" s="175"/>
    </row>
    <row r="322" spans="1:7" ht="20.399999999999999" x14ac:dyDescent="0.35">
      <c r="A322" s="52" t="s">
        <v>41</v>
      </c>
      <c r="B322" s="173" t="s">
        <v>272</v>
      </c>
      <c r="C322" s="174"/>
      <c r="D322" s="174"/>
      <c r="E322" s="174"/>
      <c r="F322" s="174"/>
      <c r="G322" s="175"/>
    </row>
    <row r="323" spans="1:7" ht="20.399999999999999" x14ac:dyDescent="0.35">
      <c r="A323" s="52" t="s">
        <v>42</v>
      </c>
      <c r="B323" s="173" t="s">
        <v>7</v>
      </c>
      <c r="C323" s="174"/>
      <c r="D323" s="174"/>
      <c r="E323" s="174"/>
      <c r="F323" s="174"/>
      <c r="G323" s="175"/>
    </row>
    <row r="324" spans="1:7" ht="15" x14ac:dyDescent="0.3">
      <c r="A324" s="103" t="s">
        <v>8</v>
      </c>
      <c r="B324" s="103" t="s">
        <v>9</v>
      </c>
      <c r="C324" s="103" t="s">
        <v>10</v>
      </c>
      <c r="D324" s="103" t="s">
        <v>43</v>
      </c>
      <c r="E324" s="103" t="s">
        <v>12</v>
      </c>
      <c r="F324" s="103" t="s">
        <v>13</v>
      </c>
      <c r="G324" s="103" t="s">
        <v>14</v>
      </c>
    </row>
    <row r="325" spans="1:7" ht="15.6" x14ac:dyDescent="0.3">
      <c r="A325" s="57">
        <v>80</v>
      </c>
      <c r="B325" s="58" t="s">
        <v>65</v>
      </c>
      <c r="C325" s="58" t="s">
        <v>327</v>
      </c>
      <c r="D325" s="59"/>
      <c r="E325" s="60">
        <v>105</v>
      </c>
      <c r="F325" s="61">
        <f t="shared" ref="F325:F334" si="13">A325*E325</f>
        <v>8400</v>
      </c>
      <c r="G325" s="62"/>
    </row>
    <row r="326" spans="1:7" ht="15.6" x14ac:dyDescent="0.3">
      <c r="A326" s="63">
        <v>60</v>
      </c>
      <c r="B326" s="64" t="s">
        <v>65</v>
      </c>
      <c r="C326" s="64" t="s">
        <v>328</v>
      </c>
      <c r="D326" s="65"/>
      <c r="E326" s="66">
        <v>80</v>
      </c>
      <c r="F326" s="67">
        <f t="shared" si="13"/>
        <v>4800</v>
      </c>
      <c r="G326" s="68"/>
    </row>
    <row r="327" spans="1:7" ht="15.6" x14ac:dyDescent="0.3">
      <c r="A327" s="63"/>
      <c r="B327" s="64"/>
      <c r="C327" s="64"/>
      <c r="D327" s="65"/>
      <c r="E327" s="66"/>
      <c r="F327" s="67">
        <f t="shared" si="13"/>
        <v>0</v>
      </c>
      <c r="G327" s="68"/>
    </row>
    <row r="328" spans="1:7" ht="15.6" x14ac:dyDescent="0.3">
      <c r="A328" s="63"/>
      <c r="B328" s="64"/>
      <c r="C328" s="64"/>
      <c r="D328" s="65"/>
      <c r="E328" s="66"/>
      <c r="F328" s="67">
        <f t="shared" si="13"/>
        <v>0</v>
      </c>
      <c r="G328" s="68"/>
    </row>
    <row r="329" spans="1:7" ht="15.6" x14ac:dyDescent="0.3">
      <c r="A329" s="69"/>
      <c r="B329" s="64"/>
      <c r="C329" s="64"/>
      <c r="D329" s="65"/>
      <c r="E329" s="66"/>
      <c r="F329" s="67">
        <f t="shared" si="13"/>
        <v>0</v>
      </c>
      <c r="G329" s="68"/>
    </row>
    <row r="330" spans="1:7" ht="15.6" x14ac:dyDescent="0.3">
      <c r="A330" s="69"/>
      <c r="B330" s="64"/>
      <c r="C330" s="64"/>
      <c r="D330" s="65"/>
      <c r="E330" s="66"/>
      <c r="F330" s="67">
        <f t="shared" si="13"/>
        <v>0</v>
      </c>
      <c r="G330" s="68"/>
    </row>
    <row r="331" spans="1:7" ht="15.6" x14ac:dyDescent="0.3">
      <c r="A331" s="69"/>
      <c r="B331" s="64"/>
      <c r="C331" s="64"/>
      <c r="D331" s="65"/>
      <c r="E331" s="66"/>
      <c r="F331" s="67">
        <f t="shared" si="13"/>
        <v>0</v>
      </c>
      <c r="G331" s="68"/>
    </row>
    <row r="332" spans="1:7" ht="15.6" x14ac:dyDescent="0.3">
      <c r="A332" s="69"/>
      <c r="B332" s="64"/>
      <c r="C332" s="64"/>
      <c r="D332" s="65"/>
      <c r="E332" s="66"/>
      <c r="F332" s="67">
        <f t="shared" si="13"/>
        <v>0</v>
      </c>
      <c r="G332" s="68"/>
    </row>
    <row r="333" spans="1:7" ht="15.6" x14ac:dyDescent="0.3">
      <c r="A333" s="69"/>
      <c r="B333" s="64"/>
      <c r="C333" s="64"/>
      <c r="D333" s="65"/>
      <c r="E333" s="66"/>
      <c r="F333" s="67">
        <f t="shared" si="13"/>
        <v>0</v>
      </c>
      <c r="G333" s="68"/>
    </row>
    <row r="334" spans="1:7" ht="15.6" x14ac:dyDescent="0.3">
      <c r="A334" s="70"/>
      <c r="B334" s="71"/>
      <c r="C334" s="71"/>
      <c r="D334" s="72"/>
      <c r="E334" s="73"/>
      <c r="F334" s="74">
        <f t="shared" si="13"/>
        <v>0</v>
      </c>
      <c r="G334" s="75"/>
    </row>
    <row r="335" spans="1:7" ht="17.399999999999999" x14ac:dyDescent="0.3">
      <c r="A335" s="76"/>
      <c r="B335" s="77"/>
      <c r="C335" s="164" t="s">
        <v>27</v>
      </c>
      <c r="D335" s="164"/>
      <c r="E335" s="78"/>
      <c r="F335" s="79">
        <f>SUM(F325:F333)</f>
        <v>13200</v>
      </c>
      <c r="G335" s="80"/>
    </row>
    <row r="336" spans="1:7" ht="17.399999999999999" x14ac:dyDescent="0.3">
      <c r="A336" s="81"/>
      <c r="B336" s="82"/>
      <c r="C336" s="165" t="s">
        <v>28</v>
      </c>
      <c r="D336" s="165"/>
      <c r="E336" s="83"/>
      <c r="F336" s="84">
        <f>F335*0.16</f>
        <v>2112</v>
      </c>
      <c r="G336" s="85"/>
    </row>
    <row r="337" spans="1:7" ht="17.399999999999999" x14ac:dyDescent="0.3">
      <c r="A337" s="81"/>
      <c r="B337" s="82"/>
      <c r="C337" s="166" t="s">
        <v>29</v>
      </c>
      <c r="D337" s="166"/>
      <c r="E337" s="86"/>
      <c r="F337" s="87">
        <f>F335+F336</f>
        <v>15312</v>
      </c>
      <c r="G337" s="88"/>
    </row>
    <row r="338" spans="1:7" ht="15.6" x14ac:dyDescent="0.3">
      <c r="A338" s="167" t="s">
        <v>30</v>
      </c>
      <c r="B338" s="168"/>
      <c r="C338" s="89" t="s">
        <v>31</v>
      </c>
      <c r="D338" s="89"/>
      <c r="E338" s="168" t="s">
        <v>32</v>
      </c>
      <c r="F338" s="168"/>
      <c r="G338" s="169"/>
    </row>
    <row r="339" spans="1:7" ht="15.6" x14ac:dyDescent="0.3">
      <c r="A339" s="170" t="s">
        <v>444</v>
      </c>
      <c r="B339" s="171"/>
      <c r="C339" s="104" t="s">
        <v>33</v>
      </c>
      <c r="D339" s="90"/>
      <c r="E339" s="171" t="s">
        <v>273</v>
      </c>
      <c r="F339" s="171"/>
      <c r="G339" s="172"/>
    </row>
  </sheetData>
  <mergeCells count="175">
    <mergeCell ref="B321:G321"/>
    <mergeCell ref="B322:G322"/>
    <mergeCell ref="B323:G323"/>
    <mergeCell ref="C335:D335"/>
    <mergeCell ref="C336:D336"/>
    <mergeCell ref="C337:D337"/>
    <mergeCell ref="A338:B338"/>
    <mergeCell ref="E338:G338"/>
    <mergeCell ref="A339:B339"/>
    <mergeCell ref="E339:G339"/>
    <mergeCell ref="B316:C319"/>
    <mergeCell ref="D316:G316"/>
    <mergeCell ref="D317:E317"/>
    <mergeCell ref="F317:G317"/>
    <mergeCell ref="D318:E318"/>
    <mergeCell ref="F318:G318"/>
    <mergeCell ref="D319:E319"/>
    <mergeCell ref="F319:G319"/>
    <mergeCell ref="E320:G320"/>
    <mergeCell ref="B256:G256"/>
    <mergeCell ref="B250:C253"/>
    <mergeCell ref="D250:G250"/>
    <mergeCell ref="D251:E251"/>
    <mergeCell ref="F251:G251"/>
    <mergeCell ref="D252:E252"/>
    <mergeCell ref="F252:G252"/>
    <mergeCell ref="D253:E253"/>
    <mergeCell ref="F253:G253"/>
    <mergeCell ref="C243:D243"/>
    <mergeCell ref="C244:D244"/>
    <mergeCell ref="A245:B245"/>
    <mergeCell ref="E245:G245"/>
    <mergeCell ref="A246:B246"/>
    <mergeCell ref="E246:G246"/>
    <mergeCell ref="E227:G227"/>
    <mergeCell ref="B228:G228"/>
    <mergeCell ref="B229:G229"/>
    <mergeCell ref="B230:G230"/>
    <mergeCell ref="C242:D242"/>
    <mergeCell ref="B223:C226"/>
    <mergeCell ref="D223:G223"/>
    <mergeCell ref="D224:E224"/>
    <mergeCell ref="F224:G224"/>
    <mergeCell ref="D225:E225"/>
    <mergeCell ref="F225:G225"/>
    <mergeCell ref="D226:E226"/>
    <mergeCell ref="F226:G226"/>
    <mergeCell ref="C216:D216"/>
    <mergeCell ref="C217:D217"/>
    <mergeCell ref="A218:B218"/>
    <mergeCell ref="E218:G218"/>
    <mergeCell ref="A219:B219"/>
    <mergeCell ref="E219:G219"/>
    <mergeCell ref="E200:G200"/>
    <mergeCell ref="B201:G201"/>
    <mergeCell ref="B202:G202"/>
    <mergeCell ref="B203:G203"/>
    <mergeCell ref="C215:D215"/>
    <mergeCell ref="B171:G171"/>
    <mergeCell ref="D167:E167"/>
    <mergeCell ref="F167:G167"/>
    <mergeCell ref="B196:C199"/>
    <mergeCell ref="D196:G196"/>
    <mergeCell ref="D197:E197"/>
    <mergeCell ref="F197:G197"/>
    <mergeCell ref="D198:E198"/>
    <mergeCell ref="F198:G198"/>
    <mergeCell ref="D199:E199"/>
    <mergeCell ref="F199:G199"/>
    <mergeCell ref="B165:C168"/>
    <mergeCell ref="D165:G165"/>
    <mergeCell ref="D166:E166"/>
    <mergeCell ref="F166:G166"/>
    <mergeCell ref="D168:E168"/>
    <mergeCell ref="F168:G168"/>
    <mergeCell ref="C159:D159"/>
    <mergeCell ref="C160:D160"/>
    <mergeCell ref="A161:B161"/>
    <mergeCell ref="E161:G161"/>
    <mergeCell ref="A162:B162"/>
    <mergeCell ref="E162:G162"/>
    <mergeCell ref="E141:G141"/>
    <mergeCell ref="B142:G142"/>
    <mergeCell ref="B143:G143"/>
    <mergeCell ref="B144:G144"/>
    <mergeCell ref="C158:D158"/>
    <mergeCell ref="B137:C140"/>
    <mergeCell ref="D137:G137"/>
    <mergeCell ref="D138:E138"/>
    <mergeCell ref="F138:G138"/>
    <mergeCell ref="D139:E139"/>
    <mergeCell ref="F139:G139"/>
    <mergeCell ref="D140:E140"/>
    <mergeCell ref="F140:G140"/>
    <mergeCell ref="C130:D130"/>
    <mergeCell ref="C131:D131"/>
    <mergeCell ref="A132:B132"/>
    <mergeCell ref="E132:G132"/>
    <mergeCell ref="A133:B133"/>
    <mergeCell ref="E133:G133"/>
    <mergeCell ref="E112:G112"/>
    <mergeCell ref="B113:G113"/>
    <mergeCell ref="B114:G114"/>
    <mergeCell ref="B115:G115"/>
    <mergeCell ref="C129:D129"/>
    <mergeCell ref="B108:C111"/>
    <mergeCell ref="D108:G108"/>
    <mergeCell ref="D109:E109"/>
    <mergeCell ref="F109:G109"/>
    <mergeCell ref="D110:E110"/>
    <mergeCell ref="F110:G110"/>
    <mergeCell ref="D111:E111"/>
    <mergeCell ref="F111:G111"/>
    <mergeCell ref="C101:D101"/>
    <mergeCell ref="C102:D102"/>
    <mergeCell ref="A103:B103"/>
    <mergeCell ref="E103:G103"/>
    <mergeCell ref="A104:B104"/>
    <mergeCell ref="E104:G104"/>
    <mergeCell ref="E79:G79"/>
    <mergeCell ref="B80:G80"/>
    <mergeCell ref="B81:G81"/>
    <mergeCell ref="B82:G82"/>
    <mergeCell ref="C100:D100"/>
    <mergeCell ref="B75:C78"/>
    <mergeCell ref="D75:G75"/>
    <mergeCell ref="D76:E76"/>
    <mergeCell ref="F76:G76"/>
    <mergeCell ref="D77:E77"/>
    <mergeCell ref="F77:G77"/>
    <mergeCell ref="D78:E78"/>
    <mergeCell ref="F78:G78"/>
    <mergeCell ref="B41:G41"/>
    <mergeCell ref="A3:C6"/>
    <mergeCell ref="D3:G3"/>
    <mergeCell ref="E4:F4"/>
    <mergeCell ref="E5:F5"/>
    <mergeCell ref="E6:F6"/>
    <mergeCell ref="B35:C38"/>
    <mergeCell ref="D35:G35"/>
    <mergeCell ref="D36:E36"/>
    <mergeCell ref="F36:G36"/>
    <mergeCell ref="D37:E37"/>
    <mergeCell ref="F37:G37"/>
    <mergeCell ref="D38:E38"/>
    <mergeCell ref="F38:G38"/>
    <mergeCell ref="E39:G39"/>
    <mergeCell ref="B40:G40"/>
    <mergeCell ref="A70:B70"/>
    <mergeCell ref="E70:G70"/>
    <mergeCell ref="B42:G42"/>
    <mergeCell ref="C66:D66"/>
    <mergeCell ref="C67:D67"/>
    <mergeCell ref="C68:D68"/>
    <mergeCell ref="A69:B69"/>
    <mergeCell ref="E69:G69"/>
    <mergeCell ref="B281:C284"/>
    <mergeCell ref="D281:G281"/>
    <mergeCell ref="D282:E282"/>
    <mergeCell ref="F282:G282"/>
    <mergeCell ref="D283:E283"/>
    <mergeCell ref="F283:G283"/>
    <mergeCell ref="D284:E284"/>
    <mergeCell ref="F284:G284"/>
    <mergeCell ref="E285:G285"/>
    <mergeCell ref="B286:G286"/>
    <mergeCell ref="B287:G287"/>
    <mergeCell ref="B288:G288"/>
    <mergeCell ref="C306:D306"/>
    <mergeCell ref="C307:D307"/>
    <mergeCell ref="C308:D308"/>
    <mergeCell ref="A309:B309"/>
    <mergeCell ref="E309:G309"/>
    <mergeCell ref="A310:B310"/>
    <mergeCell ref="E310:G310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30 A69 A103 A132 A161 A192 A218 A245 A277 A309 A338" xr:uid="{98181476-AC25-4E44-9728-BD695FF6149C}">
      <formula1>0</formula1>
      <formula2>256</formula2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34CB9-0D1E-40C1-A9D5-B39C9444813F}">
  <dimension ref="A3:G552"/>
  <sheetViews>
    <sheetView workbookViewId="0">
      <selection activeCell="D3" sqref="A3:G27"/>
    </sheetView>
  </sheetViews>
  <sheetFormatPr baseColWidth="10" defaultRowHeight="14.4" x14ac:dyDescent="0.3"/>
  <cols>
    <col min="1" max="1" width="21.21875" customWidth="1"/>
    <col min="2" max="2" width="16.88671875" customWidth="1"/>
    <col min="3" max="3" width="46.5546875" customWidth="1"/>
    <col min="4" max="4" width="29.109375" customWidth="1"/>
    <col min="5" max="5" width="14" customWidth="1"/>
    <col min="6" max="6" width="18.109375" customWidth="1"/>
    <col min="7" max="7" width="21.88671875" customWidth="1"/>
  </cols>
  <sheetData>
    <row r="3" spans="1:7" ht="21" x14ac:dyDescent="0.4">
      <c r="A3" s="49"/>
      <c r="B3" s="184" t="s">
        <v>45</v>
      </c>
      <c r="C3" s="185"/>
      <c r="D3" s="190" t="s">
        <v>36</v>
      </c>
      <c r="E3" s="191"/>
      <c r="F3" s="191"/>
      <c r="G3" s="192"/>
    </row>
    <row r="4" spans="1:7" ht="21" x14ac:dyDescent="0.4">
      <c r="A4" s="50"/>
      <c r="B4" s="186"/>
      <c r="C4" s="187"/>
      <c r="D4" s="193" t="s">
        <v>1</v>
      </c>
      <c r="E4" s="194"/>
      <c r="F4" s="195" t="s">
        <v>274</v>
      </c>
      <c r="G4" s="177"/>
    </row>
    <row r="5" spans="1:7" ht="21" x14ac:dyDescent="0.4">
      <c r="A5" s="50"/>
      <c r="B5" s="186"/>
      <c r="C5" s="187"/>
      <c r="D5" s="193" t="s">
        <v>267</v>
      </c>
      <c r="E5" s="194"/>
      <c r="F5" s="176">
        <v>19</v>
      </c>
      <c r="G5" s="177"/>
    </row>
    <row r="6" spans="1:7" ht="33" customHeight="1" x14ac:dyDescent="0.4">
      <c r="A6" s="51"/>
      <c r="B6" s="188"/>
      <c r="C6" s="189"/>
      <c r="D6" s="178" t="s">
        <v>38</v>
      </c>
      <c r="E6" s="179"/>
      <c r="F6" s="180" t="s">
        <v>275</v>
      </c>
      <c r="G6" s="181"/>
    </row>
    <row r="7" spans="1:7" ht="20.399999999999999" x14ac:dyDescent="0.35">
      <c r="A7" s="52" t="s">
        <v>39</v>
      </c>
      <c r="B7" s="53" t="s">
        <v>279</v>
      </c>
      <c r="C7" s="54"/>
      <c r="D7" s="54"/>
      <c r="E7" s="182"/>
      <c r="F7" s="182"/>
      <c r="G7" s="183"/>
    </row>
    <row r="8" spans="1:7" ht="20.399999999999999" x14ac:dyDescent="0.35">
      <c r="A8" s="52" t="s">
        <v>40</v>
      </c>
      <c r="B8" s="173"/>
      <c r="C8" s="174"/>
      <c r="D8" s="174"/>
      <c r="E8" s="174"/>
      <c r="F8" s="174"/>
      <c r="G8" s="175"/>
    </row>
    <row r="9" spans="1:7" ht="20.399999999999999" x14ac:dyDescent="0.35">
      <c r="A9" s="52" t="s">
        <v>41</v>
      </c>
      <c r="B9" s="173" t="s">
        <v>272</v>
      </c>
      <c r="C9" s="174"/>
      <c r="D9" s="174"/>
      <c r="E9" s="174"/>
      <c r="F9" s="174"/>
      <c r="G9" s="175"/>
    </row>
    <row r="10" spans="1:7" ht="20.399999999999999" x14ac:dyDescent="0.35">
      <c r="A10" s="52" t="s">
        <v>42</v>
      </c>
      <c r="B10" s="173" t="s">
        <v>278</v>
      </c>
      <c r="C10" s="174"/>
      <c r="D10" s="174"/>
      <c r="E10" s="174"/>
      <c r="F10" s="174"/>
      <c r="G10" s="175"/>
    </row>
    <row r="11" spans="1:7" ht="60" x14ac:dyDescent="0.3">
      <c r="A11" s="103" t="s">
        <v>8</v>
      </c>
      <c r="B11" s="103" t="s">
        <v>9</v>
      </c>
      <c r="C11" s="103" t="s">
        <v>10</v>
      </c>
      <c r="D11" s="103" t="s">
        <v>43</v>
      </c>
      <c r="E11" s="103" t="s">
        <v>12</v>
      </c>
      <c r="F11" s="103" t="s">
        <v>13</v>
      </c>
      <c r="G11" s="103" t="s">
        <v>14</v>
      </c>
    </row>
    <row r="12" spans="1:7" ht="46.8" x14ac:dyDescent="0.3">
      <c r="A12" s="57">
        <v>20</v>
      </c>
      <c r="B12" s="58" t="s">
        <v>112</v>
      </c>
      <c r="C12" s="58" t="s">
        <v>276</v>
      </c>
      <c r="D12" s="59" t="s">
        <v>277</v>
      </c>
      <c r="E12" s="60">
        <v>37.17</v>
      </c>
      <c r="F12" s="61">
        <f t="shared" ref="F12:F21" si="0">A12*E12</f>
        <v>743.40000000000009</v>
      </c>
      <c r="G12" s="62"/>
    </row>
    <row r="13" spans="1:7" ht="15.6" x14ac:dyDescent="0.3">
      <c r="A13" s="63"/>
      <c r="B13" s="64"/>
      <c r="C13" s="64"/>
      <c r="D13" s="65"/>
      <c r="E13" s="66"/>
      <c r="F13" s="67">
        <f t="shared" si="0"/>
        <v>0</v>
      </c>
      <c r="G13" s="68"/>
    </row>
    <row r="14" spans="1:7" ht="15.6" x14ac:dyDescent="0.3">
      <c r="A14" s="63"/>
      <c r="B14" s="64"/>
      <c r="C14" s="64"/>
      <c r="D14" s="65"/>
      <c r="E14" s="66"/>
      <c r="F14" s="67">
        <f t="shared" si="0"/>
        <v>0</v>
      </c>
      <c r="G14" s="68"/>
    </row>
    <row r="15" spans="1:7" ht="15.6" x14ac:dyDescent="0.3">
      <c r="A15" s="63"/>
      <c r="B15" s="64"/>
      <c r="C15" s="64"/>
      <c r="D15" s="65"/>
      <c r="E15" s="66"/>
      <c r="F15" s="67">
        <f t="shared" si="0"/>
        <v>0</v>
      </c>
      <c r="G15" s="68"/>
    </row>
    <row r="16" spans="1:7" ht="15.6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15.6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15.6" x14ac:dyDescent="0.3">
      <c r="A18" s="69"/>
      <c r="B18" s="64"/>
      <c r="C18" s="64"/>
      <c r="D18" s="65"/>
      <c r="E18" s="66"/>
      <c r="F18" s="67">
        <f t="shared" si="0"/>
        <v>0</v>
      </c>
      <c r="G18" s="68"/>
    </row>
    <row r="19" spans="1:7" ht="15.6" x14ac:dyDescent="0.3">
      <c r="A19" s="69"/>
      <c r="B19" s="64"/>
      <c r="C19" s="64"/>
      <c r="D19" s="65"/>
      <c r="E19" s="66"/>
      <c r="F19" s="67">
        <f t="shared" si="0"/>
        <v>0</v>
      </c>
      <c r="G19" s="68"/>
    </row>
    <row r="20" spans="1:7" ht="15.6" x14ac:dyDescent="0.3">
      <c r="A20" s="69"/>
      <c r="B20" s="64"/>
      <c r="C20" s="64"/>
      <c r="D20" s="65"/>
      <c r="E20" s="66"/>
      <c r="F20" s="67">
        <f t="shared" si="0"/>
        <v>0</v>
      </c>
      <c r="G20" s="68"/>
    </row>
    <row r="21" spans="1:7" ht="15.6" x14ac:dyDescent="0.3">
      <c r="A21" s="70"/>
      <c r="B21" s="71"/>
      <c r="C21" s="71"/>
      <c r="D21" s="72"/>
      <c r="E21" s="73"/>
      <c r="F21" s="74">
        <f t="shared" si="0"/>
        <v>0</v>
      </c>
      <c r="G21" s="75"/>
    </row>
    <row r="22" spans="1:7" ht="17.399999999999999" x14ac:dyDescent="0.3">
      <c r="A22" s="76"/>
      <c r="B22" s="77"/>
      <c r="C22" s="164" t="s">
        <v>27</v>
      </c>
      <c r="D22" s="164"/>
      <c r="E22" s="78"/>
      <c r="F22" s="79">
        <f>SUM(F12:F20)</f>
        <v>743.40000000000009</v>
      </c>
      <c r="G22" s="80"/>
    </row>
    <row r="23" spans="1:7" ht="17.399999999999999" x14ac:dyDescent="0.3">
      <c r="A23" s="81"/>
      <c r="B23" s="82"/>
      <c r="C23" s="165" t="s">
        <v>28</v>
      </c>
      <c r="D23" s="165"/>
      <c r="E23" s="83"/>
      <c r="F23" s="84">
        <f>F22*0.16</f>
        <v>118.94400000000002</v>
      </c>
      <c r="G23" s="85"/>
    </row>
    <row r="24" spans="1:7" ht="17.399999999999999" x14ac:dyDescent="0.3">
      <c r="A24" s="81"/>
      <c r="B24" s="82"/>
      <c r="C24" s="166" t="s">
        <v>29</v>
      </c>
      <c r="D24" s="166"/>
      <c r="E24" s="86"/>
      <c r="F24" s="87">
        <f>F22+F23</f>
        <v>862.34400000000005</v>
      </c>
      <c r="G24" s="88"/>
    </row>
    <row r="25" spans="1:7" ht="15.6" x14ac:dyDescent="0.3">
      <c r="A25" s="167" t="s">
        <v>30</v>
      </c>
      <c r="B25" s="168"/>
      <c r="C25" s="89" t="s">
        <v>31</v>
      </c>
      <c r="D25" s="89"/>
      <c r="E25" s="168" t="s">
        <v>32</v>
      </c>
      <c r="F25" s="168"/>
      <c r="G25" s="169"/>
    </row>
    <row r="26" spans="1:7" ht="15.6" x14ac:dyDescent="0.3">
      <c r="A26" s="170" t="s">
        <v>52</v>
      </c>
      <c r="B26" s="171"/>
      <c r="C26" s="104" t="s">
        <v>33</v>
      </c>
      <c r="D26" s="90"/>
      <c r="E26" s="171" t="s">
        <v>273</v>
      </c>
      <c r="F26" s="171"/>
      <c r="G26" s="172"/>
    </row>
    <row r="31" spans="1:7" ht="21" x14ac:dyDescent="0.4">
      <c r="A31" s="49"/>
      <c r="B31" s="184" t="s">
        <v>45</v>
      </c>
      <c r="C31" s="185"/>
      <c r="D31" s="190" t="s">
        <v>36</v>
      </c>
      <c r="E31" s="191"/>
      <c r="F31" s="191"/>
      <c r="G31" s="192"/>
    </row>
    <row r="32" spans="1:7" ht="21" x14ac:dyDescent="0.4">
      <c r="A32" s="50"/>
      <c r="B32" s="186"/>
      <c r="C32" s="187"/>
      <c r="D32" s="193" t="s">
        <v>1</v>
      </c>
      <c r="E32" s="194"/>
      <c r="F32" s="195" t="s">
        <v>274</v>
      </c>
      <c r="G32" s="177"/>
    </row>
    <row r="33" spans="1:7" ht="21" x14ac:dyDescent="0.4">
      <c r="A33" s="50"/>
      <c r="B33" s="186"/>
      <c r="C33" s="187"/>
      <c r="D33" s="193" t="s">
        <v>267</v>
      </c>
      <c r="E33" s="194"/>
      <c r="F33" s="176">
        <v>19</v>
      </c>
      <c r="G33" s="177"/>
    </row>
    <row r="34" spans="1:7" ht="36" customHeight="1" x14ac:dyDescent="0.4">
      <c r="A34" s="51"/>
      <c r="B34" s="188"/>
      <c r="C34" s="189"/>
      <c r="D34" s="178" t="s">
        <v>38</v>
      </c>
      <c r="E34" s="179"/>
      <c r="F34" s="180" t="s">
        <v>289</v>
      </c>
      <c r="G34" s="181"/>
    </row>
    <row r="35" spans="1:7" ht="20.399999999999999" x14ac:dyDescent="0.35">
      <c r="A35" s="52" t="s">
        <v>39</v>
      </c>
      <c r="B35" s="53" t="s">
        <v>273</v>
      </c>
      <c r="C35" s="54"/>
      <c r="D35" s="54"/>
      <c r="E35" s="182" t="s">
        <v>324</v>
      </c>
      <c r="F35" s="182"/>
      <c r="G35" s="183"/>
    </row>
    <row r="36" spans="1:7" ht="20.399999999999999" x14ac:dyDescent="0.35">
      <c r="A36" s="52" t="s">
        <v>40</v>
      </c>
      <c r="B36" s="173"/>
      <c r="C36" s="174"/>
      <c r="D36" s="174"/>
      <c r="E36" s="174"/>
      <c r="F36" s="174"/>
      <c r="G36" s="175"/>
    </row>
    <row r="37" spans="1:7" ht="20.399999999999999" x14ac:dyDescent="0.35">
      <c r="A37" s="52" t="s">
        <v>41</v>
      </c>
      <c r="B37" s="173" t="s">
        <v>272</v>
      </c>
      <c r="C37" s="174"/>
      <c r="D37" s="174"/>
      <c r="E37" s="174"/>
      <c r="F37" s="174"/>
      <c r="G37" s="175"/>
    </row>
    <row r="38" spans="1:7" ht="20.399999999999999" x14ac:dyDescent="0.35">
      <c r="A38" s="52" t="s">
        <v>42</v>
      </c>
      <c r="B38" s="173" t="s">
        <v>280</v>
      </c>
      <c r="C38" s="174"/>
      <c r="D38" s="174"/>
      <c r="E38" s="174"/>
      <c r="F38" s="174"/>
      <c r="G38" s="175"/>
    </row>
    <row r="39" spans="1:7" ht="15" x14ac:dyDescent="0.3">
      <c r="A39" s="103" t="s">
        <v>8</v>
      </c>
      <c r="B39" s="103" t="s">
        <v>9</v>
      </c>
      <c r="C39" s="103" t="s">
        <v>10</v>
      </c>
      <c r="D39" s="103" t="s">
        <v>43</v>
      </c>
      <c r="E39" s="103" t="s">
        <v>12</v>
      </c>
      <c r="F39" s="103" t="s">
        <v>13</v>
      </c>
      <c r="G39" s="103" t="s">
        <v>14</v>
      </c>
    </row>
    <row r="40" spans="1:7" ht="15.6" x14ac:dyDescent="0.3">
      <c r="A40" s="57">
        <v>5</v>
      </c>
      <c r="B40" s="58" t="s">
        <v>281</v>
      </c>
      <c r="C40" s="58" t="s">
        <v>282</v>
      </c>
      <c r="D40" s="59"/>
      <c r="E40" s="60">
        <v>1447.03</v>
      </c>
      <c r="F40" s="61">
        <f t="shared" ref="F40:F49" si="1">A40*E40</f>
        <v>7235.15</v>
      </c>
      <c r="G40" s="62"/>
    </row>
    <row r="41" spans="1:7" ht="15.6" x14ac:dyDescent="0.3">
      <c r="A41" s="63">
        <v>1</v>
      </c>
      <c r="B41" s="64" t="s">
        <v>281</v>
      </c>
      <c r="C41" s="64" t="s">
        <v>283</v>
      </c>
      <c r="D41" s="65"/>
      <c r="E41" s="66">
        <v>1735.62</v>
      </c>
      <c r="F41" s="67">
        <f t="shared" si="1"/>
        <v>1735.62</v>
      </c>
      <c r="G41" s="68"/>
    </row>
    <row r="42" spans="1:7" ht="31.2" x14ac:dyDescent="0.3">
      <c r="A42" s="63">
        <v>1</v>
      </c>
      <c r="B42" s="64" t="s">
        <v>288</v>
      </c>
      <c r="C42" s="64" t="s">
        <v>285</v>
      </c>
      <c r="D42" s="65"/>
      <c r="E42" s="66">
        <v>148.58000000000001</v>
      </c>
      <c r="F42" s="67">
        <f t="shared" si="1"/>
        <v>148.58000000000001</v>
      </c>
      <c r="G42" s="68"/>
    </row>
    <row r="43" spans="1:7" ht="15.6" x14ac:dyDescent="0.3">
      <c r="A43" s="63">
        <v>5</v>
      </c>
      <c r="B43" s="64" t="s">
        <v>112</v>
      </c>
      <c r="C43" s="64" t="s">
        <v>284</v>
      </c>
      <c r="D43" s="65"/>
      <c r="E43" s="66">
        <v>39.17</v>
      </c>
      <c r="F43" s="67">
        <f t="shared" si="1"/>
        <v>195.85000000000002</v>
      </c>
      <c r="G43" s="68"/>
    </row>
    <row r="44" spans="1:7" ht="15.6" x14ac:dyDescent="0.3">
      <c r="A44" s="69">
        <v>5</v>
      </c>
      <c r="B44" s="64" t="s">
        <v>112</v>
      </c>
      <c r="C44" s="64" t="s">
        <v>286</v>
      </c>
      <c r="D44" s="65"/>
      <c r="E44" s="66">
        <v>44.61</v>
      </c>
      <c r="F44" s="67">
        <f t="shared" si="1"/>
        <v>223.05</v>
      </c>
      <c r="G44" s="68"/>
    </row>
    <row r="45" spans="1:7" ht="15.6" x14ac:dyDescent="0.3">
      <c r="A45" s="69">
        <v>10</v>
      </c>
      <c r="B45" s="64" t="s">
        <v>112</v>
      </c>
      <c r="C45" s="64" t="s">
        <v>287</v>
      </c>
      <c r="D45" s="65"/>
      <c r="E45" s="66">
        <v>63.62</v>
      </c>
      <c r="F45" s="67">
        <f t="shared" si="1"/>
        <v>636.19999999999993</v>
      </c>
      <c r="G45" s="68"/>
    </row>
    <row r="46" spans="1:7" ht="15.6" x14ac:dyDescent="0.3">
      <c r="A46" s="69">
        <v>3</v>
      </c>
      <c r="B46" s="64" t="s">
        <v>112</v>
      </c>
      <c r="C46" s="64" t="s">
        <v>290</v>
      </c>
      <c r="D46" s="65"/>
      <c r="E46" s="66">
        <v>124</v>
      </c>
      <c r="F46" s="67">
        <f t="shared" si="1"/>
        <v>372</v>
      </c>
      <c r="G46" s="68"/>
    </row>
    <row r="47" spans="1:7" ht="15.6" x14ac:dyDescent="0.3">
      <c r="A47" s="69"/>
      <c r="B47" s="64"/>
      <c r="C47" s="64"/>
      <c r="D47" s="65"/>
      <c r="E47" s="66"/>
      <c r="F47" s="67">
        <f t="shared" si="1"/>
        <v>0</v>
      </c>
      <c r="G47" s="68"/>
    </row>
    <row r="48" spans="1:7" ht="15.6" x14ac:dyDescent="0.3">
      <c r="A48" s="69"/>
      <c r="B48" s="64"/>
      <c r="C48" s="64"/>
      <c r="D48" s="65"/>
      <c r="E48" s="66"/>
      <c r="F48" s="67">
        <f t="shared" si="1"/>
        <v>0</v>
      </c>
      <c r="G48" s="68"/>
    </row>
    <row r="49" spans="1:7" ht="15.6" x14ac:dyDescent="0.3">
      <c r="A49" s="70"/>
      <c r="B49" s="71"/>
      <c r="C49" s="71"/>
      <c r="D49" s="72"/>
      <c r="E49" s="73"/>
      <c r="F49" s="74">
        <f t="shared" si="1"/>
        <v>0</v>
      </c>
      <c r="G49" s="75"/>
    </row>
    <row r="50" spans="1:7" ht="17.399999999999999" x14ac:dyDescent="0.3">
      <c r="A50" s="76"/>
      <c r="B50" s="77"/>
      <c r="C50" s="164" t="s">
        <v>27</v>
      </c>
      <c r="D50" s="164"/>
      <c r="E50" s="78"/>
      <c r="F50" s="79">
        <f>SUM(F40:F48)</f>
        <v>10546.45</v>
      </c>
      <c r="G50" s="80"/>
    </row>
    <row r="51" spans="1:7" ht="17.399999999999999" x14ac:dyDescent="0.3">
      <c r="A51" s="81"/>
      <c r="B51" s="82"/>
      <c r="C51" s="165" t="s">
        <v>28</v>
      </c>
      <c r="D51" s="165"/>
      <c r="E51" s="83"/>
      <c r="F51" s="84">
        <f>F50*0.16</f>
        <v>1687.4320000000002</v>
      </c>
      <c r="G51" s="85"/>
    </row>
    <row r="52" spans="1:7" ht="17.399999999999999" x14ac:dyDescent="0.3">
      <c r="A52" s="81"/>
      <c r="B52" s="82"/>
      <c r="C52" s="166" t="s">
        <v>29</v>
      </c>
      <c r="D52" s="166"/>
      <c r="E52" s="86"/>
      <c r="F52" s="87">
        <f>F50+F51</f>
        <v>12233.882000000001</v>
      </c>
      <c r="G52" s="88"/>
    </row>
    <row r="53" spans="1:7" ht="15.6" x14ac:dyDescent="0.3">
      <c r="A53" s="167" t="s">
        <v>30</v>
      </c>
      <c r="B53" s="168"/>
      <c r="C53" s="89" t="s">
        <v>31</v>
      </c>
      <c r="D53" s="89"/>
      <c r="E53" s="168" t="s">
        <v>32</v>
      </c>
      <c r="F53" s="168"/>
      <c r="G53" s="169"/>
    </row>
    <row r="54" spans="1:7" ht="15.6" x14ac:dyDescent="0.3">
      <c r="A54" s="170" t="s">
        <v>52</v>
      </c>
      <c r="B54" s="171"/>
      <c r="C54" s="104" t="s">
        <v>33</v>
      </c>
      <c r="D54" s="90"/>
      <c r="E54" s="171" t="s">
        <v>273</v>
      </c>
      <c r="F54" s="171"/>
      <c r="G54" s="172"/>
    </row>
    <row r="58" spans="1:7" ht="21" x14ac:dyDescent="0.4">
      <c r="A58" s="49"/>
      <c r="B58" s="184" t="s">
        <v>45</v>
      </c>
      <c r="C58" s="185"/>
      <c r="D58" s="190" t="s">
        <v>36</v>
      </c>
      <c r="E58" s="191"/>
      <c r="F58" s="191"/>
      <c r="G58" s="192"/>
    </row>
    <row r="59" spans="1:7" ht="21" x14ac:dyDescent="0.4">
      <c r="A59" s="50"/>
      <c r="B59" s="186"/>
      <c r="C59" s="187"/>
      <c r="D59" s="193" t="s">
        <v>1</v>
      </c>
      <c r="E59" s="194"/>
      <c r="F59" s="195" t="s">
        <v>427</v>
      </c>
      <c r="G59" s="177"/>
    </row>
    <row r="60" spans="1:7" ht="21" x14ac:dyDescent="0.4">
      <c r="A60" s="50"/>
      <c r="B60" s="186"/>
      <c r="C60" s="187"/>
      <c r="D60" s="193" t="s">
        <v>267</v>
      </c>
      <c r="E60" s="194"/>
      <c r="F60" s="176">
        <v>19</v>
      </c>
      <c r="G60" s="177"/>
    </row>
    <row r="61" spans="1:7" ht="35.4" customHeight="1" x14ac:dyDescent="0.4">
      <c r="A61" s="51"/>
      <c r="B61" s="188"/>
      <c r="C61" s="189"/>
      <c r="D61" s="178" t="s">
        <v>38</v>
      </c>
      <c r="E61" s="179"/>
      <c r="F61" s="180" t="s">
        <v>291</v>
      </c>
      <c r="G61" s="181"/>
    </row>
    <row r="62" spans="1:7" ht="20.399999999999999" x14ac:dyDescent="0.35">
      <c r="A62" s="52" t="s">
        <v>39</v>
      </c>
      <c r="B62" s="53" t="s">
        <v>279</v>
      </c>
      <c r="C62" s="54"/>
      <c r="D62" s="54"/>
      <c r="E62" s="182" t="s">
        <v>310</v>
      </c>
      <c r="F62" s="182"/>
      <c r="G62" s="183"/>
    </row>
    <row r="63" spans="1:7" ht="20.399999999999999" x14ac:dyDescent="0.35">
      <c r="A63" s="52" t="s">
        <v>40</v>
      </c>
      <c r="B63" s="173" t="s">
        <v>433</v>
      </c>
      <c r="C63" s="174"/>
      <c r="D63" s="174"/>
      <c r="E63" s="174"/>
      <c r="F63" s="174"/>
      <c r="G63" s="175"/>
    </row>
    <row r="64" spans="1:7" ht="20.399999999999999" x14ac:dyDescent="0.35">
      <c r="A64" s="52" t="s">
        <v>41</v>
      </c>
      <c r="B64" s="173" t="s">
        <v>272</v>
      </c>
      <c r="C64" s="174"/>
      <c r="D64" s="174"/>
      <c r="E64" s="174"/>
      <c r="F64" s="174"/>
      <c r="G64" s="175"/>
    </row>
    <row r="65" spans="1:7" ht="20.399999999999999" x14ac:dyDescent="0.35">
      <c r="A65" s="52" t="s">
        <v>42</v>
      </c>
      <c r="B65" s="173" t="s">
        <v>278</v>
      </c>
      <c r="C65" s="174"/>
      <c r="D65" s="174"/>
      <c r="E65" s="174"/>
      <c r="F65" s="174"/>
      <c r="G65" s="175"/>
    </row>
    <row r="66" spans="1:7" ht="15" x14ac:dyDescent="0.3">
      <c r="A66" s="103" t="s">
        <v>8</v>
      </c>
      <c r="B66" s="103" t="s">
        <v>9</v>
      </c>
      <c r="C66" s="103" t="s">
        <v>10</v>
      </c>
      <c r="D66" s="103" t="s">
        <v>43</v>
      </c>
      <c r="E66" s="103" t="s">
        <v>12</v>
      </c>
      <c r="F66" s="103" t="s">
        <v>13</v>
      </c>
      <c r="G66" s="103" t="s">
        <v>14</v>
      </c>
    </row>
    <row r="67" spans="1:7" ht="15.6" x14ac:dyDescent="0.3">
      <c r="A67" s="57">
        <v>6</v>
      </c>
      <c r="B67" s="58" t="s">
        <v>15</v>
      </c>
      <c r="C67" s="58" t="s">
        <v>298</v>
      </c>
      <c r="D67" s="59" t="s">
        <v>111</v>
      </c>
      <c r="E67" s="60">
        <v>126.82</v>
      </c>
      <c r="F67" s="61">
        <f t="shared" ref="F67:F100" si="2">A67*E67</f>
        <v>760.92</v>
      </c>
      <c r="G67" s="62"/>
    </row>
    <row r="68" spans="1:7" ht="15.6" x14ac:dyDescent="0.3">
      <c r="A68" s="63">
        <v>6</v>
      </c>
      <c r="B68" s="64" t="s">
        <v>15</v>
      </c>
      <c r="C68" s="64" t="s">
        <v>299</v>
      </c>
      <c r="D68" s="65" t="s">
        <v>111</v>
      </c>
      <c r="E68" s="66">
        <v>60.06</v>
      </c>
      <c r="F68" s="67">
        <f t="shared" si="2"/>
        <v>360.36</v>
      </c>
      <c r="G68" s="68"/>
    </row>
    <row r="69" spans="1:7" ht="15.6" x14ac:dyDescent="0.3">
      <c r="A69" s="63">
        <v>6</v>
      </c>
      <c r="B69" s="64" t="s">
        <v>15</v>
      </c>
      <c r="C69" s="64" t="s">
        <v>300</v>
      </c>
      <c r="D69" s="65" t="s">
        <v>111</v>
      </c>
      <c r="E69" s="66">
        <v>53.14</v>
      </c>
      <c r="F69" s="67">
        <f t="shared" si="2"/>
        <v>318.84000000000003</v>
      </c>
      <c r="G69" s="68"/>
    </row>
    <row r="70" spans="1:7" ht="15.6" x14ac:dyDescent="0.3">
      <c r="A70" s="63">
        <v>6</v>
      </c>
      <c r="B70" s="64" t="s">
        <v>15</v>
      </c>
      <c r="C70" s="64" t="s">
        <v>301</v>
      </c>
      <c r="D70" s="65" t="s">
        <v>111</v>
      </c>
      <c r="E70" s="66">
        <v>138.38999999999999</v>
      </c>
      <c r="F70" s="67">
        <f t="shared" si="2"/>
        <v>830.33999999999992</v>
      </c>
      <c r="G70" s="68"/>
    </row>
    <row r="71" spans="1:7" ht="15.6" x14ac:dyDescent="0.3">
      <c r="A71" s="63">
        <v>6</v>
      </c>
      <c r="B71" s="64" t="s">
        <v>15</v>
      </c>
      <c r="C71" s="64" t="s">
        <v>302</v>
      </c>
      <c r="D71" s="65" t="s">
        <v>111</v>
      </c>
      <c r="E71" s="66">
        <v>106.21</v>
      </c>
      <c r="F71" s="67">
        <f t="shared" si="2"/>
        <v>637.26</v>
      </c>
      <c r="G71" s="68"/>
    </row>
    <row r="72" spans="1:7" ht="15.6" x14ac:dyDescent="0.3">
      <c r="A72" s="63">
        <v>5</v>
      </c>
      <c r="B72" s="64" t="s">
        <v>15</v>
      </c>
      <c r="C72" s="64" t="s">
        <v>303</v>
      </c>
      <c r="D72" s="65"/>
      <c r="E72" s="66">
        <v>141.54</v>
      </c>
      <c r="F72" s="67">
        <f t="shared" si="2"/>
        <v>707.69999999999993</v>
      </c>
      <c r="G72" s="68"/>
    </row>
    <row r="73" spans="1:7" ht="15.6" x14ac:dyDescent="0.3">
      <c r="A73" s="63">
        <v>6</v>
      </c>
      <c r="B73" s="64" t="s">
        <v>15</v>
      </c>
      <c r="C73" s="64" t="s">
        <v>311</v>
      </c>
      <c r="D73" s="65" t="s">
        <v>312</v>
      </c>
      <c r="E73" s="66">
        <v>15.74</v>
      </c>
      <c r="F73" s="67">
        <f t="shared" si="2"/>
        <v>94.44</v>
      </c>
      <c r="G73" s="68"/>
    </row>
    <row r="74" spans="1:7" ht="15.6" x14ac:dyDescent="0.3">
      <c r="A74" s="63">
        <v>4</v>
      </c>
      <c r="B74" s="64" t="s">
        <v>15</v>
      </c>
      <c r="C74" s="64" t="s">
        <v>313</v>
      </c>
      <c r="D74" s="65"/>
      <c r="E74" s="66">
        <v>56.66</v>
      </c>
      <c r="F74" s="67">
        <f t="shared" si="2"/>
        <v>226.64</v>
      </c>
      <c r="G74" s="68"/>
    </row>
    <row r="75" spans="1:7" ht="15.6" x14ac:dyDescent="0.3">
      <c r="A75" s="63">
        <v>15</v>
      </c>
      <c r="B75" s="64" t="s">
        <v>15</v>
      </c>
      <c r="C75" s="64" t="s">
        <v>314</v>
      </c>
      <c r="D75" s="65"/>
      <c r="E75" s="66">
        <v>35.99</v>
      </c>
      <c r="F75" s="67">
        <f t="shared" si="2"/>
        <v>539.85</v>
      </c>
      <c r="G75" s="68"/>
    </row>
    <row r="76" spans="1:7" ht="15.6" x14ac:dyDescent="0.3">
      <c r="A76" s="63">
        <v>6</v>
      </c>
      <c r="B76" s="64" t="s">
        <v>15</v>
      </c>
      <c r="C76" s="64" t="s">
        <v>315</v>
      </c>
      <c r="D76" s="65"/>
      <c r="E76" s="66">
        <v>40.450000000000003</v>
      </c>
      <c r="F76" s="67">
        <f t="shared" si="2"/>
        <v>242.70000000000002</v>
      </c>
      <c r="G76" s="68"/>
    </row>
    <row r="77" spans="1:7" ht="15.6" x14ac:dyDescent="0.3">
      <c r="A77" s="63">
        <v>6</v>
      </c>
      <c r="B77" s="64" t="s">
        <v>15</v>
      </c>
      <c r="C77" s="64" t="s">
        <v>316</v>
      </c>
      <c r="D77" s="65"/>
      <c r="E77" s="66">
        <v>109.8</v>
      </c>
      <c r="F77" s="67">
        <f t="shared" si="2"/>
        <v>658.8</v>
      </c>
      <c r="G77" s="68"/>
    </row>
    <row r="78" spans="1:7" ht="15.6" x14ac:dyDescent="0.3">
      <c r="A78" s="63">
        <v>6</v>
      </c>
      <c r="B78" s="64" t="s">
        <v>15</v>
      </c>
      <c r="C78" s="64" t="s">
        <v>317</v>
      </c>
      <c r="D78" s="65"/>
      <c r="E78" s="66">
        <v>37.549999999999997</v>
      </c>
      <c r="F78" s="67">
        <f t="shared" si="2"/>
        <v>225.29999999999998</v>
      </c>
      <c r="G78" s="68"/>
    </row>
    <row r="79" spans="1:7" ht="15.6" x14ac:dyDescent="0.3">
      <c r="A79" s="63">
        <v>6</v>
      </c>
      <c r="B79" s="64" t="s">
        <v>15</v>
      </c>
      <c r="C79" s="64" t="s">
        <v>318</v>
      </c>
      <c r="D79" s="65"/>
      <c r="E79" s="66">
        <v>27</v>
      </c>
      <c r="F79" s="67">
        <f t="shared" si="2"/>
        <v>162</v>
      </c>
      <c r="G79" s="68"/>
    </row>
    <row r="80" spans="1:7" ht="15.6" x14ac:dyDescent="0.3">
      <c r="A80" s="63">
        <v>6</v>
      </c>
      <c r="B80" s="64" t="s">
        <v>15</v>
      </c>
      <c r="C80" s="64" t="s">
        <v>319</v>
      </c>
      <c r="D80" s="65"/>
      <c r="E80" s="66">
        <v>104.8</v>
      </c>
      <c r="F80" s="67">
        <f t="shared" si="2"/>
        <v>628.79999999999995</v>
      </c>
      <c r="G80" s="68"/>
    </row>
    <row r="81" spans="1:7" ht="15.6" x14ac:dyDescent="0.3">
      <c r="A81" s="63"/>
      <c r="B81" s="64"/>
      <c r="C81" s="64"/>
      <c r="D81" s="65"/>
      <c r="E81" s="66"/>
      <c r="F81" s="67"/>
      <c r="G81" s="68"/>
    </row>
    <row r="82" spans="1:7" ht="15.6" x14ac:dyDescent="0.3">
      <c r="A82" s="63">
        <v>20</v>
      </c>
      <c r="B82" s="64" t="s">
        <v>15</v>
      </c>
      <c r="C82" s="64" t="s">
        <v>320</v>
      </c>
      <c r="D82" s="65"/>
      <c r="E82" s="66">
        <v>12.58</v>
      </c>
      <c r="F82" s="67">
        <f t="shared" si="2"/>
        <v>251.6</v>
      </c>
      <c r="G82" s="68"/>
    </row>
    <row r="83" spans="1:7" ht="15.6" x14ac:dyDescent="0.3">
      <c r="A83" s="63">
        <v>15</v>
      </c>
      <c r="B83" s="64" t="s">
        <v>15</v>
      </c>
      <c r="C83" s="64" t="s">
        <v>321</v>
      </c>
      <c r="D83" s="65"/>
      <c r="E83" s="66">
        <v>43.04</v>
      </c>
      <c r="F83" s="67">
        <f t="shared" si="2"/>
        <v>645.6</v>
      </c>
      <c r="G83" s="68"/>
    </row>
    <row r="84" spans="1:7" ht="31.2" x14ac:dyDescent="0.3">
      <c r="A84" s="63">
        <v>6</v>
      </c>
      <c r="B84" s="64" t="s">
        <v>15</v>
      </c>
      <c r="C84" s="64" t="s">
        <v>322</v>
      </c>
      <c r="D84" s="65"/>
      <c r="E84" s="66">
        <v>73.459999999999994</v>
      </c>
      <c r="F84" s="67">
        <f t="shared" si="2"/>
        <v>440.76</v>
      </c>
      <c r="G84" s="68"/>
    </row>
    <row r="85" spans="1:7" ht="31.2" x14ac:dyDescent="0.3">
      <c r="A85" s="63">
        <v>12</v>
      </c>
      <c r="B85" s="64" t="s">
        <v>15</v>
      </c>
      <c r="C85" s="64" t="s">
        <v>323</v>
      </c>
      <c r="D85" s="65"/>
      <c r="E85" s="66">
        <v>155.57</v>
      </c>
      <c r="F85" s="67">
        <f t="shared" si="2"/>
        <v>1866.84</v>
      </c>
      <c r="G85" s="68"/>
    </row>
    <row r="86" spans="1:7" ht="31.2" x14ac:dyDescent="0.3">
      <c r="A86" s="63">
        <v>4</v>
      </c>
      <c r="B86" s="64" t="s">
        <v>15</v>
      </c>
      <c r="C86" s="64" t="s">
        <v>429</v>
      </c>
      <c r="D86" s="65"/>
      <c r="E86" s="66">
        <v>150.78</v>
      </c>
      <c r="F86" s="67">
        <f t="shared" si="2"/>
        <v>603.12</v>
      </c>
      <c r="G86" s="68"/>
    </row>
    <row r="87" spans="1:7" ht="15.6" x14ac:dyDescent="0.3">
      <c r="A87" s="63">
        <v>8</v>
      </c>
      <c r="B87" s="64" t="s">
        <v>15</v>
      </c>
      <c r="C87" s="64" t="s">
        <v>430</v>
      </c>
      <c r="D87" s="65">
        <v>4085</v>
      </c>
      <c r="E87" s="66">
        <v>167.3</v>
      </c>
      <c r="F87" s="67">
        <f t="shared" si="2"/>
        <v>1338.4</v>
      </c>
      <c r="G87" s="68"/>
    </row>
    <row r="88" spans="1:7" ht="15.6" x14ac:dyDescent="0.3">
      <c r="A88" s="63">
        <v>8</v>
      </c>
      <c r="B88" s="64" t="s">
        <v>15</v>
      </c>
      <c r="C88" s="64" t="s">
        <v>431</v>
      </c>
      <c r="D88" s="65" t="s">
        <v>111</v>
      </c>
      <c r="E88" s="66">
        <v>60.28</v>
      </c>
      <c r="F88" s="67">
        <f t="shared" si="2"/>
        <v>482.24</v>
      </c>
      <c r="G88" s="68"/>
    </row>
    <row r="89" spans="1:7" ht="31.2" x14ac:dyDescent="0.3">
      <c r="A89" s="69">
        <v>6</v>
      </c>
      <c r="B89" s="64" t="s">
        <v>15</v>
      </c>
      <c r="C89" s="64" t="s">
        <v>432</v>
      </c>
      <c r="D89" s="65" t="s">
        <v>111</v>
      </c>
      <c r="E89" s="66">
        <v>256.04000000000002</v>
      </c>
      <c r="F89" s="67">
        <f t="shared" si="2"/>
        <v>1536.2400000000002</v>
      </c>
      <c r="G89" s="68"/>
    </row>
    <row r="90" spans="1:7" ht="15.6" x14ac:dyDescent="0.3">
      <c r="A90" s="69"/>
      <c r="B90" s="64"/>
      <c r="C90" s="64"/>
      <c r="D90" s="65"/>
      <c r="E90" s="66"/>
      <c r="F90" s="67">
        <f t="shared" si="2"/>
        <v>0</v>
      </c>
      <c r="G90" s="68"/>
    </row>
    <row r="91" spans="1:7" ht="15.6" x14ac:dyDescent="0.3">
      <c r="A91" s="69"/>
      <c r="B91" s="64"/>
      <c r="C91" s="64"/>
      <c r="D91" s="65"/>
      <c r="E91" s="66"/>
      <c r="F91" s="67">
        <f t="shared" si="2"/>
        <v>0</v>
      </c>
      <c r="G91" s="68"/>
    </row>
    <row r="92" spans="1:7" ht="15.6" x14ac:dyDescent="0.3">
      <c r="A92" s="69"/>
      <c r="B92" s="64"/>
      <c r="C92" s="64"/>
      <c r="D92" s="65"/>
      <c r="E92" s="66"/>
      <c r="F92" s="67">
        <f t="shared" si="2"/>
        <v>0</v>
      </c>
      <c r="G92" s="68"/>
    </row>
    <row r="93" spans="1:7" ht="15.6" x14ac:dyDescent="0.3">
      <c r="A93" s="69"/>
      <c r="B93" s="64"/>
      <c r="C93" s="64"/>
      <c r="D93" s="65"/>
      <c r="E93" s="66"/>
      <c r="F93" s="67">
        <f t="shared" si="2"/>
        <v>0</v>
      </c>
      <c r="G93" s="68"/>
    </row>
    <row r="94" spans="1:7" ht="15.6" x14ac:dyDescent="0.3">
      <c r="A94" s="69"/>
      <c r="B94" s="64"/>
      <c r="C94" s="64"/>
      <c r="D94" s="65"/>
      <c r="E94" s="66"/>
      <c r="F94" s="67">
        <f t="shared" si="2"/>
        <v>0</v>
      </c>
      <c r="G94" s="68"/>
    </row>
    <row r="95" spans="1:7" ht="15.6" x14ac:dyDescent="0.3">
      <c r="A95" s="69"/>
      <c r="B95" s="64"/>
      <c r="C95" s="64"/>
      <c r="D95" s="65"/>
      <c r="E95" s="66"/>
      <c r="F95" s="67">
        <f t="shared" si="2"/>
        <v>0</v>
      </c>
      <c r="G95" s="68"/>
    </row>
    <row r="96" spans="1:7" ht="15.6" x14ac:dyDescent="0.3">
      <c r="A96" s="69"/>
      <c r="B96" s="64"/>
      <c r="C96" s="64"/>
      <c r="D96" s="65"/>
      <c r="E96" s="66"/>
      <c r="F96" s="67">
        <f t="shared" si="2"/>
        <v>0</v>
      </c>
      <c r="G96" s="68"/>
    </row>
    <row r="97" spans="1:7" ht="15.6" x14ac:dyDescent="0.3">
      <c r="A97" s="69"/>
      <c r="B97" s="64"/>
      <c r="C97" s="64"/>
      <c r="D97" s="65"/>
      <c r="E97" s="66"/>
      <c r="F97" s="67">
        <f t="shared" si="2"/>
        <v>0</v>
      </c>
      <c r="G97" s="68"/>
    </row>
    <row r="98" spans="1:7" ht="15.6" x14ac:dyDescent="0.3">
      <c r="A98" s="69"/>
      <c r="B98" s="64"/>
      <c r="C98" s="64"/>
      <c r="D98" s="65"/>
      <c r="E98" s="66"/>
      <c r="F98" s="67">
        <f t="shared" si="2"/>
        <v>0</v>
      </c>
      <c r="G98" s="68"/>
    </row>
    <row r="99" spans="1:7" ht="15.6" x14ac:dyDescent="0.3">
      <c r="A99" s="69"/>
      <c r="B99" s="64"/>
      <c r="C99" s="64"/>
      <c r="D99" s="65"/>
      <c r="E99" s="66"/>
      <c r="F99" s="67">
        <f t="shared" si="2"/>
        <v>0</v>
      </c>
      <c r="G99" s="68"/>
    </row>
    <row r="100" spans="1:7" ht="15.6" x14ac:dyDescent="0.3">
      <c r="A100" s="70"/>
      <c r="B100" s="71"/>
      <c r="C100" s="71"/>
      <c r="D100" s="72"/>
      <c r="E100" s="73"/>
      <c r="F100" s="74">
        <f t="shared" si="2"/>
        <v>0</v>
      </c>
      <c r="G100" s="75"/>
    </row>
    <row r="101" spans="1:7" ht="17.399999999999999" x14ac:dyDescent="0.3">
      <c r="A101" s="76"/>
      <c r="B101" s="77"/>
      <c r="C101" s="164" t="s">
        <v>27</v>
      </c>
      <c r="D101" s="164"/>
      <c r="E101" s="78"/>
      <c r="F101" s="79">
        <f>SUM(F67:F99)</f>
        <v>13558.750000000002</v>
      </c>
      <c r="G101" s="80"/>
    </row>
    <row r="102" spans="1:7" ht="17.399999999999999" x14ac:dyDescent="0.3">
      <c r="A102" s="81"/>
      <c r="B102" s="82"/>
      <c r="C102" s="165" t="s">
        <v>28</v>
      </c>
      <c r="D102" s="165"/>
      <c r="E102" s="83"/>
      <c r="F102" s="84">
        <f>F101*0.16</f>
        <v>2169.4000000000005</v>
      </c>
      <c r="G102" s="85"/>
    </row>
    <row r="103" spans="1:7" ht="17.399999999999999" x14ac:dyDescent="0.3">
      <c r="A103" s="81"/>
      <c r="B103" s="82"/>
      <c r="C103" s="166" t="s">
        <v>29</v>
      </c>
      <c r="D103" s="166"/>
      <c r="E103" s="86"/>
      <c r="F103" s="87">
        <f>F101+F102</f>
        <v>15728.150000000001</v>
      </c>
      <c r="G103" s="88"/>
    </row>
    <row r="104" spans="1:7" ht="15.6" x14ac:dyDescent="0.3">
      <c r="A104" s="167" t="s">
        <v>30</v>
      </c>
      <c r="B104" s="168"/>
      <c r="C104" s="89" t="s">
        <v>31</v>
      </c>
      <c r="D104" s="89"/>
      <c r="E104" s="168" t="s">
        <v>32</v>
      </c>
      <c r="F104" s="168"/>
      <c r="G104" s="169"/>
    </row>
    <row r="105" spans="1:7" ht="15.6" x14ac:dyDescent="0.3">
      <c r="A105" s="170" t="s">
        <v>52</v>
      </c>
      <c r="B105" s="171"/>
      <c r="C105" s="104" t="s">
        <v>33</v>
      </c>
      <c r="D105" s="90"/>
      <c r="E105" s="171" t="s">
        <v>273</v>
      </c>
      <c r="F105" s="171"/>
      <c r="G105" s="172"/>
    </row>
    <row r="109" spans="1:7" ht="21" x14ac:dyDescent="0.4">
      <c r="A109" s="49"/>
      <c r="B109" s="184" t="s">
        <v>45</v>
      </c>
      <c r="C109" s="185"/>
      <c r="D109" s="190" t="s">
        <v>36</v>
      </c>
      <c r="E109" s="191"/>
      <c r="F109" s="191"/>
      <c r="G109" s="192"/>
    </row>
    <row r="110" spans="1:7" ht="21" x14ac:dyDescent="0.4">
      <c r="A110" s="50"/>
      <c r="B110" s="186"/>
      <c r="C110" s="187"/>
      <c r="D110" s="193" t="s">
        <v>1</v>
      </c>
      <c r="E110" s="194"/>
      <c r="F110" s="195" t="s">
        <v>274</v>
      </c>
      <c r="G110" s="177"/>
    </row>
    <row r="111" spans="1:7" ht="21" x14ac:dyDescent="0.4">
      <c r="A111" s="50"/>
      <c r="B111" s="186"/>
      <c r="C111" s="187"/>
      <c r="D111" s="193" t="s">
        <v>267</v>
      </c>
      <c r="E111" s="194"/>
      <c r="F111" s="176">
        <v>19</v>
      </c>
      <c r="G111" s="177"/>
    </row>
    <row r="112" spans="1:7" ht="27.6" customHeight="1" x14ac:dyDescent="0.4">
      <c r="A112" s="51"/>
      <c r="B112" s="188"/>
      <c r="C112" s="189"/>
      <c r="D112" s="178" t="s">
        <v>38</v>
      </c>
      <c r="E112" s="179"/>
      <c r="F112" s="180" t="s">
        <v>292</v>
      </c>
      <c r="G112" s="181"/>
    </row>
    <row r="113" spans="1:7" ht="20.399999999999999" x14ac:dyDescent="0.35">
      <c r="A113" s="52" t="s">
        <v>39</v>
      </c>
      <c r="B113" s="53" t="s">
        <v>279</v>
      </c>
      <c r="C113" s="54"/>
      <c r="D113" s="54"/>
      <c r="E113" s="182"/>
      <c r="F113" s="182"/>
      <c r="G113" s="183"/>
    </row>
    <row r="114" spans="1:7" ht="20.399999999999999" x14ac:dyDescent="0.35">
      <c r="A114" s="52" t="s">
        <v>40</v>
      </c>
      <c r="B114" s="173"/>
      <c r="C114" s="174"/>
      <c r="D114" s="174"/>
      <c r="E114" s="174"/>
      <c r="F114" s="174"/>
      <c r="G114" s="175"/>
    </row>
    <row r="115" spans="1:7" ht="20.399999999999999" x14ac:dyDescent="0.35">
      <c r="A115" s="52" t="s">
        <v>41</v>
      </c>
      <c r="B115" s="173" t="s">
        <v>272</v>
      </c>
      <c r="C115" s="174"/>
      <c r="D115" s="174"/>
      <c r="E115" s="174"/>
      <c r="F115" s="174"/>
      <c r="G115" s="175"/>
    </row>
    <row r="116" spans="1:7" ht="20.399999999999999" x14ac:dyDescent="0.35">
      <c r="A116" s="52" t="s">
        <v>42</v>
      </c>
      <c r="B116" s="173" t="s">
        <v>236</v>
      </c>
      <c r="C116" s="174"/>
      <c r="D116" s="174"/>
      <c r="E116" s="174"/>
      <c r="F116" s="174"/>
      <c r="G116" s="175"/>
    </row>
    <row r="117" spans="1:7" ht="15" x14ac:dyDescent="0.3">
      <c r="A117" s="103" t="s">
        <v>8</v>
      </c>
      <c r="B117" s="103" t="s">
        <v>9</v>
      </c>
      <c r="C117" s="103" t="s">
        <v>10</v>
      </c>
      <c r="D117" s="103" t="s">
        <v>43</v>
      </c>
      <c r="E117" s="103" t="s">
        <v>12</v>
      </c>
      <c r="F117" s="103" t="s">
        <v>13</v>
      </c>
      <c r="G117" s="103" t="s">
        <v>14</v>
      </c>
    </row>
    <row r="118" spans="1:7" ht="15.6" x14ac:dyDescent="0.3">
      <c r="A118" s="57">
        <v>10</v>
      </c>
      <c r="B118" s="58" t="s">
        <v>293</v>
      </c>
      <c r="C118" s="58" t="s">
        <v>294</v>
      </c>
      <c r="D118" s="59"/>
      <c r="E118" s="60">
        <v>290.72000000000003</v>
      </c>
      <c r="F118" s="61">
        <f t="shared" ref="F118:F127" si="3">A118*E118</f>
        <v>2907.2000000000003</v>
      </c>
      <c r="G118" s="62"/>
    </row>
    <row r="119" spans="1:7" ht="15.6" x14ac:dyDescent="0.3">
      <c r="A119" s="63"/>
      <c r="B119" s="64"/>
      <c r="C119" s="64"/>
      <c r="D119" s="65"/>
      <c r="E119" s="66"/>
      <c r="F119" s="67">
        <f t="shared" si="3"/>
        <v>0</v>
      </c>
      <c r="G119" s="68"/>
    </row>
    <row r="120" spans="1:7" ht="15.6" x14ac:dyDescent="0.3">
      <c r="A120" s="63"/>
      <c r="B120" s="64"/>
      <c r="C120" s="64"/>
      <c r="D120" s="65"/>
      <c r="E120" s="66"/>
      <c r="F120" s="67">
        <f t="shared" si="3"/>
        <v>0</v>
      </c>
      <c r="G120" s="68"/>
    </row>
    <row r="121" spans="1:7" ht="15.6" x14ac:dyDescent="0.3">
      <c r="A121" s="63"/>
      <c r="B121" s="64"/>
      <c r="C121" s="105" t="s">
        <v>297</v>
      </c>
      <c r="D121" s="65"/>
      <c r="E121" s="66"/>
      <c r="F121" s="67">
        <f t="shared" si="3"/>
        <v>0</v>
      </c>
      <c r="G121" s="68"/>
    </row>
    <row r="122" spans="1:7" ht="15.6" x14ac:dyDescent="0.3">
      <c r="A122" s="69"/>
      <c r="B122" s="64"/>
      <c r="C122" s="64"/>
      <c r="D122" s="65"/>
      <c r="E122" s="66"/>
      <c r="F122" s="67">
        <f t="shared" si="3"/>
        <v>0</v>
      </c>
      <c r="G122" s="68"/>
    </row>
    <row r="123" spans="1:7" ht="15.6" x14ac:dyDescent="0.3">
      <c r="A123" s="69"/>
      <c r="B123" s="64"/>
      <c r="C123" s="64"/>
      <c r="D123" s="65"/>
      <c r="E123" s="66"/>
      <c r="F123" s="67">
        <f t="shared" si="3"/>
        <v>0</v>
      </c>
      <c r="G123" s="68"/>
    </row>
    <row r="124" spans="1:7" ht="15.6" x14ac:dyDescent="0.3">
      <c r="A124" s="69"/>
      <c r="B124" s="64"/>
      <c r="C124" s="64"/>
      <c r="D124" s="65"/>
      <c r="E124" s="66"/>
      <c r="F124" s="67">
        <f t="shared" si="3"/>
        <v>0</v>
      </c>
      <c r="G124" s="68"/>
    </row>
    <row r="125" spans="1:7" ht="15.6" x14ac:dyDescent="0.3">
      <c r="A125" s="69"/>
      <c r="B125" s="64"/>
      <c r="C125" s="64"/>
      <c r="D125" s="65"/>
      <c r="E125" s="66"/>
      <c r="F125" s="67">
        <f t="shared" si="3"/>
        <v>0</v>
      </c>
      <c r="G125" s="68"/>
    </row>
    <row r="126" spans="1:7" ht="15.6" x14ac:dyDescent="0.3">
      <c r="A126" s="69"/>
      <c r="B126" s="64"/>
      <c r="C126" s="64"/>
      <c r="D126" s="65"/>
      <c r="E126" s="66"/>
      <c r="F126" s="67">
        <f t="shared" si="3"/>
        <v>0</v>
      </c>
      <c r="G126" s="68"/>
    </row>
    <row r="127" spans="1:7" ht="15.6" x14ac:dyDescent="0.3">
      <c r="A127" s="70"/>
      <c r="B127" s="71"/>
      <c r="C127" s="71"/>
      <c r="D127" s="72"/>
      <c r="E127" s="73"/>
      <c r="F127" s="74">
        <f t="shared" si="3"/>
        <v>0</v>
      </c>
      <c r="G127" s="75"/>
    </row>
    <row r="128" spans="1:7" ht="17.399999999999999" x14ac:dyDescent="0.3">
      <c r="A128" s="76"/>
      <c r="B128" s="77"/>
      <c r="C128" s="164" t="s">
        <v>27</v>
      </c>
      <c r="D128" s="164"/>
      <c r="E128" s="78"/>
      <c r="F128" s="79">
        <f>SUM(F118:F126)</f>
        <v>2907.2000000000003</v>
      </c>
      <c r="G128" s="80"/>
    </row>
    <row r="129" spans="1:7" ht="17.399999999999999" x14ac:dyDescent="0.3">
      <c r="A129" s="81"/>
      <c r="B129" s="82"/>
      <c r="C129" s="165" t="s">
        <v>28</v>
      </c>
      <c r="D129" s="165"/>
      <c r="E129" s="83"/>
      <c r="F129" s="84">
        <f>F128*0.16</f>
        <v>465.15200000000004</v>
      </c>
      <c r="G129" s="85"/>
    </row>
    <row r="130" spans="1:7" ht="17.399999999999999" x14ac:dyDescent="0.3">
      <c r="A130" s="81"/>
      <c r="B130" s="82"/>
      <c r="C130" s="166" t="s">
        <v>29</v>
      </c>
      <c r="D130" s="166"/>
      <c r="E130" s="86"/>
      <c r="F130" s="87">
        <f>F128+F129</f>
        <v>3372.3520000000003</v>
      </c>
      <c r="G130" s="88"/>
    </row>
    <row r="131" spans="1:7" ht="15.6" x14ac:dyDescent="0.3">
      <c r="A131" s="167" t="s">
        <v>30</v>
      </c>
      <c r="B131" s="168"/>
      <c r="C131" s="89" t="s">
        <v>31</v>
      </c>
      <c r="D131" s="89"/>
      <c r="E131" s="168" t="s">
        <v>32</v>
      </c>
      <c r="F131" s="168"/>
      <c r="G131" s="169"/>
    </row>
    <row r="132" spans="1:7" ht="15.6" x14ac:dyDescent="0.3">
      <c r="A132" s="170" t="s">
        <v>52</v>
      </c>
      <c r="B132" s="171"/>
      <c r="C132" s="104" t="s">
        <v>33</v>
      </c>
      <c r="D132" s="90"/>
      <c r="E132" s="171" t="s">
        <v>273</v>
      </c>
      <c r="F132" s="171"/>
      <c r="G132" s="172"/>
    </row>
    <row r="136" spans="1:7" ht="21" x14ac:dyDescent="0.4">
      <c r="A136" s="49"/>
      <c r="B136" s="184" t="s">
        <v>45</v>
      </c>
      <c r="C136" s="185"/>
      <c r="D136" s="190" t="s">
        <v>36</v>
      </c>
      <c r="E136" s="191"/>
      <c r="F136" s="191"/>
      <c r="G136" s="192"/>
    </row>
    <row r="137" spans="1:7" ht="21" x14ac:dyDescent="0.4">
      <c r="A137" s="50"/>
      <c r="B137" s="186"/>
      <c r="C137" s="187"/>
      <c r="D137" s="193" t="s">
        <v>1</v>
      </c>
      <c r="E137" s="194"/>
      <c r="F137" s="195" t="s">
        <v>274</v>
      </c>
      <c r="G137" s="177"/>
    </row>
    <row r="138" spans="1:7" ht="21" x14ac:dyDescent="0.4">
      <c r="A138" s="50"/>
      <c r="B138" s="186"/>
      <c r="C138" s="187"/>
      <c r="D138" s="193" t="s">
        <v>267</v>
      </c>
      <c r="E138" s="194"/>
      <c r="F138" s="176">
        <v>19</v>
      </c>
      <c r="G138" s="177"/>
    </row>
    <row r="139" spans="1:7" ht="21" x14ac:dyDescent="0.4">
      <c r="A139" s="51"/>
      <c r="B139" s="188"/>
      <c r="C139" s="189"/>
      <c r="D139" s="178" t="s">
        <v>38</v>
      </c>
      <c r="E139" s="179"/>
      <c r="F139" s="180" t="s">
        <v>295</v>
      </c>
      <c r="G139" s="181"/>
    </row>
    <row r="140" spans="1:7" ht="20.399999999999999" x14ac:dyDescent="0.35">
      <c r="A140" s="52" t="s">
        <v>39</v>
      </c>
      <c r="B140" s="53" t="s">
        <v>279</v>
      </c>
      <c r="C140" s="54"/>
      <c r="D140" s="54"/>
      <c r="E140" s="182"/>
      <c r="F140" s="182"/>
      <c r="G140" s="183"/>
    </row>
    <row r="141" spans="1:7" ht="20.399999999999999" x14ac:dyDescent="0.35">
      <c r="A141" s="52" t="s">
        <v>40</v>
      </c>
      <c r="B141" s="173"/>
      <c r="C141" s="174"/>
      <c r="D141" s="174"/>
      <c r="E141" s="174"/>
      <c r="F141" s="174"/>
      <c r="G141" s="175"/>
    </row>
    <row r="142" spans="1:7" ht="20.399999999999999" x14ac:dyDescent="0.35">
      <c r="A142" s="52" t="s">
        <v>41</v>
      </c>
      <c r="B142" s="173" t="s">
        <v>272</v>
      </c>
      <c r="C142" s="174"/>
      <c r="D142" s="174"/>
      <c r="E142" s="174"/>
      <c r="F142" s="174"/>
      <c r="G142" s="175"/>
    </row>
    <row r="143" spans="1:7" ht="20.399999999999999" x14ac:dyDescent="0.35">
      <c r="A143" s="52" t="s">
        <v>42</v>
      </c>
      <c r="B143" s="173" t="s">
        <v>175</v>
      </c>
      <c r="C143" s="174"/>
      <c r="D143" s="174"/>
      <c r="E143" s="174"/>
      <c r="F143" s="174"/>
      <c r="G143" s="175"/>
    </row>
    <row r="144" spans="1:7" ht="15" x14ac:dyDescent="0.3">
      <c r="A144" s="103" t="s">
        <v>8</v>
      </c>
      <c r="B144" s="103" t="s">
        <v>9</v>
      </c>
      <c r="C144" s="103" t="s">
        <v>10</v>
      </c>
      <c r="D144" s="103" t="s">
        <v>43</v>
      </c>
      <c r="E144" s="103" t="s">
        <v>12</v>
      </c>
      <c r="F144" s="103" t="s">
        <v>13</v>
      </c>
      <c r="G144" s="103" t="s">
        <v>14</v>
      </c>
    </row>
    <row r="145" spans="1:7" ht="15.6" x14ac:dyDescent="0.3">
      <c r="A145" s="57">
        <v>1</v>
      </c>
      <c r="B145" s="58" t="s">
        <v>15</v>
      </c>
      <c r="C145" s="58" t="s">
        <v>296</v>
      </c>
      <c r="D145" s="59">
        <v>16781</v>
      </c>
      <c r="E145" s="60">
        <v>920</v>
      </c>
      <c r="F145" s="61">
        <f t="shared" ref="F145:F154" si="4">A145*E145</f>
        <v>920</v>
      </c>
      <c r="G145" s="62"/>
    </row>
    <row r="146" spans="1:7" ht="15.6" x14ac:dyDescent="0.3">
      <c r="A146" s="63"/>
      <c r="B146" s="64"/>
      <c r="C146" s="64"/>
      <c r="D146" s="65"/>
      <c r="E146" s="66"/>
      <c r="F146" s="67">
        <f t="shared" si="4"/>
        <v>0</v>
      </c>
      <c r="G146" s="68"/>
    </row>
    <row r="147" spans="1:7" ht="15.6" x14ac:dyDescent="0.3">
      <c r="A147" s="63"/>
      <c r="B147" s="64"/>
      <c r="C147" s="64"/>
      <c r="D147" s="65"/>
      <c r="E147" s="66"/>
      <c r="F147" s="67">
        <f t="shared" si="4"/>
        <v>0</v>
      </c>
      <c r="G147" s="68"/>
    </row>
    <row r="148" spans="1:7" ht="15.6" x14ac:dyDescent="0.3">
      <c r="A148" s="63"/>
      <c r="B148" s="64"/>
      <c r="C148" s="64"/>
      <c r="D148" s="65"/>
      <c r="E148" s="66"/>
      <c r="F148" s="67">
        <f t="shared" si="4"/>
        <v>0</v>
      </c>
      <c r="G148" s="68"/>
    </row>
    <row r="149" spans="1:7" ht="15.6" x14ac:dyDescent="0.3">
      <c r="A149" s="69"/>
      <c r="B149" s="64"/>
      <c r="C149" s="64"/>
      <c r="D149" s="65"/>
      <c r="E149" s="66"/>
      <c r="F149" s="67">
        <f t="shared" si="4"/>
        <v>0</v>
      </c>
      <c r="G149" s="68"/>
    </row>
    <row r="150" spans="1:7" ht="15.6" x14ac:dyDescent="0.3">
      <c r="A150" s="69"/>
      <c r="B150" s="64"/>
      <c r="C150" s="64"/>
      <c r="D150" s="65"/>
      <c r="E150" s="66"/>
      <c r="F150" s="67">
        <f t="shared" si="4"/>
        <v>0</v>
      </c>
      <c r="G150" s="68"/>
    </row>
    <row r="151" spans="1:7" ht="15.6" x14ac:dyDescent="0.3">
      <c r="A151" s="69"/>
      <c r="B151" s="64"/>
      <c r="C151" s="64"/>
      <c r="D151" s="65"/>
      <c r="E151" s="66"/>
      <c r="F151" s="67">
        <f t="shared" si="4"/>
        <v>0</v>
      </c>
      <c r="G151" s="68"/>
    </row>
    <row r="152" spans="1:7" ht="15.6" x14ac:dyDescent="0.3">
      <c r="A152" s="69"/>
      <c r="B152" s="64"/>
      <c r="C152" s="64"/>
      <c r="D152" s="65"/>
      <c r="E152" s="66"/>
      <c r="F152" s="67">
        <f t="shared" si="4"/>
        <v>0</v>
      </c>
      <c r="G152" s="68"/>
    </row>
    <row r="153" spans="1:7" ht="15.6" x14ac:dyDescent="0.3">
      <c r="A153" s="69"/>
      <c r="B153" s="64"/>
      <c r="C153" s="64"/>
      <c r="D153" s="65"/>
      <c r="E153" s="66"/>
      <c r="F153" s="67">
        <f t="shared" si="4"/>
        <v>0</v>
      </c>
      <c r="G153" s="68"/>
    </row>
    <row r="154" spans="1:7" ht="15.6" x14ac:dyDescent="0.3">
      <c r="A154" s="70"/>
      <c r="B154" s="71"/>
      <c r="C154" s="71"/>
      <c r="D154" s="72"/>
      <c r="E154" s="73"/>
      <c r="F154" s="74">
        <f t="shared" si="4"/>
        <v>0</v>
      </c>
      <c r="G154" s="75"/>
    </row>
    <row r="155" spans="1:7" ht="17.399999999999999" x14ac:dyDescent="0.3">
      <c r="A155" s="76"/>
      <c r="B155" s="77"/>
      <c r="C155" s="164" t="s">
        <v>27</v>
      </c>
      <c r="D155" s="164"/>
      <c r="E155" s="78"/>
      <c r="F155" s="79">
        <f>SUM(F145:F153)</f>
        <v>920</v>
      </c>
      <c r="G155" s="80"/>
    </row>
    <row r="156" spans="1:7" ht="17.399999999999999" x14ac:dyDescent="0.3">
      <c r="A156" s="81"/>
      <c r="B156" s="82"/>
      <c r="C156" s="165" t="s">
        <v>28</v>
      </c>
      <c r="D156" s="165"/>
      <c r="E156" s="83"/>
      <c r="F156" s="84">
        <f>F155*0.16</f>
        <v>147.20000000000002</v>
      </c>
      <c r="G156" s="85"/>
    </row>
    <row r="157" spans="1:7" ht="17.399999999999999" x14ac:dyDescent="0.3">
      <c r="A157" s="81"/>
      <c r="B157" s="82"/>
      <c r="C157" s="166" t="s">
        <v>29</v>
      </c>
      <c r="D157" s="166"/>
      <c r="E157" s="86"/>
      <c r="F157" s="87">
        <f>F155+F156</f>
        <v>1067.2</v>
      </c>
      <c r="G157" s="88"/>
    </row>
    <row r="158" spans="1:7" ht="15.6" x14ac:dyDescent="0.3">
      <c r="A158" s="167" t="s">
        <v>30</v>
      </c>
      <c r="B158" s="168"/>
      <c r="C158" s="89" t="s">
        <v>31</v>
      </c>
      <c r="D158" s="89"/>
      <c r="E158" s="168" t="s">
        <v>32</v>
      </c>
      <c r="F158" s="168"/>
      <c r="G158" s="169"/>
    </row>
    <row r="159" spans="1:7" ht="15.6" x14ac:dyDescent="0.3">
      <c r="A159" s="170" t="s">
        <v>52</v>
      </c>
      <c r="B159" s="171"/>
      <c r="C159" s="104" t="s">
        <v>33</v>
      </c>
      <c r="D159" s="90"/>
      <c r="E159" s="171" t="s">
        <v>273</v>
      </c>
      <c r="F159" s="171"/>
      <c r="G159" s="172"/>
    </row>
    <row r="163" spans="1:7" ht="21" x14ac:dyDescent="0.4">
      <c r="A163" s="49"/>
      <c r="B163" s="184" t="s">
        <v>45</v>
      </c>
      <c r="C163" s="185"/>
      <c r="D163" s="190" t="s">
        <v>36</v>
      </c>
      <c r="E163" s="191"/>
      <c r="F163" s="191"/>
      <c r="G163" s="192"/>
    </row>
    <row r="164" spans="1:7" ht="21" x14ac:dyDescent="0.4">
      <c r="A164" s="50"/>
      <c r="B164" s="186"/>
      <c r="C164" s="187"/>
      <c r="D164" s="193" t="s">
        <v>1</v>
      </c>
      <c r="E164" s="194"/>
      <c r="F164" s="195" t="s">
        <v>274</v>
      </c>
      <c r="G164" s="177"/>
    </row>
    <row r="165" spans="1:7" ht="21" x14ac:dyDescent="0.4">
      <c r="A165" s="50"/>
      <c r="B165" s="186"/>
      <c r="C165" s="187"/>
      <c r="D165" s="193" t="s">
        <v>267</v>
      </c>
      <c r="E165" s="194"/>
      <c r="F165" s="176">
        <v>19</v>
      </c>
      <c r="G165" s="177"/>
    </row>
    <row r="166" spans="1:7" ht="33.6" customHeight="1" x14ac:dyDescent="0.4">
      <c r="A166" s="51"/>
      <c r="B166" s="188"/>
      <c r="C166" s="189"/>
      <c r="D166" s="178" t="s">
        <v>38</v>
      </c>
      <c r="E166" s="179"/>
      <c r="F166" s="180" t="s">
        <v>309</v>
      </c>
      <c r="G166" s="181"/>
    </row>
    <row r="167" spans="1:7" ht="20.399999999999999" x14ac:dyDescent="0.35">
      <c r="A167" s="52" t="s">
        <v>39</v>
      </c>
      <c r="B167" s="53" t="s">
        <v>279</v>
      </c>
      <c r="C167" s="54"/>
      <c r="D167" s="54"/>
      <c r="E167" s="182" t="s">
        <v>310</v>
      </c>
      <c r="F167" s="182"/>
      <c r="G167" s="183"/>
    </row>
    <row r="168" spans="1:7" ht="20.399999999999999" x14ac:dyDescent="0.35">
      <c r="A168" s="52" t="s">
        <v>40</v>
      </c>
      <c r="B168" s="173"/>
      <c r="C168" s="174"/>
      <c r="D168" s="174"/>
      <c r="E168" s="174"/>
      <c r="F168" s="174"/>
      <c r="G168" s="175"/>
    </row>
    <row r="169" spans="1:7" ht="20.399999999999999" x14ac:dyDescent="0.35">
      <c r="A169" s="52" t="s">
        <v>41</v>
      </c>
      <c r="B169" s="173" t="s">
        <v>304</v>
      </c>
      <c r="C169" s="174"/>
      <c r="D169" s="174"/>
      <c r="E169" s="174"/>
      <c r="F169" s="174"/>
      <c r="G169" s="175"/>
    </row>
    <row r="170" spans="1:7" ht="20.399999999999999" x14ac:dyDescent="0.35">
      <c r="A170" s="52" t="s">
        <v>42</v>
      </c>
      <c r="B170" s="173" t="s">
        <v>175</v>
      </c>
      <c r="C170" s="174"/>
      <c r="D170" s="174"/>
      <c r="E170" s="174"/>
      <c r="F170" s="174"/>
      <c r="G170" s="175"/>
    </row>
    <row r="171" spans="1:7" ht="15" x14ac:dyDescent="0.3">
      <c r="A171" s="103" t="s">
        <v>8</v>
      </c>
      <c r="B171" s="103" t="s">
        <v>9</v>
      </c>
      <c r="C171" s="103" t="s">
        <v>10</v>
      </c>
      <c r="D171" s="103" t="s">
        <v>43</v>
      </c>
      <c r="E171" s="103" t="s">
        <v>12</v>
      </c>
      <c r="F171" s="103" t="s">
        <v>13</v>
      </c>
      <c r="G171" s="103" t="s">
        <v>14</v>
      </c>
    </row>
    <row r="172" spans="1:7" ht="46.8" x14ac:dyDescent="0.3">
      <c r="A172" s="57">
        <v>2</v>
      </c>
      <c r="B172" s="58" t="s">
        <v>15</v>
      </c>
      <c r="C172" s="58" t="s">
        <v>305</v>
      </c>
      <c r="D172" s="59"/>
      <c r="E172" s="60">
        <v>2993.5</v>
      </c>
      <c r="F172" s="61">
        <f t="shared" ref="F172:F181" si="5">A172*E172</f>
        <v>5987</v>
      </c>
      <c r="G172" s="62"/>
    </row>
    <row r="173" spans="1:7" ht="31.2" x14ac:dyDescent="0.3">
      <c r="A173" s="63">
        <v>2</v>
      </c>
      <c r="B173" s="64" t="s">
        <v>15</v>
      </c>
      <c r="C173" s="64" t="s">
        <v>306</v>
      </c>
      <c r="D173" s="65"/>
      <c r="E173" s="66">
        <v>461.96</v>
      </c>
      <c r="F173" s="67">
        <f t="shared" si="5"/>
        <v>923.92</v>
      </c>
      <c r="G173" s="68"/>
    </row>
    <row r="174" spans="1:7" ht="31.2" x14ac:dyDescent="0.3">
      <c r="A174" s="63">
        <v>2</v>
      </c>
      <c r="B174" s="64" t="s">
        <v>15</v>
      </c>
      <c r="C174" s="64" t="s">
        <v>307</v>
      </c>
      <c r="D174" s="65"/>
      <c r="E174" s="66">
        <v>17.11</v>
      </c>
      <c r="F174" s="67">
        <f t="shared" si="5"/>
        <v>34.22</v>
      </c>
      <c r="G174" s="68"/>
    </row>
    <row r="175" spans="1:7" ht="78" x14ac:dyDescent="0.3">
      <c r="A175" s="63">
        <v>2</v>
      </c>
      <c r="B175" s="64" t="s">
        <v>15</v>
      </c>
      <c r="C175" s="64" t="s">
        <v>308</v>
      </c>
      <c r="D175" s="65"/>
      <c r="E175" s="66">
        <v>246.86</v>
      </c>
      <c r="F175" s="67">
        <f t="shared" si="5"/>
        <v>493.72</v>
      </c>
      <c r="G175" s="68"/>
    </row>
    <row r="176" spans="1:7" ht="15.6" x14ac:dyDescent="0.3">
      <c r="A176" s="69"/>
      <c r="B176" s="64"/>
      <c r="C176" s="64"/>
      <c r="D176" s="65"/>
      <c r="E176" s="66"/>
      <c r="F176" s="67">
        <f t="shared" si="5"/>
        <v>0</v>
      </c>
      <c r="G176" s="68"/>
    </row>
    <row r="177" spans="1:7" ht="15.6" x14ac:dyDescent="0.3">
      <c r="A177" s="69"/>
      <c r="B177" s="64"/>
      <c r="C177" s="64"/>
      <c r="D177" s="65"/>
      <c r="E177" s="66"/>
      <c r="F177" s="67">
        <f t="shared" si="5"/>
        <v>0</v>
      </c>
      <c r="G177" s="68"/>
    </row>
    <row r="178" spans="1:7" ht="15.6" x14ac:dyDescent="0.3">
      <c r="A178" s="69"/>
      <c r="B178" s="64"/>
      <c r="C178" s="64"/>
      <c r="D178" s="65"/>
      <c r="E178" s="66"/>
      <c r="F178" s="67">
        <f t="shared" si="5"/>
        <v>0</v>
      </c>
      <c r="G178" s="68"/>
    </row>
    <row r="179" spans="1:7" ht="15.6" x14ac:dyDescent="0.3">
      <c r="A179" s="69"/>
      <c r="B179" s="64"/>
      <c r="C179" s="64"/>
      <c r="D179" s="65"/>
      <c r="E179" s="66"/>
      <c r="F179" s="67">
        <f t="shared" si="5"/>
        <v>0</v>
      </c>
      <c r="G179" s="68"/>
    </row>
    <row r="180" spans="1:7" ht="15.6" x14ac:dyDescent="0.3">
      <c r="A180" s="69"/>
      <c r="B180" s="64"/>
      <c r="C180" s="64"/>
      <c r="D180" s="65"/>
      <c r="E180" s="66"/>
      <c r="F180" s="67">
        <f t="shared" si="5"/>
        <v>0</v>
      </c>
      <c r="G180" s="68"/>
    </row>
    <row r="181" spans="1:7" ht="15.6" x14ac:dyDescent="0.3">
      <c r="A181" s="70"/>
      <c r="B181" s="71"/>
      <c r="C181" s="71"/>
      <c r="D181" s="72"/>
      <c r="E181" s="73"/>
      <c r="F181" s="74">
        <f t="shared" si="5"/>
        <v>0</v>
      </c>
      <c r="G181" s="75"/>
    </row>
    <row r="182" spans="1:7" ht="17.399999999999999" x14ac:dyDescent="0.3">
      <c r="A182" s="76"/>
      <c r="B182" s="77"/>
      <c r="C182" s="164" t="s">
        <v>27</v>
      </c>
      <c r="D182" s="164"/>
      <c r="E182" s="78"/>
      <c r="F182" s="79">
        <f>SUM(F172:F180)</f>
        <v>7438.8600000000006</v>
      </c>
      <c r="G182" s="80"/>
    </row>
    <row r="183" spans="1:7" ht="17.399999999999999" x14ac:dyDescent="0.3">
      <c r="A183" s="81"/>
      <c r="B183" s="82"/>
      <c r="C183" s="165" t="s">
        <v>28</v>
      </c>
      <c r="D183" s="165"/>
      <c r="E183" s="83"/>
      <c r="F183" s="84">
        <f>F182*0.16</f>
        <v>1190.2176000000002</v>
      </c>
      <c r="G183" s="85"/>
    </row>
    <row r="184" spans="1:7" ht="17.399999999999999" x14ac:dyDescent="0.3">
      <c r="A184" s="81"/>
      <c r="B184" s="82"/>
      <c r="C184" s="166" t="s">
        <v>29</v>
      </c>
      <c r="D184" s="166"/>
      <c r="E184" s="86"/>
      <c r="F184" s="87">
        <f>F182+F183</f>
        <v>8629.0776000000005</v>
      </c>
      <c r="G184" s="88"/>
    </row>
    <row r="185" spans="1:7" ht="15.6" x14ac:dyDescent="0.3">
      <c r="A185" s="167" t="s">
        <v>30</v>
      </c>
      <c r="B185" s="168"/>
      <c r="C185" s="89" t="s">
        <v>31</v>
      </c>
      <c r="D185" s="89"/>
      <c r="E185" s="168" t="s">
        <v>32</v>
      </c>
      <c r="F185" s="168"/>
      <c r="G185" s="169"/>
    </row>
    <row r="186" spans="1:7" ht="15.6" x14ac:dyDescent="0.3">
      <c r="A186" s="170" t="s">
        <v>52</v>
      </c>
      <c r="B186" s="171"/>
      <c r="C186" s="104" t="s">
        <v>33</v>
      </c>
      <c r="D186" s="90"/>
      <c r="E186" s="171" t="s">
        <v>273</v>
      </c>
      <c r="F186" s="171"/>
      <c r="G186" s="172"/>
    </row>
    <row r="191" spans="1:7" ht="21" x14ac:dyDescent="0.4">
      <c r="A191" s="49"/>
      <c r="B191" s="184" t="s">
        <v>45</v>
      </c>
      <c r="C191" s="185"/>
      <c r="D191" s="190" t="s">
        <v>36</v>
      </c>
      <c r="E191" s="191"/>
      <c r="F191" s="191"/>
      <c r="G191" s="192"/>
    </row>
    <row r="192" spans="1:7" ht="21" x14ac:dyDescent="0.4">
      <c r="A192" s="50"/>
      <c r="B192" s="186"/>
      <c r="C192" s="187"/>
      <c r="D192" s="193" t="s">
        <v>1</v>
      </c>
      <c r="E192" s="194"/>
      <c r="F192" s="195" t="s">
        <v>325</v>
      </c>
      <c r="G192" s="177"/>
    </row>
    <row r="193" spans="1:7" ht="21" x14ac:dyDescent="0.4">
      <c r="A193" s="50"/>
      <c r="B193" s="186"/>
      <c r="C193" s="187"/>
      <c r="D193" s="193" t="s">
        <v>267</v>
      </c>
      <c r="E193" s="194"/>
      <c r="F193" s="176">
        <v>19</v>
      </c>
      <c r="G193" s="177"/>
    </row>
    <row r="194" spans="1:7" ht="27.6" customHeight="1" x14ac:dyDescent="0.4">
      <c r="A194" s="51"/>
      <c r="B194" s="188"/>
      <c r="C194" s="189"/>
      <c r="D194" s="178" t="s">
        <v>38</v>
      </c>
      <c r="E194" s="179"/>
      <c r="F194" s="180" t="s">
        <v>326</v>
      </c>
      <c r="G194" s="181"/>
    </row>
    <row r="195" spans="1:7" ht="20.399999999999999" x14ac:dyDescent="0.35">
      <c r="A195" s="52" t="s">
        <v>39</v>
      </c>
      <c r="B195" s="53" t="s">
        <v>279</v>
      </c>
      <c r="C195" s="54"/>
      <c r="D195" s="54"/>
      <c r="E195" s="182"/>
      <c r="F195" s="182"/>
      <c r="G195" s="183"/>
    </row>
    <row r="196" spans="1:7" ht="20.399999999999999" x14ac:dyDescent="0.35">
      <c r="A196" s="52" t="s">
        <v>40</v>
      </c>
      <c r="B196" s="173"/>
      <c r="C196" s="174"/>
      <c r="D196" s="174"/>
      <c r="E196" s="174"/>
      <c r="F196" s="174"/>
      <c r="G196" s="175"/>
    </row>
    <row r="197" spans="1:7" ht="20.399999999999999" x14ac:dyDescent="0.35">
      <c r="A197" s="52" t="s">
        <v>41</v>
      </c>
      <c r="B197" s="173" t="s">
        <v>272</v>
      </c>
      <c r="C197" s="174"/>
      <c r="D197" s="174"/>
      <c r="E197" s="174"/>
      <c r="F197" s="174"/>
      <c r="G197" s="175"/>
    </row>
    <row r="198" spans="1:7" ht="20.399999999999999" x14ac:dyDescent="0.35">
      <c r="A198" s="52" t="s">
        <v>42</v>
      </c>
      <c r="B198" s="173" t="s">
        <v>7</v>
      </c>
      <c r="C198" s="174"/>
      <c r="D198" s="174"/>
      <c r="E198" s="174"/>
      <c r="F198" s="174"/>
      <c r="G198" s="175"/>
    </row>
    <row r="199" spans="1:7" ht="15" x14ac:dyDescent="0.3">
      <c r="A199" s="103" t="s">
        <v>8</v>
      </c>
      <c r="B199" s="103" t="s">
        <v>9</v>
      </c>
      <c r="C199" s="103" t="s">
        <v>10</v>
      </c>
      <c r="D199" s="103" t="s">
        <v>43</v>
      </c>
      <c r="E199" s="103" t="s">
        <v>12</v>
      </c>
      <c r="F199" s="103" t="s">
        <v>13</v>
      </c>
      <c r="G199" s="103" t="s">
        <v>14</v>
      </c>
    </row>
    <row r="200" spans="1:7" ht="15.6" x14ac:dyDescent="0.3">
      <c r="A200" s="57">
        <v>80</v>
      </c>
      <c r="B200" s="58" t="s">
        <v>65</v>
      </c>
      <c r="C200" s="58" t="s">
        <v>327</v>
      </c>
      <c r="D200" s="59"/>
      <c r="E200" s="60">
        <v>105</v>
      </c>
      <c r="F200" s="61">
        <f t="shared" ref="F200:F209" si="6">A200*E200</f>
        <v>8400</v>
      </c>
      <c r="G200" s="62"/>
    </row>
    <row r="201" spans="1:7" ht="15.6" x14ac:dyDescent="0.3">
      <c r="A201" s="63">
        <v>80</v>
      </c>
      <c r="B201" s="64" t="s">
        <v>65</v>
      </c>
      <c r="C201" s="64" t="s">
        <v>328</v>
      </c>
      <c r="D201" s="65"/>
      <c r="E201" s="66">
        <v>80</v>
      </c>
      <c r="F201" s="67">
        <f t="shared" si="6"/>
        <v>6400</v>
      </c>
      <c r="G201" s="68"/>
    </row>
    <row r="202" spans="1:7" ht="15.6" x14ac:dyDescent="0.3">
      <c r="A202" s="63"/>
      <c r="B202" s="64"/>
      <c r="C202" s="64"/>
      <c r="D202" s="65"/>
      <c r="E202" s="66"/>
      <c r="F202" s="67">
        <f t="shared" si="6"/>
        <v>0</v>
      </c>
      <c r="G202" s="68"/>
    </row>
    <row r="203" spans="1:7" ht="15.6" x14ac:dyDescent="0.3">
      <c r="A203" s="63"/>
      <c r="B203" s="64"/>
      <c r="C203" s="64"/>
      <c r="D203" s="65"/>
      <c r="E203" s="66"/>
      <c r="F203" s="67">
        <f t="shared" si="6"/>
        <v>0</v>
      </c>
      <c r="G203" s="68"/>
    </row>
    <row r="204" spans="1:7" ht="15.6" x14ac:dyDescent="0.3">
      <c r="A204" s="69"/>
      <c r="B204" s="64"/>
      <c r="C204" s="64"/>
      <c r="D204" s="65"/>
      <c r="E204" s="66"/>
      <c r="F204" s="67">
        <f t="shared" si="6"/>
        <v>0</v>
      </c>
      <c r="G204" s="68"/>
    </row>
    <row r="205" spans="1:7" ht="15.6" x14ac:dyDescent="0.3">
      <c r="A205" s="69"/>
      <c r="B205" s="64"/>
      <c r="C205" s="64"/>
      <c r="D205" s="65"/>
      <c r="E205" s="66"/>
      <c r="F205" s="67">
        <f t="shared" si="6"/>
        <v>0</v>
      </c>
      <c r="G205" s="68"/>
    </row>
    <row r="206" spans="1:7" ht="15.6" x14ac:dyDescent="0.3">
      <c r="A206" s="69"/>
      <c r="B206" s="64"/>
      <c r="C206" s="64"/>
      <c r="D206" s="65"/>
      <c r="E206" s="66"/>
      <c r="F206" s="67">
        <f t="shared" si="6"/>
        <v>0</v>
      </c>
      <c r="G206" s="68"/>
    </row>
    <row r="207" spans="1:7" ht="15.6" x14ac:dyDescent="0.3">
      <c r="A207" s="69"/>
      <c r="B207" s="64"/>
      <c r="C207" s="64"/>
      <c r="D207" s="65"/>
      <c r="E207" s="66"/>
      <c r="F207" s="67">
        <f t="shared" si="6"/>
        <v>0</v>
      </c>
      <c r="G207" s="68"/>
    </row>
    <row r="208" spans="1:7" ht="15.6" x14ac:dyDescent="0.3">
      <c r="A208" s="69"/>
      <c r="B208" s="64"/>
      <c r="C208" s="64"/>
      <c r="D208" s="65"/>
      <c r="E208" s="66"/>
      <c r="F208" s="67">
        <f t="shared" si="6"/>
        <v>0</v>
      </c>
      <c r="G208" s="68"/>
    </row>
    <row r="209" spans="1:7" ht="15.6" x14ac:dyDescent="0.3">
      <c r="A209" s="70"/>
      <c r="B209" s="71"/>
      <c r="C209" s="71"/>
      <c r="D209" s="72"/>
      <c r="E209" s="73"/>
      <c r="F209" s="74">
        <f t="shared" si="6"/>
        <v>0</v>
      </c>
      <c r="G209" s="75"/>
    </row>
    <row r="210" spans="1:7" ht="17.399999999999999" x14ac:dyDescent="0.3">
      <c r="A210" s="76"/>
      <c r="B210" s="77"/>
      <c r="C210" s="164" t="s">
        <v>27</v>
      </c>
      <c r="D210" s="164"/>
      <c r="E210" s="78"/>
      <c r="F210" s="79">
        <f>SUM(F200:F208)</f>
        <v>14800</v>
      </c>
      <c r="G210" s="80"/>
    </row>
    <row r="211" spans="1:7" ht="17.399999999999999" x14ac:dyDescent="0.3">
      <c r="A211" s="81"/>
      <c r="B211" s="82"/>
      <c r="C211" s="165" t="s">
        <v>28</v>
      </c>
      <c r="D211" s="165"/>
      <c r="E211" s="83"/>
      <c r="F211" s="84">
        <f>F210*0.16</f>
        <v>2368</v>
      </c>
      <c r="G211" s="85"/>
    </row>
    <row r="212" spans="1:7" ht="17.399999999999999" x14ac:dyDescent="0.3">
      <c r="A212" s="81"/>
      <c r="B212" s="82"/>
      <c r="C212" s="166" t="s">
        <v>29</v>
      </c>
      <c r="D212" s="166"/>
      <c r="E212" s="86"/>
      <c r="F212" s="87">
        <f>F210+F211</f>
        <v>17168</v>
      </c>
      <c r="G212" s="88"/>
    </row>
    <row r="213" spans="1:7" ht="15.6" x14ac:dyDescent="0.3">
      <c r="A213" s="167" t="s">
        <v>30</v>
      </c>
      <c r="B213" s="168"/>
      <c r="C213" s="89" t="s">
        <v>31</v>
      </c>
      <c r="D213" s="89"/>
      <c r="E213" s="168" t="s">
        <v>32</v>
      </c>
      <c r="F213" s="168"/>
      <c r="G213" s="169"/>
    </row>
    <row r="214" spans="1:7" ht="15.6" x14ac:dyDescent="0.3">
      <c r="A214" s="170" t="s">
        <v>52</v>
      </c>
      <c r="B214" s="171"/>
      <c r="C214" s="104" t="s">
        <v>33</v>
      </c>
      <c r="D214" s="90"/>
      <c r="E214" s="171" t="s">
        <v>273</v>
      </c>
      <c r="F214" s="171"/>
      <c r="G214" s="172"/>
    </row>
    <row r="217" spans="1:7" ht="21" x14ac:dyDescent="0.4">
      <c r="A217" s="49"/>
      <c r="B217" s="184" t="s">
        <v>45</v>
      </c>
      <c r="C217" s="185"/>
      <c r="D217" s="190" t="s">
        <v>36</v>
      </c>
      <c r="E217" s="191"/>
      <c r="F217" s="191"/>
      <c r="G217" s="192"/>
    </row>
    <row r="218" spans="1:7" ht="21" x14ac:dyDescent="0.4">
      <c r="A218" s="50"/>
      <c r="B218" s="186"/>
      <c r="C218" s="187"/>
      <c r="D218" s="193" t="s">
        <v>1</v>
      </c>
      <c r="E218" s="194"/>
      <c r="F218" s="195" t="s">
        <v>325</v>
      </c>
      <c r="G218" s="177"/>
    </row>
    <row r="219" spans="1:7" ht="21" x14ac:dyDescent="0.4">
      <c r="A219" s="50"/>
      <c r="B219" s="186"/>
      <c r="C219" s="187"/>
      <c r="D219" s="193" t="s">
        <v>267</v>
      </c>
      <c r="E219" s="194"/>
      <c r="F219" s="176">
        <v>19</v>
      </c>
      <c r="G219" s="177"/>
    </row>
    <row r="220" spans="1:7" ht="33" customHeight="1" x14ac:dyDescent="0.4">
      <c r="A220" s="51"/>
      <c r="B220" s="188"/>
      <c r="C220" s="189"/>
      <c r="D220" s="178" t="s">
        <v>38</v>
      </c>
      <c r="E220" s="179"/>
      <c r="F220" s="180" t="s">
        <v>330</v>
      </c>
      <c r="G220" s="181"/>
    </row>
    <row r="221" spans="1:7" ht="20.399999999999999" x14ac:dyDescent="0.35">
      <c r="A221" s="52" t="s">
        <v>39</v>
      </c>
      <c r="B221" s="53" t="s">
        <v>279</v>
      </c>
      <c r="C221" s="54"/>
      <c r="D221" s="54"/>
      <c r="E221" s="182"/>
      <c r="F221" s="182"/>
      <c r="G221" s="183"/>
    </row>
    <row r="222" spans="1:7" ht="20.399999999999999" x14ac:dyDescent="0.35">
      <c r="A222" s="52" t="s">
        <v>40</v>
      </c>
      <c r="B222" s="53"/>
      <c r="C222" s="54"/>
      <c r="D222" s="54"/>
      <c r="E222" s="54"/>
      <c r="F222" s="54"/>
      <c r="G222" s="98"/>
    </row>
    <row r="223" spans="1:7" ht="20.399999999999999" x14ac:dyDescent="0.35">
      <c r="A223" s="52" t="s">
        <v>41</v>
      </c>
      <c r="B223" s="53" t="s">
        <v>329</v>
      </c>
      <c r="C223" s="54"/>
      <c r="D223" s="54"/>
      <c r="E223" s="54" t="s">
        <v>352</v>
      </c>
      <c r="F223" s="54"/>
      <c r="G223" s="98"/>
    </row>
    <row r="224" spans="1:7" ht="20.399999999999999" x14ac:dyDescent="0.35">
      <c r="A224" s="52" t="s">
        <v>42</v>
      </c>
      <c r="B224" s="173" t="s">
        <v>7</v>
      </c>
      <c r="C224" s="174"/>
      <c r="D224" s="174"/>
      <c r="E224" s="174"/>
      <c r="F224" s="174"/>
      <c r="G224" s="175"/>
    </row>
    <row r="225" spans="1:7" ht="15" x14ac:dyDescent="0.3">
      <c r="A225" s="103" t="s">
        <v>8</v>
      </c>
      <c r="B225" s="103" t="s">
        <v>9</v>
      </c>
      <c r="C225" s="103" t="s">
        <v>10</v>
      </c>
      <c r="D225" s="103" t="s">
        <v>43</v>
      </c>
      <c r="E225" s="103" t="s">
        <v>12</v>
      </c>
      <c r="F225" s="103" t="s">
        <v>13</v>
      </c>
      <c r="G225" s="103" t="s">
        <v>14</v>
      </c>
    </row>
    <row r="226" spans="1:7" ht="15.6" x14ac:dyDescent="0.3">
      <c r="A226" s="57">
        <v>10</v>
      </c>
      <c r="B226" s="58" t="s">
        <v>112</v>
      </c>
      <c r="C226" s="58" t="s">
        <v>331</v>
      </c>
      <c r="D226" s="95">
        <v>436882</v>
      </c>
      <c r="E226" s="60">
        <v>41.81</v>
      </c>
      <c r="F226" s="61">
        <f t="shared" ref="F226:F235" si="7">A226*E226</f>
        <v>418.1</v>
      </c>
      <c r="G226" s="62"/>
    </row>
    <row r="227" spans="1:7" ht="31.2" x14ac:dyDescent="0.3">
      <c r="A227" s="63">
        <v>2</v>
      </c>
      <c r="B227" s="64" t="s">
        <v>112</v>
      </c>
      <c r="C227" s="64" t="s">
        <v>332</v>
      </c>
      <c r="D227" s="96">
        <v>129130</v>
      </c>
      <c r="E227" s="66">
        <v>96.64</v>
      </c>
      <c r="F227" s="67">
        <f t="shared" si="7"/>
        <v>193.28</v>
      </c>
      <c r="G227" s="68"/>
    </row>
    <row r="228" spans="1:7" ht="31.2" x14ac:dyDescent="0.3">
      <c r="A228" s="63">
        <v>2</v>
      </c>
      <c r="B228" s="64" t="s">
        <v>112</v>
      </c>
      <c r="C228" s="64" t="s">
        <v>333</v>
      </c>
      <c r="D228" s="96">
        <v>470915</v>
      </c>
      <c r="E228" s="66">
        <v>222.41</v>
      </c>
      <c r="F228" s="67">
        <f t="shared" si="7"/>
        <v>444.82</v>
      </c>
      <c r="G228" s="68"/>
    </row>
    <row r="229" spans="1:7" ht="15.6" x14ac:dyDescent="0.3">
      <c r="A229" s="63">
        <v>2</v>
      </c>
      <c r="B229" s="64" t="s">
        <v>246</v>
      </c>
      <c r="C229" s="64" t="s">
        <v>145</v>
      </c>
      <c r="D229" s="96">
        <v>420860</v>
      </c>
      <c r="E229" s="66">
        <v>303.52</v>
      </c>
      <c r="F229" s="67">
        <f t="shared" si="7"/>
        <v>607.04</v>
      </c>
      <c r="G229" s="68"/>
    </row>
    <row r="230" spans="1:7" ht="15.6" x14ac:dyDescent="0.3">
      <c r="A230" s="69">
        <v>25</v>
      </c>
      <c r="B230" s="64" t="s">
        <v>112</v>
      </c>
      <c r="C230" s="64" t="s">
        <v>353</v>
      </c>
      <c r="D230" s="96">
        <v>267550</v>
      </c>
      <c r="E230" s="66">
        <v>13.1</v>
      </c>
      <c r="F230" s="67">
        <f t="shared" si="7"/>
        <v>327.5</v>
      </c>
      <c r="G230" s="68"/>
    </row>
    <row r="231" spans="1:7" ht="15.6" x14ac:dyDescent="0.3">
      <c r="A231" s="69"/>
      <c r="B231" s="64"/>
      <c r="C231" s="64"/>
      <c r="D231" s="65"/>
      <c r="E231" s="66"/>
      <c r="F231" s="67">
        <f t="shared" si="7"/>
        <v>0</v>
      </c>
      <c r="G231" s="68"/>
    </row>
    <row r="232" spans="1:7" ht="15.6" x14ac:dyDescent="0.3">
      <c r="A232" s="69"/>
      <c r="B232" s="64"/>
      <c r="C232" s="64"/>
      <c r="D232" s="65"/>
      <c r="E232" s="66"/>
      <c r="F232" s="67">
        <f t="shared" si="7"/>
        <v>0</v>
      </c>
      <c r="G232" s="68"/>
    </row>
    <row r="233" spans="1:7" ht="15.6" x14ac:dyDescent="0.3">
      <c r="A233" s="69"/>
      <c r="B233" s="64"/>
      <c r="C233" s="64"/>
      <c r="D233" s="65"/>
      <c r="E233" s="66"/>
      <c r="F233" s="67">
        <f t="shared" si="7"/>
        <v>0</v>
      </c>
      <c r="G233" s="68"/>
    </row>
    <row r="234" spans="1:7" ht="15.6" x14ac:dyDescent="0.3">
      <c r="A234" s="69"/>
      <c r="B234" s="64"/>
      <c r="C234" s="64"/>
      <c r="D234" s="65"/>
      <c r="E234" s="66"/>
      <c r="F234" s="67">
        <f t="shared" si="7"/>
        <v>0</v>
      </c>
      <c r="G234" s="68"/>
    </row>
    <row r="235" spans="1:7" ht="15.6" x14ac:dyDescent="0.3">
      <c r="A235" s="70"/>
      <c r="B235" s="71"/>
      <c r="C235" s="71"/>
      <c r="D235" s="72"/>
      <c r="E235" s="73"/>
      <c r="F235" s="74">
        <f t="shared" si="7"/>
        <v>0</v>
      </c>
      <c r="G235" s="75"/>
    </row>
    <row r="236" spans="1:7" ht="17.399999999999999" x14ac:dyDescent="0.3">
      <c r="A236" s="76"/>
      <c r="B236" s="77"/>
      <c r="C236" s="164" t="s">
        <v>27</v>
      </c>
      <c r="D236" s="164"/>
      <c r="E236" s="78"/>
      <c r="F236" s="79">
        <f>SUM(F226:F234)</f>
        <v>1990.74</v>
      </c>
      <c r="G236" s="80"/>
    </row>
    <row r="237" spans="1:7" ht="17.399999999999999" x14ac:dyDescent="0.3">
      <c r="A237" s="81"/>
      <c r="B237" s="82"/>
      <c r="C237" s="165" t="s">
        <v>28</v>
      </c>
      <c r="D237" s="165"/>
      <c r="E237" s="83"/>
      <c r="F237" s="84">
        <f>F236*0.16</f>
        <v>318.51839999999999</v>
      </c>
      <c r="G237" s="85"/>
    </row>
    <row r="238" spans="1:7" ht="17.399999999999999" x14ac:dyDescent="0.3">
      <c r="A238" s="81"/>
      <c r="B238" s="82"/>
      <c r="C238" s="166" t="s">
        <v>29</v>
      </c>
      <c r="D238" s="166"/>
      <c r="E238" s="86"/>
      <c r="F238" s="87">
        <f>F236+F237</f>
        <v>2309.2584000000002</v>
      </c>
      <c r="G238" s="88"/>
    </row>
    <row r="239" spans="1:7" ht="15.6" x14ac:dyDescent="0.3">
      <c r="A239" s="167" t="s">
        <v>30</v>
      </c>
      <c r="B239" s="168"/>
      <c r="C239" s="89" t="s">
        <v>31</v>
      </c>
      <c r="D239" s="89"/>
      <c r="E239" s="168" t="s">
        <v>32</v>
      </c>
      <c r="F239" s="168"/>
      <c r="G239" s="169"/>
    </row>
    <row r="240" spans="1:7" ht="15.6" x14ac:dyDescent="0.3">
      <c r="A240" s="170" t="s">
        <v>52</v>
      </c>
      <c r="B240" s="171"/>
      <c r="C240" s="104" t="s">
        <v>33</v>
      </c>
      <c r="D240" s="90"/>
      <c r="E240" s="171" t="s">
        <v>273</v>
      </c>
      <c r="F240" s="171"/>
      <c r="G240" s="172"/>
    </row>
    <row r="243" spans="1:7" ht="24.6" x14ac:dyDescent="0.3">
      <c r="A243" s="184" t="s">
        <v>48</v>
      </c>
      <c r="B243" s="197"/>
      <c r="C243" s="185"/>
      <c r="D243" s="200" t="s">
        <v>36</v>
      </c>
      <c r="E243" s="201"/>
      <c r="F243" s="201"/>
      <c r="G243" s="202"/>
    </row>
    <row r="244" spans="1:7" ht="21" x14ac:dyDescent="0.4">
      <c r="A244" s="186"/>
      <c r="B244" s="198"/>
      <c r="C244" s="187"/>
      <c r="D244" s="118" t="s">
        <v>1</v>
      </c>
      <c r="E244" s="196" t="s">
        <v>325</v>
      </c>
      <c r="F244" s="195"/>
      <c r="G244" s="115"/>
    </row>
    <row r="245" spans="1:7" ht="21" x14ac:dyDescent="0.4">
      <c r="A245" s="186"/>
      <c r="B245" s="198"/>
      <c r="C245" s="187"/>
      <c r="D245" s="118" t="s">
        <v>334</v>
      </c>
      <c r="E245" s="176">
        <v>19</v>
      </c>
      <c r="F245" s="195"/>
      <c r="G245" s="115"/>
    </row>
    <row r="246" spans="1:7" ht="45" customHeight="1" x14ac:dyDescent="0.3">
      <c r="A246" s="188"/>
      <c r="B246" s="199"/>
      <c r="C246" s="189"/>
      <c r="D246" s="119" t="s">
        <v>38</v>
      </c>
      <c r="E246" s="180" t="s">
        <v>346</v>
      </c>
      <c r="F246" s="181"/>
      <c r="G246" s="117"/>
    </row>
    <row r="247" spans="1:7" ht="20.399999999999999" x14ac:dyDescent="0.35">
      <c r="A247" s="52" t="s">
        <v>39</v>
      </c>
      <c r="B247" s="53" t="s">
        <v>279</v>
      </c>
      <c r="C247" s="54"/>
      <c r="D247" s="54"/>
      <c r="E247" s="120"/>
      <c r="F247" s="121"/>
      <c r="G247" s="122"/>
    </row>
    <row r="248" spans="1:7" ht="20.399999999999999" x14ac:dyDescent="0.35">
      <c r="A248" s="52" t="s">
        <v>40</v>
      </c>
      <c r="B248" s="111"/>
      <c r="C248" s="112"/>
      <c r="D248" s="112"/>
      <c r="E248" s="123" t="s">
        <v>347</v>
      </c>
      <c r="F248" s="124"/>
      <c r="G248" s="125"/>
    </row>
    <row r="249" spans="1:7" ht="20.399999999999999" x14ac:dyDescent="0.35">
      <c r="A249" s="52" t="s">
        <v>41</v>
      </c>
      <c r="B249" s="111" t="s">
        <v>348</v>
      </c>
      <c r="C249" s="112"/>
      <c r="D249" s="112"/>
      <c r="E249" s="126" t="s">
        <v>352</v>
      </c>
      <c r="F249" s="127"/>
      <c r="G249" s="128"/>
    </row>
    <row r="250" spans="1:7" ht="20.399999999999999" x14ac:dyDescent="0.35">
      <c r="A250" s="52" t="s">
        <v>42</v>
      </c>
      <c r="B250" s="111" t="s">
        <v>7</v>
      </c>
      <c r="C250" s="112"/>
      <c r="D250" s="112"/>
      <c r="E250" s="112"/>
      <c r="F250" s="112"/>
      <c r="G250" s="113"/>
    </row>
    <row r="251" spans="1:7" ht="15" x14ac:dyDescent="0.3">
      <c r="A251" s="103" t="s">
        <v>8</v>
      </c>
      <c r="B251" s="103" t="s">
        <v>9</v>
      </c>
      <c r="C251" s="103" t="s">
        <v>10</v>
      </c>
      <c r="D251" s="103" t="s">
        <v>43</v>
      </c>
      <c r="E251" s="103" t="s">
        <v>12</v>
      </c>
      <c r="F251" s="103" t="s">
        <v>13</v>
      </c>
      <c r="G251" s="103" t="s">
        <v>14</v>
      </c>
    </row>
    <row r="252" spans="1:7" ht="15.6" x14ac:dyDescent="0.3">
      <c r="A252" s="57">
        <v>3</v>
      </c>
      <c r="B252" s="58" t="s">
        <v>335</v>
      </c>
      <c r="C252" s="58" t="s">
        <v>336</v>
      </c>
      <c r="D252" s="95" t="s">
        <v>337</v>
      </c>
      <c r="E252" s="60">
        <v>1084.06</v>
      </c>
      <c r="F252" s="60">
        <f t="shared" ref="F252:F266" si="8">A252*E252</f>
        <v>3252.18</v>
      </c>
      <c r="G252" s="129"/>
    </row>
    <row r="253" spans="1:7" ht="15.6" x14ac:dyDescent="0.3">
      <c r="A253" s="63">
        <v>4</v>
      </c>
      <c r="B253" s="64" t="s">
        <v>335</v>
      </c>
      <c r="C253" s="64" t="s">
        <v>338</v>
      </c>
      <c r="D253" s="96" t="s">
        <v>337</v>
      </c>
      <c r="E253" s="66">
        <v>1084.06</v>
      </c>
      <c r="F253" s="66">
        <f t="shared" si="8"/>
        <v>4336.24</v>
      </c>
      <c r="G253" s="129"/>
    </row>
    <row r="254" spans="1:7" ht="15.6" x14ac:dyDescent="0.3">
      <c r="A254" s="63">
        <v>3</v>
      </c>
      <c r="B254" s="64" t="s">
        <v>335</v>
      </c>
      <c r="C254" s="64" t="s">
        <v>339</v>
      </c>
      <c r="D254" s="96" t="s">
        <v>337</v>
      </c>
      <c r="E254" s="66">
        <v>1084.06</v>
      </c>
      <c r="F254" s="66">
        <f t="shared" si="8"/>
        <v>3252.18</v>
      </c>
      <c r="G254" s="129"/>
    </row>
    <row r="255" spans="1:7" ht="15.6" x14ac:dyDescent="0.3">
      <c r="A255" s="63">
        <v>3</v>
      </c>
      <c r="B255" s="130" t="s">
        <v>335</v>
      </c>
      <c r="C255" s="130" t="s">
        <v>340</v>
      </c>
      <c r="D255" s="96" t="s">
        <v>337</v>
      </c>
      <c r="E255" s="66">
        <v>1084.06</v>
      </c>
      <c r="F255" s="66">
        <f t="shared" si="8"/>
        <v>3252.18</v>
      </c>
      <c r="G255" s="68"/>
    </row>
    <row r="256" spans="1:7" ht="15.6" x14ac:dyDescent="0.3">
      <c r="A256" s="63">
        <v>4</v>
      </c>
      <c r="B256" s="130" t="s">
        <v>335</v>
      </c>
      <c r="C256" s="130" t="s">
        <v>341</v>
      </c>
      <c r="D256" s="96" t="s">
        <v>337</v>
      </c>
      <c r="E256" s="66">
        <v>771.95</v>
      </c>
      <c r="F256" s="66">
        <f t="shared" si="8"/>
        <v>3087.8</v>
      </c>
      <c r="G256" s="68"/>
    </row>
    <row r="257" spans="1:7" ht="15.6" x14ac:dyDescent="0.3">
      <c r="A257" s="63">
        <v>4</v>
      </c>
      <c r="B257" s="130" t="s">
        <v>335</v>
      </c>
      <c r="C257" s="130" t="s">
        <v>342</v>
      </c>
      <c r="D257" s="96" t="s">
        <v>337</v>
      </c>
      <c r="E257" s="66">
        <v>771.95</v>
      </c>
      <c r="F257" s="66">
        <f t="shared" si="8"/>
        <v>3087.8</v>
      </c>
      <c r="G257" s="68"/>
    </row>
    <row r="258" spans="1:7" ht="15.6" x14ac:dyDescent="0.3">
      <c r="A258" s="63">
        <v>5</v>
      </c>
      <c r="B258" s="130" t="s">
        <v>335</v>
      </c>
      <c r="C258" s="130" t="s">
        <v>343</v>
      </c>
      <c r="D258" s="96" t="s">
        <v>337</v>
      </c>
      <c r="E258" s="66">
        <v>771.95</v>
      </c>
      <c r="F258" s="66">
        <f t="shared" si="8"/>
        <v>3859.75</v>
      </c>
      <c r="G258" s="68"/>
    </row>
    <row r="259" spans="1:7" ht="15.6" x14ac:dyDescent="0.3">
      <c r="A259" s="69">
        <v>4</v>
      </c>
      <c r="B259" s="130" t="s">
        <v>335</v>
      </c>
      <c r="C259" s="130" t="s">
        <v>349</v>
      </c>
      <c r="D259" s="96" t="s">
        <v>337</v>
      </c>
      <c r="E259" s="66">
        <v>771.95</v>
      </c>
      <c r="F259" s="66">
        <f t="shared" si="8"/>
        <v>3087.8</v>
      </c>
      <c r="G259" s="68"/>
    </row>
    <row r="260" spans="1:7" ht="15.6" x14ac:dyDescent="0.3">
      <c r="A260" s="69"/>
      <c r="B260" s="130"/>
      <c r="C260" s="130"/>
      <c r="D260" s="96"/>
      <c r="E260" s="66"/>
      <c r="F260" s="66">
        <f t="shared" si="8"/>
        <v>0</v>
      </c>
      <c r="G260" s="68"/>
    </row>
    <row r="261" spans="1:7" ht="15.6" x14ac:dyDescent="0.3">
      <c r="A261" s="69"/>
      <c r="B261" s="64"/>
      <c r="C261" s="130"/>
      <c r="D261" s="96"/>
      <c r="E261" s="66"/>
      <c r="F261" s="66">
        <f t="shared" si="8"/>
        <v>0</v>
      </c>
      <c r="G261" s="68"/>
    </row>
    <row r="262" spans="1:7" ht="15.6" x14ac:dyDescent="0.3">
      <c r="A262" s="69"/>
      <c r="B262" s="64"/>
      <c r="C262" s="130"/>
      <c r="D262" s="96"/>
      <c r="E262" s="66"/>
      <c r="F262" s="66">
        <f t="shared" si="8"/>
        <v>0</v>
      </c>
      <c r="G262" s="68"/>
    </row>
    <row r="263" spans="1:7" ht="15.6" x14ac:dyDescent="0.3">
      <c r="A263" s="69"/>
      <c r="B263" s="64"/>
      <c r="C263" s="64"/>
      <c r="D263" s="65"/>
      <c r="E263" s="66"/>
      <c r="F263" s="66">
        <f t="shared" si="8"/>
        <v>0</v>
      </c>
      <c r="G263" s="68"/>
    </row>
    <row r="264" spans="1:7" ht="15.6" x14ac:dyDescent="0.3">
      <c r="A264" s="69"/>
      <c r="B264" s="64"/>
      <c r="C264" s="64"/>
      <c r="D264" s="65"/>
      <c r="E264" s="66"/>
      <c r="F264" s="66">
        <f t="shared" si="8"/>
        <v>0</v>
      </c>
      <c r="G264" s="68"/>
    </row>
    <row r="265" spans="1:7" ht="15.6" x14ac:dyDescent="0.3">
      <c r="A265" s="69"/>
      <c r="B265" s="64"/>
      <c r="C265" s="64"/>
      <c r="D265" s="65"/>
      <c r="E265" s="66"/>
      <c r="F265" s="66">
        <f t="shared" si="8"/>
        <v>0</v>
      </c>
      <c r="G265" s="68"/>
    </row>
    <row r="266" spans="1:7" ht="15.6" x14ac:dyDescent="0.3">
      <c r="A266" s="70"/>
      <c r="B266" s="71"/>
      <c r="C266" s="71"/>
      <c r="D266" s="72"/>
      <c r="E266" s="73"/>
      <c r="F266" s="73">
        <f t="shared" si="8"/>
        <v>0</v>
      </c>
      <c r="G266" s="75"/>
    </row>
    <row r="267" spans="1:7" ht="17.399999999999999" x14ac:dyDescent="0.3">
      <c r="A267" s="76"/>
      <c r="B267" s="77"/>
      <c r="C267" s="114" t="s">
        <v>27</v>
      </c>
      <c r="D267" s="114"/>
      <c r="E267" s="78"/>
      <c r="F267" s="131">
        <f>SUM(F252:F265)</f>
        <v>27215.93</v>
      </c>
      <c r="G267" s="80"/>
    </row>
    <row r="268" spans="1:7" ht="17.399999999999999" x14ac:dyDescent="0.3">
      <c r="A268" s="81"/>
      <c r="B268" s="82"/>
      <c r="C268" s="106" t="s">
        <v>28</v>
      </c>
      <c r="D268" s="106"/>
      <c r="E268" s="83"/>
      <c r="F268" s="132">
        <f>F267*0.16</f>
        <v>4354.5488000000005</v>
      </c>
      <c r="G268" s="85"/>
    </row>
    <row r="269" spans="1:7" ht="17.399999999999999" x14ac:dyDescent="0.3">
      <c r="A269" s="81"/>
      <c r="B269" s="82"/>
      <c r="C269" s="107" t="s">
        <v>29</v>
      </c>
      <c r="D269" s="107"/>
      <c r="E269" s="86"/>
      <c r="F269" s="133">
        <f>F267+F268</f>
        <v>31570.478800000001</v>
      </c>
      <c r="G269" s="88"/>
    </row>
    <row r="270" spans="1:7" ht="15.6" x14ac:dyDescent="0.3">
      <c r="A270" s="108" t="s">
        <v>30</v>
      </c>
      <c r="B270" s="89"/>
      <c r="C270" s="89" t="s">
        <v>31</v>
      </c>
      <c r="D270" s="89"/>
      <c r="E270" s="89" t="s">
        <v>32</v>
      </c>
      <c r="F270" s="89"/>
      <c r="G270" s="109"/>
    </row>
    <row r="271" spans="1:7" ht="15.6" x14ac:dyDescent="0.3">
      <c r="A271" s="134" t="s">
        <v>44</v>
      </c>
      <c r="B271" s="90"/>
      <c r="C271" s="90" t="s">
        <v>33</v>
      </c>
      <c r="D271" s="90"/>
      <c r="E271" s="90" t="s">
        <v>273</v>
      </c>
      <c r="F271" s="90"/>
      <c r="G271" s="110"/>
    </row>
    <row r="275" spans="1:7" ht="24.6" x14ac:dyDescent="0.3">
      <c r="A275" s="184" t="s">
        <v>48</v>
      </c>
      <c r="B275" s="197"/>
      <c r="C275" s="185"/>
      <c r="D275" s="200" t="s">
        <v>36</v>
      </c>
      <c r="E275" s="201"/>
      <c r="F275" s="201"/>
      <c r="G275" s="202"/>
    </row>
    <row r="276" spans="1:7" ht="21" x14ac:dyDescent="0.4">
      <c r="A276" s="186"/>
      <c r="B276" s="198"/>
      <c r="C276" s="187"/>
      <c r="D276" s="118" t="s">
        <v>1</v>
      </c>
      <c r="E276" s="196" t="s">
        <v>325</v>
      </c>
      <c r="F276" s="195"/>
      <c r="G276" s="115"/>
    </row>
    <row r="277" spans="1:7" ht="21" x14ac:dyDescent="0.4">
      <c r="A277" s="186"/>
      <c r="B277" s="198"/>
      <c r="C277" s="187"/>
      <c r="D277" s="118" t="s">
        <v>334</v>
      </c>
      <c r="E277" s="176">
        <v>19</v>
      </c>
      <c r="F277" s="195"/>
      <c r="G277" s="115"/>
    </row>
    <row r="278" spans="1:7" ht="30" x14ac:dyDescent="0.3">
      <c r="A278" s="188"/>
      <c r="B278" s="199"/>
      <c r="C278" s="189"/>
      <c r="D278" s="119" t="s">
        <v>38</v>
      </c>
      <c r="E278" s="180" t="s">
        <v>351</v>
      </c>
      <c r="F278" s="181"/>
      <c r="G278" s="117"/>
    </row>
    <row r="279" spans="1:7" ht="20.399999999999999" x14ac:dyDescent="0.35">
      <c r="A279" s="52" t="s">
        <v>39</v>
      </c>
      <c r="B279" s="53" t="s">
        <v>279</v>
      </c>
      <c r="C279" s="54"/>
      <c r="D279" s="54"/>
      <c r="E279" s="120"/>
      <c r="F279" s="121"/>
      <c r="G279" s="122"/>
    </row>
    <row r="280" spans="1:7" ht="20.399999999999999" x14ac:dyDescent="0.35">
      <c r="A280" s="52" t="s">
        <v>40</v>
      </c>
      <c r="B280" s="111"/>
      <c r="C280" s="112"/>
      <c r="D280" s="112"/>
      <c r="E280" s="123" t="s">
        <v>347</v>
      </c>
      <c r="F280" s="124"/>
      <c r="G280" s="125"/>
    </row>
    <row r="281" spans="1:7" ht="20.399999999999999" x14ac:dyDescent="0.35">
      <c r="A281" s="52" t="s">
        <v>41</v>
      </c>
      <c r="B281" s="111" t="s">
        <v>348</v>
      </c>
      <c r="C281" s="112"/>
      <c r="D281" s="112"/>
      <c r="E281" s="126" t="s">
        <v>352</v>
      </c>
      <c r="F281" s="127"/>
      <c r="G281" s="128"/>
    </row>
    <row r="282" spans="1:7" ht="20.399999999999999" x14ac:dyDescent="0.35">
      <c r="A282" s="52" t="s">
        <v>42</v>
      </c>
      <c r="B282" s="111" t="s">
        <v>7</v>
      </c>
      <c r="C282" s="112"/>
      <c r="D282" s="112"/>
      <c r="E282" s="112"/>
      <c r="F282" s="112"/>
      <c r="G282" s="113"/>
    </row>
    <row r="283" spans="1:7" ht="15" x14ac:dyDescent="0.3">
      <c r="A283" s="103" t="s">
        <v>8</v>
      </c>
      <c r="B283" s="103" t="s">
        <v>9</v>
      </c>
      <c r="C283" s="103" t="s">
        <v>10</v>
      </c>
      <c r="D283" s="103" t="s">
        <v>43</v>
      </c>
      <c r="E283" s="103" t="s">
        <v>12</v>
      </c>
      <c r="F283" s="103" t="s">
        <v>13</v>
      </c>
      <c r="G283" s="103" t="s">
        <v>14</v>
      </c>
    </row>
    <row r="284" spans="1:7" ht="15.6" x14ac:dyDescent="0.3">
      <c r="A284" s="57">
        <v>1</v>
      </c>
      <c r="B284" s="58" t="s">
        <v>335</v>
      </c>
      <c r="C284" s="58" t="s">
        <v>344</v>
      </c>
      <c r="D284" s="95" t="s">
        <v>337</v>
      </c>
      <c r="E284" s="60">
        <v>2758.94</v>
      </c>
      <c r="F284" s="60">
        <f t="shared" ref="F284:F298" si="9">A284*E284</f>
        <v>2758.94</v>
      </c>
      <c r="G284" s="129"/>
    </row>
    <row r="285" spans="1:7" ht="15.6" x14ac:dyDescent="0.3">
      <c r="A285" s="63">
        <v>1</v>
      </c>
      <c r="B285" s="64" t="s">
        <v>335</v>
      </c>
      <c r="C285" s="64" t="s">
        <v>345</v>
      </c>
      <c r="D285" s="96" t="s">
        <v>337</v>
      </c>
      <c r="E285" s="66">
        <v>2758.94</v>
      </c>
      <c r="F285" s="66">
        <f t="shared" si="9"/>
        <v>2758.94</v>
      </c>
      <c r="G285" s="129"/>
    </row>
    <row r="286" spans="1:7" ht="15.6" x14ac:dyDescent="0.3">
      <c r="A286" s="63">
        <v>1</v>
      </c>
      <c r="B286" s="64" t="s">
        <v>335</v>
      </c>
      <c r="C286" s="64" t="s">
        <v>350</v>
      </c>
      <c r="D286" s="96" t="s">
        <v>337</v>
      </c>
      <c r="E286" s="66">
        <v>2759.94</v>
      </c>
      <c r="F286" s="66">
        <f t="shared" si="9"/>
        <v>2759.94</v>
      </c>
      <c r="G286" s="129"/>
    </row>
    <row r="287" spans="1:7" ht="15.6" x14ac:dyDescent="0.3">
      <c r="A287" s="63"/>
      <c r="B287" s="130"/>
      <c r="C287" s="130"/>
      <c r="D287" s="96"/>
      <c r="E287" s="66"/>
      <c r="F287" s="66">
        <f t="shared" si="9"/>
        <v>0</v>
      </c>
      <c r="G287" s="68"/>
    </row>
    <row r="288" spans="1:7" ht="15.6" x14ac:dyDescent="0.3">
      <c r="A288" s="63"/>
      <c r="B288" s="130"/>
      <c r="C288" s="130"/>
      <c r="D288" s="96"/>
      <c r="E288" s="66"/>
      <c r="F288" s="66">
        <f t="shared" si="9"/>
        <v>0</v>
      </c>
      <c r="G288" s="68"/>
    </row>
    <row r="289" spans="1:7" ht="15.6" x14ac:dyDescent="0.3">
      <c r="A289" s="63"/>
      <c r="B289" s="130"/>
      <c r="C289" s="130"/>
      <c r="D289" s="96"/>
      <c r="E289" s="66"/>
      <c r="F289" s="66">
        <f t="shared" si="9"/>
        <v>0</v>
      </c>
      <c r="G289" s="68"/>
    </row>
    <row r="290" spans="1:7" ht="15.6" x14ac:dyDescent="0.3">
      <c r="A290" s="63"/>
      <c r="B290" s="130"/>
      <c r="C290" s="130"/>
      <c r="D290" s="96"/>
      <c r="E290" s="66"/>
      <c r="F290" s="66">
        <f t="shared" si="9"/>
        <v>0</v>
      </c>
      <c r="G290" s="68"/>
    </row>
    <row r="291" spans="1:7" ht="15.6" x14ac:dyDescent="0.3">
      <c r="A291" s="69"/>
      <c r="B291" s="130"/>
      <c r="C291" s="130"/>
      <c r="D291" s="96"/>
      <c r="E291" s="66"/>
      <c r="F291" s="66">
        <f t="shared" si="9"/>
        <v>0</v>
      </c>
      <c r="G291" s="68"/>
    </row>
    <row r="292" spans="1:7" ht="15.6" x14ac:dyDescent="0.3">
      <c r="A292" s="69"/>
      <c r="B292" s="130"/>
      <c r="C292" s="130"/>
      <c r="D292" s="96"/>
      <c r="E292" s="66"/>
      <c r="F292" s="66">
        <f t="shared" si="9"/>
        <v>0</v>
      </c>
      <c r="G292" s="68"/>
    </row>
    <row r="293" spans="1:7" ht="15.6" x14ac:dyDescent="0.3">
      <c r="A293" s="69"/>
      <c r="B293" s="64"/>
      <c r="C293" s="130"/>
      <c r="D293" s="96"/>
      <c r="E293" s="66"/>
      <c r="F293" s="66">
        <f t="shared" si="9"/>
        <v>0</v>
      </c>
      <c r="G293" s="68"/>
    </row>
    <row r="294" spans="1:7" ht="15.6" x14ac:dyDescent="0.3">
      <c r="A294" s="69"/>
      <c r="B294" s="64"/>
      <c r="C294" s="130"/>
      <c r="D294" s="96"/>
      <c r="E294" s="66"/>
      <c r="F294" s="66">
        <f t="shared" si="9"/>
        <v>0</v>
      </c>
      <c r="G294" s="68"/>
    </row>
    <row r="295" spans="1:7" ht="15.6" x14ac:dyDescent="0.3">
      <c r="A295" s="69"/>
      <c r="B295" s="64"/>
      <c r="C295" s="64"/>
      <c r="D295" s="65"/>
      <c r="E295" s="66"/>
      <c r="F295" s="66">
        <f t="shared" si="9"/>
        <v>0</v>
      </c>
      <c r="G295" s="68"/>
    </row>
    <row r="296" spans="1:7" ht="15.6" x14ac:dyDescent="0.3">
      <c r="A296" s="69"/>
      <c r="B296" s="64"/>
      <c r="C296" s="64"/>
      <c r="D296" s="65"/>
      <c r="E296" s="66"/>
      <c r="F296" s="66">
        <f t="shared" si="9"/>
        <v>0</v>
      </c>
      <c r="G296" s="68"/>
    </row>
    <row r="297" spans="1:7" ht="15.6" x14ac:dyDescent="0.3">
      <c r="A297" s="69"/>
      <c r="B297" s="64"/>
      <c r="C297" s="64"/>
      <c r="D297" s="65"/>
      <c r="E297" s="66"/>
      <c r="F297" s="66">
        <f t="shared" si="9"/>
        <v>0</v>
      </c>
      <c r="G297" s="68"/>
    </row>
    <row r="298" spans="1:7" ht="15.6" x14ac:dyDescent="0.3">
      <c r="A298" s="70"/>
      <c r="B298" s="71"/>
      <c r="C298" s="71"/>
      <c r="D298" s="72"/>
      <c r="E298" s="73"/>
      <c r="F298" s="73">
        <f t="shared" si="9"/>
        <v>0</v>
      </c>
      <c r="G298" s="75"/>
    </row>
    <row r="299" spans="1:7" ht="17.399999999999999" x14ac:dyDescent="0.3">
      <c r="A299" s="76"/>
      <c r="B299" s="77"/>
      <c r="C299" s="114" t="s">
        <v>27</v>
      </c>
      <c r="D299" s="114"/>
      <c r="E299" s="78"/>
      <c r="F299" s="131">
        <f>SUM(F284:F297)</f>
        <v>8277.82</v>
      </c>
      <c r="G299" s="80"/>
    </row>
    <row r="300" spans="1:7" ht="17.399999999999999" x14ac:dyDescent="0.3">
      <c r="A300" s="81"/>
      <c r="B300" s="82"/>
      <c r="C300" s="106" t="s">
        <v>28</v>
      </c>
      <c r="D300" s="106"/>
      <c r="E300" s="83"/>
      <c r="F300" s="132">
        <f>F299*0.16</f>
        <v>1324.4512</v>
      </c>
      <c r="G300" s="85"/>
    </row>
    <row r="301" spans="1:7" ht="17.399999999999999" x14ac:dyDescent="0.3">
      <c r="A301" s="81"/>
      <c r="B301" s="82"/>
      <c r="C301" s="107" t="s">
        <v>29</v>
      </c>
      <c r="D301" s="107"/>
      <c r="E301" s="86"/>
      <c r="F301" s="133">
        <f>F299+F300</f>
        <v>9602.2711999999992</v>
      </c>
      <c r="G301" s="88"/>
    </row>
    <row r="302" spans="1:7" ht="15.6" x14ac:dyDescent="0.3">
      <c r="A302" s="108" t="s">
        <v>30</v>
      </c>
      <c r="B302" s="89"/>
      <c r="C302" s="89" t="s">
        <v>31</v>
      </c>
      <c r="D302" s="89"/>
      <c r="E302" s="89" t="s">
        <v>32</v>
      </c>
      <c r="F302" s="89"/>
      <c r="G302" s="109"/>
    </row>
    <row r="303" spans="1:7" ht="15.6" x14ac:dyDescent="0.3">
      <c r="A303" s="134" t="s">
        <v>44</v>
      </c>
      <c r="B303" s="90"/>
      <c r="C303" s="90" t="s">
        <v>33</v>
      </c>
      <c r="D303" s="90"/>
      <c r="E303" s="90" t="s">
        <v>273</v>
      </c>
      <c r="F303" s="90"/>
      <c r="G303" s="110"/>
    </row>
    <row r="307" spans="1:7" ht="24.6" x14ac:dyDescent="0.3">
      <c r="A307" s="184" t="s">
        <v>48</v>
      </c>
      <c r="B307" s="197"/>
      <c r="C307" s="185"/>
      <c r="D307" s="200" t="s">
        <v>36</v>
      </c>
      <c r="E307" s="201"/>
      <c r="F307" s="201"/>
      <c r="G307" s="202"/>
    </row>
    <row r="308" spans="1:7" ht="21" x14ac:dyDescent="0.4">
      <c r="A308" s="186"/>
      <c r="B308" s="198"/>
      <c r="C308" s="187"/>
      <c r="D308" s="118" t="s">
        <v>1</v>
      </c>
      <c r="E308" s="196" t="s">
        <v>325</v>
      </c>
      <c r="F308" s="195"/>
      <c r="G308" s="115"/>
    </row>
    <row r="309" spans="1:7" ht="21" x14ac:dyDescent="0.4">
      <c r="A309" s="186"/>
      <c r="B309" s="198"/>
      <c r="C309" s="187"/>
      <c r="D309" s="118" t="s">
        <v>334</v>
      </c>
      <c r="E309" s="176">
        <v>19</v>
      </c>
      <c r="F309" s="195"/>
      <c r="G309" s="115"/>
    </row>
    <row r="310" spans="1:7" ht="30" x14ac:dyDescent="0.3">
      <c r="A310" s="188"/>
      <c r="B310" s="199"/>
      <c r="C310" s="189"/>
      <c r="D310" s="119" t="s">
        <v>38</v>
      </c>
      <c r="E310" s="180" t="s">
        <v>359</v>
      </c>
      <c r="F310" s="181"/>
      <c r="G310" s="117"/>
    </row>
    <row r="311" spans="1:7" ht="20.399999999999999" x14ac:dyDescent="0.35">
      <c r="A311" s="52" t="s">
        <v>39</v>
      </c>
      <c r="B311" s="53" t="s">
        <v>354</v>
      </c>
      <c r="C311" s="54"/>
      <c r="D311" s="54"/>
      <c r="E311" s="54" t="s">
        <v>360</v>
      </c>
      <c r="F311" s="54"/>
      <c r="G311" s="98"/>
    </row>
    <row r="312" spans="1:7" ht="20.399999999999999" x14ac:dyDescent="0.35">
      <c r="A312" s="52" t="s">
        <v>40</v>
      </c>
      <c r="B312" s="111"/>
      <c r="C312" s="112"/>
      <c r="D312" s="112"/>
      <c r="E312" s="112"/>
      <c r="F312" s="112"/>
      <c r="G312" s="113"/>
    </row>
    <row r="313" spans="1:7" ht="20.399999999999999" x14ac:dyDescent="0.35">
      <c r="A313" s="52" t="s">
        <v>41</v>
      </c>
      <c r="B313" s="173" t="s">
        <v>355</v>
      </c>
      <c r="C313" s="174"/>
      <c r="D313" s="174"/>
      <c r="E313" s="174"/>
      <c r="F313" s="174"/>
      <c r="G313" s="175"/>
    </row>
    <row r="314" spans="1:7" ht="20.399999999999999" x14ac:dyDescent="0.35">
      <c r="A314" s="52" t="s">
        <v>42</v>
      </c>
      <c r="B314" s="111" t="s">
        <v>356</v>
      </c>
      <c r="C314" s="112"/>
      <c r="D314" s="112"/>
      <c r="E314" s="112"/>
      <c r="F314" s="112"/>
      <c r="G314" s="113"/>
    </row>
    <row r="315" spans="1:7" ht="15" x14ac:dyDescent="0.3">
      <c r="A315" s="103" t="s">
        <v>8</v>
      </c>
      <c r="B315" s="103" t="s">
        <v>9</v>
      </c>
      <c r="C315" s="103" t="s">
        <v>10</v>
      </c>
      <c r="D315" s="103" t="s">
        <v>43</v>
      </c>
      <c r="E315" s="103" t="s">
        <v>12</v>
      </c>
      <c r="F315" s="103" t="s">
        <v>13</v>
      </c>
      <c r="G315" s="103" t="s">
        <v>14</v>
      </c>
    </row>
    <row r="316" spans="1:7" ht="15.6" x14ac:dyDescent="0.3">
      <c r="A316" s="57">
        <v>10</v>
      </c>
      <c r="B316" s="58" t="s">
        <v>112</v>
      </c>
      <c r="C316" s="58" t="s">
        <v>411</v>
      </c>
      <c r="D316" s="95"/>
      <c r="E316" s="60">
        <v>44.2</v>
      </c>
      <c r="F316" s="60">
        <f t="shared" ref="F316:F330" si="10">A316*E316</f>
        <v>442</v>
      </c>
      <c r="G316" s="129"/>
    </row>
    <row r="317" spans="1:7" ht="15.6" x14ac:dyDescent="0.3">
      <c r="A317" s="63">
        <v>10</v>
      </c>
      <c r="B317" s="64" t="s">
        <v>112</v>
      </c>
      <c r="C317" s="64" t="s">
        <v>357</v>
      </c>
      <c r="D317" s="96"/>
      <c r="E317" s="66">
        <v>9.4</v>
      </c>
      <c r="F317" s="66">
        <f t="shared" si="10"/>
        <v>94</v>
      </c>
      <c r="G317" s="129"/>
    </row>
    <row r="318" spans="1:7" ht="15.6" x14ac:dyDescent="0.3">
      <c r="A318" s="63"/>
      <c r="B318" s="64"/>
      <c r="C318" s="64"/>
      <c r="D318" s="96"/>
      <c r="E318" s="66"/>
      <c r="F318" s="66">
        <f t="shared" si="10"/>
        <v>0</v>
      </c>
      <c r="G318" s="129"/>
    </row>
    <row r="319" spans="1:7" ht="15.6" x14ac:dyDescent="0.3">
      <c r="A319" s="63"/>
      <c r="B319" s="130"/>
      <c r="C319" s="130"/>
      <c r="D319" s="96"/>
      <c r="E319" s="66"/>
      <c r="F319" s="66">
        <f t="shared" si="10"/>
        <v>0</v>
      </c>
      <c r="G319" s="68"/>
    </row>
    <row r="320" spans="1:7" ht="15.6" x14ac:dyDescent="0.3">
      <c r="A320" s="63"/>
      <c r="B320" s="130"/>
      <c r="C320" s="130"/>
      <c r="D320" s="96"/>
      <c r="E320" s="66"/>
      <c r="F320" s="66">
        <f>A320*E320</f>
        <v>0</v>
      </c>
      <c r="G320" s="68"/>
    </row>
    <row r="321" spans="1:7" ht="15.6" x14ac:dyDescent="0.3">
      <c r="A321" s="63"/>
      <c r="B321" s="130"/>
      <c r="C321" s="130"/>
      <c r="D321" s="96"/>
      <c r="E321" s="66"/>
      <c r="F321" s="66">
        <f>A321*E321</f>
        <v>0</v>
      </c>
      <c r="G321" s="68"/>
    </row>
    <row r="322" spans="1:7" ht="15.6" x14ac:dyDescent="0.3">
      <c r="A322" s="63"/>
      <c r="B322" s="130"/>
      <c r="C322" s="130"/>
      <c r="D322" s="96"/>
      <c r="E322" s="66"/>
      <c r="F322" s="66">
        <f t="shared" si="10"/>
        <v>0</v>
      </c>
      <c r="G322" s="68"/>
    </row>
    <row r="323" spans="1:7" ht="15.6" x14ac:dyDescent="0.3">
      <c r="A323" s="69"/>
      <c r="B323" s="130"/>
      <c r="C323" s="130"/>
      <c r="D323" s="96"/>
      <c r="E323" s="66"/>
      <c r="F323" s="66">
        <f t="shared" si="10"/>
        <v>0</v>
      </c>
      <c r="G323" s="68"/>
    </row>
    <row r="324" spans="1:7" ht="15.6" x14ac:dyDescent="0.3">
      <c r="A324" s="69"/>
      <c r="B324" s="130"/>
      <c r="C324" s="130"/>
      <c r="D324" s="135"/>
      <c r="E324" s="66"/>
      <c r="F324" s="66">
        <f t="shared" si="10"/>
        <v>0</v>
      </c>
      <c r="G324" s="68"/>
    </row>
    <row r="325" spans="1:7" ht="15.6" x14ac:dyDescent="0.3">
      <c r="A325" s="69"/>
      <c r="B325" s="64"/>
      <c r="C325" s="64"/>
      <c r="D325" s="65"/>
      <c r="E325" s="66"/>
      <c r="F325" s="66">
        <f t="shared" si="10"/>
        <v>0</v>
      </c>
      <c r="G325" s="68"/>
    </row>
    <row r="326" spans="1:7" ht="15.6" x14ac:dyDescent="0.3">
      <c r="A326" s="69"/>
      <c r="B326" s="64"/>
      <c r="C326" s="64"/>
      <c r="D326" s="65"/>
      <c r="E326" s="66"/>
      <c r="F326" s="66">
        <f t="shared" si="10"/>
        <v>0</v>
      </c>
      <c r="G326" s="68"/>
    </row>
    <row r="327" spans="1:7" ht="15.6" x14ac:dyDescent="0.3">
      <c r="A327" s="69"/>
      <c r="B327" s="64"/>
      <c r="C327" s="64"/>
      <c r="D327" s="65"/>
      <c r="E327" s="66"/>
      <c r="F327" s="66">
        <f t="shared" si="10"/>
        <v>0</v>
      </c>
      <c r="G327" s="68"/>
    </row>
    <row r="328" spans="1:7" ht="15.6" x14ac:dyDescent="0.3">
      <c r="A328" s="69"/>
      <c r="B328" s="64"/>
      <c r="C328" s="64"/>
      <c r="D328" s="65"/>
      <c r="E328" s="66"/>
      <c r="F328" s="66">
        <f t="shared" si="10"/>
        <v>0</v>
      </c>
      <c r="G328" s="68"/>
    </row>
    <row r="329" spans="1:7" ht="15.6" x14ac:dyDescent="0.3">
      <c r="A329" s="69"/>
      <c r="B329" s="64"/>
      <c r="C329" s="64"/>
      <c r="D329" s="65"/>
      <c r="E329" s="66"/>
      <c r="F329" s="66">
        <f t="shared" si="10"/>
        <v>0</v>
      </c>
      <c r="G329" s="68"/>
    </row>
    <row r="330" spans="1:7" ht="15.6" x14ac:dyDescent="0.3">
      <c r="A330" s="70"/>
      <c r="B330" s="71"/>
      <c r="C330" s="71"/>
      <c r="D330" s="72"/>
      <c r="E330" s="73"/>
      <c r="F330" s="73">
        <f t="shared" si="10"/>
        <v>0</v>
      </c>
      <c r="G330" s="75"/>
    </row>
    <row r="331" spans="1:7" ht="17.399999999999999" x14ac:dyDescent="0.3">
      <c r="A331" s="76"/>
      <c r="B331" s="77"/>
      <c r="C331" s="114" t="s">
        <v>27</v>
      </c>
      <c r="D331" s="114"/>
      <c r="E331" s="78"/>
      <c r="F331" s="79">
        <f>SUM(F316:F329)</f>
        <v>536</v>
      </c>
      <c r="G331" s="80"/>
    </row>
    <row r="332" spans="1:7" ht="17.399999999999999" x14ac:dyDescent="0.3">
      <c r="A332" s="81"/>
      <c r="B332" s="82"/>
      <c r="C332" s="106" t="s">
        <v>28</v>
      </c>
      <c r="D332" s="106"/>
      <c r="E332" s="83"/>
      <c r="F332" s="84">
        <f>F331*0.16</f>
        <v>85.76</v>
      </c>
      <c r="G332" s="85"/>
    </row>
    <row r="333" spans="1:7" ht="17.399999999999999" x14ac:dyDescent="0.3">
      <c r="A333" s="81"/>
      <c r="B333" s="82"/>
      <c r="C333" s="107" t="s">
        <v>29</v>
      </c>
      <c r="D333" s="107"/>
      <c r="E333" s="86"/>
      <c r="F333" s="87">
        <f>F331+F332</f>
        <v>621.76</v>
      </c>
      <c r="G333" s="88"/>
    </row>
    <row r="334" spans="1:7" ht="15.6" x14ac:dyDescent="0.3">
      <c r="A334" s="108" t="s">
        <v>30</v>
      </c>
      <c r="B334" s="89"/>
      <c r="C334" s="89" t="s">
        <v>31</v>
      </c>
      <c r="D334" s="89"/>
      <c r="E334" s="89" t="s">
        <v>32</v>
      </c>
      <c r="F334" s="89"/>
      <c r="G334" s="109"/>
    </row>
    <row r="335" spans="1:7" ht="15.6" x14ac:dyDescent="0.3">
      <c r="A335" s="134" t="s">
        <v>358</v>
      </c>
      <c r="B335" s="90"/>
      <c r="C335" s="90" t="s">
        <v>33</v>
      </c>
      <c r="D335" s="90"/>
      <c r="E335" s="90" t="s">
        <v>354</v>
      </c>
      <c r="F335" s="90"/>
      <c r="G335" s="110"/>
    </row>
    <row r="339" spans="1:7" ht="21" x14ac:dyDescent="0.4">
      <c r="A339" s="49"/>
      <c r="B339" s="209" t="s">
        <v>48</v>
      </c>
      <c r="C339" s="210"/>
      <c r="D339" s="190" t="s">
        <v>36</v>
      </c>
      <c r="E339" s="191"/>
      <c r="F339" s="191"/>
      <c r="G339" s="192"/>
    </row>
    <row r="340" spans="1:7" ht="21" x14ac:dyDescent="0.4">
      <c r="A340" s="50"/>
      <c r="B340" s="211"/>
      <c r="C340" s="212"/>
      <c r="D340" s="193" t="s">
        <v>1</v>
      </c>
      <c r="E340" s="194"/>
      <c r="F340" s="195" t="s">
        <v>325</v>
      </c>
      <c r="G340" s="177"/>
    </row>
    <row r="341" spans="1:7" ht="21" x14ac:dyDescent="0.4">
      <c r="A341" s="50"/>
      <c r="B341" s="211"/>
      <c r="C341" s="212"/>
      <c r="D341" s="136" t="s">
        <v>267</v>
      </c>
      <c r="E341" s="6"/>
      <c r="F341" s="116">
        <v>19</v>
      </c>
      <c r="G341" s="115"/>
    </row>
    <row r="342" spans="1:7" ht="21" x14ac:dyDescent="0.4">
      <c r="A342" s="51"/>
      <c r="B342" s="213"/>
      <c r="C342" s="214"/>
      <c r="D342" s="215" t="s">
        <v>38</v>
      </c>
      <c r="E342" s="216"/>
      <c r="F342" s="180" t="s">
        <v>397</v>
      </c>
      <c r="G342" s="181"/>
    </row>
    <row r="343" spans="1:7" ht="20.399999999999999" x14ac:dyDescent="0.35">
      <c r="A343" s="52" t="s">
        <v>39</v>
      </c>
      <c r="B343" s="53" t="s">
        <v>354</v>
      </c>
      <c r="C343" s="54"/>
      <c r="D343" s="54"/>
      <c r="E343" s="182" t="s">
        <v>403</v>
      </c>
      <c r="F343" s="182"/>
      <c r="G343" s="183"/>
    </row>
    <row r="344" spans="1:7" ht="20.399999999999999" x14ac:dyDescent="0.35">
      <c r="A344" s="52" t="s">
        <v>40</v>
      </c>
      <c r="B344" s="173"/>
      <c r="C344" s="174"/>
      <c r="D344" s="174"/>
      <c r="E344" s="174"/>
      <c r="F344" s="174"/>
      <c r="G344" s="175"/>
    </row>
    <row r="345" spans="1:7" ht="20.399999999999999" x14ac:dyDescent="0.35">
      <c r="A345" s="52" t="s">
        <v>41</v>
      </c>
      <c r="B345" s="173" t="s">
        <v>395</v>
      </c>
      <c r="C345" s="174"/>
      <c r="D345" s="174"/>
      <c r="E345" s="174"/>
      <c r="F345" s="174"/>
      <c r="G345" s="175"/>
    </row>
    <row r="346" spans="1:7" ht="20.399999999999999" x14ac:dyDescent="0.35">
      <c r="A346" s="52" t="s">
        <v>42</v>
      </c>
      <c r="B346" s="173" t="s">
        <v>361</v>
      </c>
      <c r="C346" s="174"/>
      <c r="D346" s="174"/>
      <c r="E346" s="174"/>
      <c r="F346" s="174"/>
      <c r="G346" s="175"/>
    </row>
    <row r="347" spans="1:7" ht="15" x14ac:dyDescent="0.3">
      <c r="A347" s="103" t="s">
        <v>8</v>
      </c>
      <c r="B347" s="103" t="s">
        <v>9</v>
      </c>
      <c r="C347" s="103" t="s">
        <v>10</v>
      </c>
      <c r="D347" s="103" t="s">
        <v>43</v>
      </c>
      <c r="E347" s="103" t="s">
        <v>12</v>
      </c>
      <c r="F347" s="103" t="s">
        <v>13</v>
      </c>
      <c r="G347" s="103" t="s">
        <v>14</v>
      </c>
    </row>
    <row r="348" spans="1:7" ht="42" x14ac:dyDescent="0.3">
      <c r="A348" s="129">
        <v>44</v>
      </c>
      <c r="B348" s="129" t="s">
        <v>112</v>
      </c>
      <c r="C348" s="137" t="s">
        <v>362</v>
      </c>
      <c r="D348" s="93" t="s">
        <v>363</v>
      </c>
      <c r="E348" s="138">
        <v>16.11</v>
      </c>
      <c r="F348" s="138">
        <f>A348*E348</f>
        <v>708.83999999999992</v>
      </c>
      <c r="G348" s="139" t="s">
        <v>364</v>
      </c>
    </row>
    <row r="349" spans="1:7" ht="42" x14ac:dyDescent="0.3">
      <c r="A349" s="129">
        <v>28</v>
      </c>
      <c r="B349" s="129" t="s">
        <v>112</v>
      </c>
      <c r="C349" s="137" t="s">
        <v>365</v>
      </c>
      <c r="D349" s="93" t="s">
        <v>366</v>
      </c>
      <c r="E349" s="138">
        <v>16.11</v>
      </c>
      <c r="F349" s="138">
        <f t="shared" ref="F349:F367" si="11">A349*E349</f>
        <v>451.08</v>
      </c>
      <c r="G349" s="139" t="s">
        <v>364</v>
      </c>
    </row>
    <row r="350" spans="1:7" ht="42" x14ac:dyDescent="0.3">
      <c r="A350" s="129">
        <v>6</v>
      </c>
      <c r="B350" s="129" t="s">
        <v>112</v>
      </c>
      <c r="C350" s="137" t="s">
        <v>367</v>
      </c>
      <c r="D350" s="129" t="s">
        <v>368</v>
      </c>
      <c r="E350" s="138">
        <v>16.11</v>
      </c>
      <c r="F350" s="138">
        <f t="shared" si="11"/>
        <v>96.66</v>
      </c>
      <c r="G350" s="139" t="s">
        <v>364</v>
      </c>
    </row>
    <row r="351" spans="1:7" ht="42" x14ac:dyDescent="0.3">
      <c r="A351" s="129">
        <v>50</v>
      </c>
      <c r="B351" s="129" t="s">
        <v>112</v>
      </c>
      <c r="C351" s="137" t="s">
        <v>369</v>
      </c>
      <c r="D351" s="129" t="s">
        <v>370</v>
      </c>
      <c r="E351" s="138">
        <v>15.98</v>
      </c>
      <c r="F351" s="138">
        <f t="shared" si="11"/>
        <v>799</v>
      </c>
      <c r="G351" s="139" t="s">
        <v>364</v>
      </c>
    </row>
    <row r="352" spans="1:7" ht="42" x14ac:dyDescent="0.3">
      <c r="A352" s="129">
        <v>30</v>
      </c>
      <c r="B352" s="129" t="s">
        <v>112</v>
      </c>
      <c r="C352" s="137" t="s">
        <v>371</v>
      </c>
      <c r="D352" s="93" t="s">
        <v>372</v>
      </c>
      <c r="E352" s="138">
        <v>20.87</v>
      </c>
      <c r="F352" s="138">
        <f t="shared" si="11"/>
        <v>626.1</v>
      </c>
      <c r="G352" s="139" t="s">
        <v>364</v>
      </c>
    </row>
    <row r="353" spans="1:7" ht="42" x14ac:dyDescent="0.3">
      <c r="A353" s="129">
        <v>2</v>
      </c>
      <c r="B353" s="129" t="s">
        <v>112</v>
      </c>
      <c r="C353" s="137" t="s">
        <v>373</v>
      </c>
      <c r="D353" s="129" t="s">
        <v>374</v>
      </c>
      <c r="E353" s="138">
        <v>18.45</v>
      </c>
      <c r="F353" s="138">
        <f t="shared" si="11"/>
        <v>36.9</v>
      </c>
      <c r="G353" s="139" t="s">
        <v>364</v>
      </c>
    </row>
    <row r="354" spans="1:7" ht="42" x14ac:dyDescent="0.3">
      <c r="A354" s="129">
        <v>45</v>
      </c>
      <c r="B354" s="129" t="s">
        <v>112</v>
      </c>
      <c r="C354" s="137" t="s">
        <v>375</v>
      </c>
      <c r="D354" s="129" t="s">
        <v>376</v>
      </c>
      <c r="E354" s="138">
        <v>31.28</v>
      </c>
      <c r="F354" s="138">
        <f t="shared" si="11"/>
        <v>1407.6000000000001</v>
      </c>
      <c r="G354" s="139" t="s">
        <v>364</v>
      </c>
    </row>
    <row r="355" spans="1:7" ht="42" x14ac:dyDescent="0.3">
      <c r="A355" s="129">
        <v>18</v>
      </c>
      <c r="B355" s="129" t="s">
        <v>112</v>
      </c>
      <c r="C355" s="137" t="s">
        <v>377</v>
      </c>
      <c r="D355" s="129" t="s">
        <v>378</v>
      </c>
      <c r="E355" s="138">
        <v>203.44</v>
      </c>
      <c r="F355" s="138">
        <f t="shared" si="11"/>
        <v>3661.92</v>
      </c>
      <c r="G355" s="139" t="s">
        <v>364</v>
      </c>
    </row>
    <row r="356" spans="1:7" ht="42" x14ac:dyDescent="0.3">
      <c r="A356" s="129">
        <v>10</v>
      </c>
      <c r="B356" s="129" t="s">
        <v>112</v>
      </c>
      <c r="C356" s="137" t="s">
        <v>379</v>
      </c>
      <c r="D356" s="129" t="s">
        <v>380</v>
      </c>
      <c r="E356" s="138">
        <v>16.98</v>
      </c>
      <c r="F356" s="138">
        <f t="shared" si="11"/>
        <v>169.8</v>
      </c>
      <c r="G356" s="139" t="s">
        <v>364</v>
      </c>
    </row>
    <row r="357" spans="1:7" ht="42" x14ac:dyDescent="0.3">
      <c r="A357" s="129">
        <v>14</v>
      </c>
      <c r="B357" s="129" t="s">
        <v>112</v>
      </c>
      <c r="C357" s="137" t="s">
        <v>381</v>
      </c>
      <c r="D357" s="129" t="s">
        <v>382</v>
      </c>
      <c r="E357" s="138">
        <v>23.37</v>
      </c>
      <c r="F357" s="138">
        <f t="shared" si="11"/>
        <v>327.18</v>
      </c>
      <c r="G357" s="139" t="s">
        <v>364</v>
      </c>
    </row>
    <row r="358" spans="1:7" ht="42" x14ac:dyDescent="0.3">
      <c r="A358" s="129">
        <v>2</v>
      </c>
      <c r="B358" s="129" t="s">
        <v>112</v>
      </c>
      <c r="C358" s="137" t="s">
        <v>383</v>
      </c>
      <c r="D358" s="129" t="s">
        <v>384</v>
      </c>
      <c r="E358" s="138">
        <v>44.11</v>
      </c>
      <c r="F358" s="138">
        <f t="shared" si="11"/>
        <v>88.22</v>
      </c>
      <c r="G358" s="139" t="s">
        <v>364</v>
      </c>
    </row>
    <row r="359" spans="1:7" ht="42" x14ac:dyDescent="0.3">
      <c r="A359" s="129">
        <v>5</v>
      </c>
      <c r="B359" s="129" t="s">
        <v>112</v>
      </c>
      <c r="C359" s="137" t="s">
        <v>385</v>
      </c>
      <c r="D359" s="129" t="s">
        <v>386</v>
      </c>
      <c r="E359" s="138">
        <v>10.130000000000001</v>
      </c>
      <c r="F359" s="138">
        <f t="shared" si="11"/>
        <v>50.650000000000006</v>
      </c>
      <c r="G359" s="139" t="s">
        <v>364</v>
      </c>
    </row>
    <row r="360" spans="1:7" ht="42" x14ac:dyDescent="0.3">
      <c r="A360" s="129">
        <v>5</v>
      </c>
      <c r="B360" s="129" t="s">
        <v>112</v>
      </c>
      <c r="C360" s="137" t="s">
        <v>387</v>
      </c>
      <c r="D360" s="129" t="s">
        <v>388</v>
      </c>
      <c r="E360" s="138">
        <v>58.48</v>
      </c>
      <c r="F360" s="138">
        <f t="shared" si="11"/>
        <v>292.39999999999998</v>
      </c>
      <c r="G360" s="139" t="s">
        <v>364</v>
      </c>
    </row>
    <row r="361" spans="1:7" ht="42" x14ac:dyDescent="0.3">
      <c r="A361" s="129">
        <v>14</v>
      </c>
      <c r="B361" s="129" t="s">
        <v>112</v>
      </c>
      <c r="C361" s="137" t="s">
        <v>389</v>
      </c>
      <c r="D361" s="129" t="s">
        <v>390</v>
      </c>
      <c r="E361" s="138">
        <v>11.68</v>
      </c>
      <c r="F361" s="138">
        <f t="shared" si="11"/>
        <v>163.51999999999998</v>
      </c>
      <c r="G361" s="139" t="s">
        <v>364</v>
      </c>
    </row>
    <row r="362" spans="1:7" ht="42" x14ac:dyDescent="0.3">
      <c r="A362" s="129">
        <v>18</v>
      </c>
      <c r="B362" s="129" t="s">
        <v>112</v>
      </c>
      <c r="C362" s="137" t="s">
        <v>391</v>
      </c>
      <c r="D362" s="129" t="s">
        <v>392</v>
      </c>
      <c r="E362" s="138">
        <v>16.11</v>
      </c>
      <c r="F362" s="138">
        <f t="shared" si="11"/>
        <v>289.98</v>
      </c>
      <c r="G362" s="139" t="s">
        <v>364</v>
      </c>
    </row>
    <row r="363" spans="1:7" ht="42" customHeight="1" x14ac:dyDescent="0.3">
      <c r="A363" s="129">
        <v>4</v>
      </c>
      <c r="B363" s="129" t="s">
        <v>112</v>
      </c>
      <c r="C363" s="137" t="s">
        <v>393</v>
      </c>
      <c r="D363" s="68"/>
      <c r="E363" s="138">
        <v>60.24</v>
      </c>
      <c r="F363" s="138">
        <f t="shared" si="11"/>
        <v>240.96</v>
      </c>
      <c r="G363" s="68"/>
    </row>
    <row r="364" spans="1:7" ht="44.4" customHeight="1" x14ac:dyDescent="0.3">
      <c r="A364" s="129">
        <v>14</v>
      </c>
      <c r="B364" s="129" t="s">
        <v>112</v>
      </c>
      <c r="C364" s="137" t="s">
        <v>394</v>
      </c>
      <c r="D364" s="68"/>
      <c r="E364" s="138">
        <v>60.24</v>
      </c>
      <c r="F364" s="138">
        <f t="shared" si="11"/>
        <v>843.36</v>
      </c>
      <c r="G364" s="68"/>
    </row>
    <row r="365" spans="1:7" ht="38.4" customHeight="1" x14ac:dyDescent="0.3">
      <c r="A365" s="129">
        <v>2</v>
      </c>
      <c r="B365" s="129" t="s">
        <v>112</v>
      </c>
      <c r="C365" s="137" t="s">
        <v>396</v>
      </c>
      <c r="D365" s="68"/>
      <c r="E365" s="138">
        <v>266.11</v>
      </c>
      <c r="F365" s="138">
        <f t="shared" si="11"/>
        <v>532.22</v>
      </c>
      <c r="G365" s="68"/>
    </row>
    <row r="366" spans="1:7" x14ac:dyDescent="0.3">
      <c r="A366" s="129"/>
      <c r="B366" s="129"/>
      <c r="C366" s="129"/>
      <c r="D366" s="68"/>
      <c r="E366" s="138"/>
      <c r="F366" s="138">
        <f t="shared" si="11"/>
        <v>0</v>
      </c>
      <c r="G366" s="68"/>
    </row>
    <row r="367" spans="1:7" x14ac:dyDescent="0.3">
      <c r="A367" s="141"/>
      <c r="B367" s="141"/>
      <c r="C367" s="141"/>
      <c r="D367" s="75"/>
      <c r="E367" s="142"/>
      <c r="F367" s="142">
        <f t="shared" si="11"/>
        <v>0</v>
      </c>
      <c r="G367" s="75"/>
    </row>
    <row r="368" spans="1:7" ht="15.6" x14ac:dyDescent="0.3">
      <c r="A368" s="143"/>
      <c r="B368" s="144"/>
      <c r="C368" s="145" t="s">
        <v>27</v>
      </c>
      <c r="D368" s="77"/>
      <c r="E368" s="146"/>
      <c r="F368" s="146">
        <f>SUM(F348:F366)</f>
        <v>10786.389999999998</v>
      </c>
      <c r="G368" s="147"/>
    </row>
    <row r="369" spans="1:7" ht="15.6" x14ac:dyDescent="0.3">
      <c r="A369" s="148"/>
      <c r="B369" s="91"/>
      <c r="C369" s="149" t="s">
        <v>28</v>
      </c>
      <c r="D369" s="82"/>
      <c r="E369" s="150"/>
      <c r="F369" s="150">
        <f>F368*0.16</f>
        <v>1725.8223999999996</v>
      </c>
      <c r="G369" s="151"/>
    </row>
    <row r="370" spans="1:7" ht="15.6" x14ac:dyDescent="0.3">
      <c r="A370" s="148"/>
      <c r="B370" s="91"/>
      <c r="C370" s="152" t="s">
        <v>29</v>
      </c>
      <c r="D370" s="153"/>
      <c r="E370" s="154"/>
      <c r="F370" s="154">
        <f>F368+F369</f>
        <v>12512.212399999997</v>
      </c>
      <c r="G370" s="155"/>
    </row>
    <row r="371" spans="1:7" x14ac:dyDescent="0.3">
      <c r="A371" s="203" t="s">
        <v>30</v>
      </c>
      <c r="B371" s="204"/>
      <c r="C371" s="156" t="s">
        <v>31</v>
      </c>
      <c r="D371" s="156"/>
      <c r="E371" s="204" t="s">
        <v>32</v>
      </c>
      <c r="F371" s="204"/>
      <c r="G371" s="205"/>
    </row>
    <row r="372" spans="1:7" x14ac:dyDescent="0.3">
      <c r="A372" s="206" t="s">
        <v>52</v>
      </c>
      <c r="B372" s="207"/>
      <c r="C372" s="157" t="s">
        <v>33</v>
      </c>
      <c r="D372" s="157"/>
      <c r="E372" s="207" t="s">
        <v>354</v>
      </c>
      <c r="F372" s="207"/>
      <c r="G372" s="208"/>
    </row>
    <row r="373" spans="1:7" x14ac:dyDescent="0.3">
      <c r="A373" s="91"/>
      <c r="B373" s="91"/>
      <c r="C373" s="91"/>
      <c r="D373" s="91"/>
      <c r="E373" s="91"/>
      <c r="F373" s="91"/>
      <c r="G373" s="91"/>
    </row>
    <row r="376" spans="1:7" ht="24.6" x14ac:dyDescent="0.3">
      <c r="A376" s="184" t="s">
        <v>48</v>
      </c>
      <c r="B376" s="197"/>
      <c r="C376" s="185"/>
      <c r="D376" s="200" t="s">
        <v>36</v>
      </c>
      <c r="E376" s="201"/>
      <c r="F376" s="201"/>
      <c r="G376" s="202"/>
    </row>
    <row r="377" spans="1:7" ht="21" x14ac:dyDescent="0.4">
      <c r="A377" s="186"/>
      <c r="B377" s="198"/>
      <c r="C377" s="187"/>
      <c r="D377" s="118" t="s">
        <v>1</v>
      </c>
      <c r="E377" s="196" t="s">
        <v>325</v>
      </c>
      <c r="F377" s="195"/>
      <c r="G377" s="115"/>
    </row>
    <row r="378" spans="1:7" ht="21" x14ac:dyDescent="0.4">
      <c r="A378" s="186"/>
      <c r="B378" s="198"/>
      <c r="C378" s="187"/>
      <c r="D378" s="118" t="s">
        <v>334</v>
      </c>
      <c r="E378" s="176">
        <v>19</v>
      </c>
      <c r="F378" s="195"/>
      <c r="G378" s="115"/>
    </row>
    <row r="379" spans="1:7" ht="30" x14ac:dyDescent="0.3">
      <c r="A379" s="188"/>
      <c r="B379" s="199"/>
      <c r="C379" s="189"/>
      <c r="D379" s="119" t="s">
        <v>38</v>
      </c>
      <c r="E379" s="180" t="s">
        <v>412</v>
      </c>
      <c r="F379" s="181"/>
      <c r="G379" s="117"/>
    </row>
    <row r="380" spans="1:7" ht="20.399999999999999" x14ac:dyDescent="0.35">
      <c r="A380" s="52" t="s">
        <v>39</v>
      </c>
      <c r="B380" s="53" t="s">
        <v>273</v>
      </c>
      <c r="C380" s="54"/>
      <c r="D380" s="54"/>
      <c r="E380" s="120" t="s">
        <v>360</v>
      </c>
      <c r="F380" s="121"/>
      <c r="G380" s="122"/>
    </row>
    <row r="381" spans="1:7" ht="20.399999999999999" x14ac:dyDescent="0.35">
      <c r="A381" s="52" t="s">
        <v>40</v>
      </c>
      <c r="B381" s="111"/>
      <c r="C381" s="112"/>
      <c r="D381" s="112"/>
      <c r="E381" s="123"/>
      <c r="F381" s="124"/>
      <c r="G381" s="125"/>
    </row>
    <row r="382" spans="1:7" ht="20.399999999999999" x14ac:dyDescent="0.35">
      <c r="A382" s="52" t="s">
        <v>41</v>
      </c>
      <c r="B382" s="111" t="s">
        <v>400</v>
      </c>
      <c r="C382" s="112"/>
      <c r="D382" s="112"/>
      <c r="E382" s="126"/>
      <c r="F382" s="127"/>
      <c r="G382" s="128"/>
    </row>
    <row r="383" spans="1:7" ht="20.399999999999999" x14ac:dyDescent="0.35">
      <c r="A383" s="52" t="s">
        <v>42</v>
      </c>
      <c r="B383" s="111" t="s">
        <v>398</v>
      </c>
      <c r="C383" s="112"/>
      <c r="D383" s="112"/>
      <c r="E383" s="112"/>
      <c r="F383" s="112"/>
      <c r="G383" s="113"/>
    </row>
    <row r="384" spans="1:7" ht="15" x14ac:dyDescent="0.3">
      <c r="A384" s="103" t="s">
        <v>8</v>
      </c>
      <c r="B384" s="103" t="s">
        <v>9</v>
      </c>
      <c r="C384" s="103" t="s">
        <v>10</v>
      </c>
      <c r="D384" s="103" t="s">
        <v>43</v>
      </c>
      <c r="E384" s="103" t="s">
        <v>12</v>
      </c>
      <c r="F384" s="103" t="s">
        <v>13</v>
      </c>
      <c r="G384" s="103" t="s">
        <v>14</v>
      </c>
    </row>
    <row r="385" spans="1:7" ht="31.2" x14ac:dyDescent="0.3">
      <c r="A385" s="57">
        <v>28</v>
      </c>
      <c r="B385" s="58" t="s">
        <v>15</v>
      </c>
      <c r="C385" s="58" t="s">
        <v>399</v>
      </c>
      <c r="D385" s="95" t="s">
        <v>402</v>
      </c>
      <c r="E385" s="60">
        <v>236.68</v>
      </c>
      <c r="F385" s="60">
        <f t="shared" ref="F385:F399" si="12">A385*E385</f>
        <v>6627.04</v>
      </c>
      <c r="G385" s="129"/>
    </row>
    <row r="386" spans="1:7" ht="15.6" x14ac:dyDescent="0.3">
      <c r="A386" s="63">
        <v>63</v>
      </c>
      <c r="B386" s="64" t="s">
        <v>15</v>
      </c>
      <c r="C386" s="64" t="s">
        <v>401</v>
      </c>
      <c r="D386" s="96"/>
      <c r="E386" s="66">
        <v>151.74</v>
      </c>
      <c r="F386" s="66">
        <f t="shared" si="12"/>
        <v>9559.6200000000008</v>
      </c>
      <c r="G386" s="129"/>
    </row>
    <row r="387" spans="1:7" ht="15.6" x14ac:dyDescent="0.3">
      <c r="A387" s="63"/>
      <c r="B387" s="64"/>
      <c r="C387" s="64"/>
      <c r="D387" s="96"/>
      <c r="E387" s="66"/>
      <c r="F387" s="66">
        <f t="shared" si="12"/>
        <v>0</v>
      </c>
      <c r="G387" s="129"/>
    </row>
    <row r="388" spans="1:7" ht="15.6" x14ac:dyDescent="0.3">
      <c r="A388" s="63"/>
      <c r="B388" s="130"/>
      <c r="C388" s="130"/>
      <c r="D388" s="96"/>
      <c r="E388" s="66"/>
      <c r="F388" s="66">
        <f t="shared" si="12"/>
        <v>0</v>
      </c>
      <c r="G388" s="68"/>
    </row>
    <row r="389" spans="1:7" ht="15.6" x14ac:dyDescent="0.3">
      <c r="A389" s="63"/>
      <c r="B389" s="130"/>
      <c r="C389" s="130"/>
      <c r="D389" s="96"/>
      <c r="E389" s="66"/>
      <c r="F389" s="66">
        <f t="shared" si="12"/>
        <v>0</v>
      </c>
      <c r="G389" s="68"/>
    </row>
    <row r="390" spans="1:7" ht="15.6" x14ac:dyDescent="0.3">
      <c r="A390" s="63"/>
      <c r="B390" s="130"/>
      <c r="C390" s="130"/>
      <c r="D390" s="96"/>
      <c r="E390" s="66"/>
      <c r="F390" s="66">
        <f t="shared" si="12"/>
        <v>0</v>
      </c>
      <c r="G390" s="68"/>
    </row>
    <row r="391" spans="1:7" ht="15.6" x14ac:dyDescent="0.3">
      <c r="A391" s="63"/>
      <c r="B391" s="130"/>
      <c r="C391" s="130"/>
      <c r="D391" s="96"/>
      <c r="E391" s="66"/>
      <c r="F391" s="66">
        <f t="shared" si="12"/>
        <v>0</v>
      </c>
      <c r="G391" s="68"/>
    </row>
    <row r="392" spans="1:7" ht="15.6" x14ac:dyDescent="0.3">
      <c r="A392" s="69"/>
      <c r="B392" s="130"/>
      <c r="C392" s="130"/>
      <c r="D392" s="96"/>
      <c r="E392" s="66"/>
      <c r="F392" s="66">
        <f t="shared" si="12"/>
        <v>0</v>
      </c>
      <c r="G392" s="68"/>
    </row>
    <row r="393" spans="1:7" ht="15.6" x14ac:dyDescent="0.3">
      <c r="A393" s="69"/>
      <c r="B393" s="130"/>
      <c r="C393" s="130"/>
      <c r="D393" s="96"/>
      <c r="E393" s="66"/>
      <c r="F393" s="66">
        <f t="shared" si="12"/>
        <v>0</v>
      </c>
      <c r="G393" s="68"/>
    </row>
    <row r="394" spans="1:7" ht="15.6" x14ac:dyDescent="0.3">
      <c r="A394" s="69"/>
      <c r="B394" s="64"/>
      <c r="C394" s="130"/>
      <c r="D394" s="96"/>
      <c r="E394" s="66"/>
      <c r="F394" s="66">
        <f t="shared" si="12"/>
        <v>0</v>
      </c>
      <c r="G394" s="68"/>
    </row>
    <row r="395" spans="1:7" ht="15.6" x14ac:dyDescent="0.3">
      <c r="A395" s="69"/>
      <c r="B395" s="64"/>
      <c r="C395" s="64"/>
      <c r="D395" s="65"/>
      <c r="E395" s="66"/>
      <c r="F395" s="66">
        <f t="shared" si="12"/>
        <v>0</v>
      </c>
      <c r="G395" s="68"/>
    </row>
    <row r="396" spans="1:7" ht="15.6" x14ac:dyDescent="0.3">
      <c r="A396" s="69"/>
      <c r="B396" s="64"/>
      <c r="C396" s="64"/>
      <c r="D396" s="65"/>
      <c r="E396" s="66"/>
      <c r="F396" s="66">
        <f t="shared" si="12"/>
        <v>0</v>
      </c>
      <c r="G396" s="68"/>
    </row>
    <row r="397" spans="1:7" ht="15.6" x14ac:dyDescent="0.3">
      <c r="A397" s="69"/>
      <c r="B397" s="64"/>
      <c r="C397" s="64"/>
      <c r="D397" s="65"/>
      <c r="E397" s="66"/>
      <c r="F397" s="66">
        <f t="shared" si="12"/>
        <v>0</v>
      </c>
      <c r="G397" s="68"/>
    </row>
    <row r="398" spans="1:7" ht="15.6" x14ac:dyDescent="0.3">
      <c r="A398" s="69"/>
      <c r="B398" s="64"/>
      <c r="C398" s="64"/>
      <c r="D398" s="65"/>
      <c r="E398" s="66"/>
      <c r="F398" s="66">
        <f t="shared" si="12"/>
        <v>0</v>
      </c>
      <c r="G398" s="68"/>
    </row>
    <row r="399" spans="1:7" ht="15.6" x14ac:dyDescent="0.3">
      <c r="A399" s="70"/>
      <c r="B399" s="71"/>
      <c r="C399" s="71"/>
      <c r="D399" s="72"/>
      <c r="E399" s="73"/>
      <c r="F399" s="73">
        <f t="shared" si="12"/>
        <v>0</v>
      </c>
      <c r="G399" s="75"/>
    </row>
    <row r="400" spans="1:7" ht="17.399999999999999" x14ac:dyDescent="0.3">
      <c r="A400" s="76"/>
      <c r="B400" s="77"/>
      <c r="C400" s="114" t="s">
        <v>27</v>
      </c>
      <c r="D400" s="114"/>
      <c r="E400" s="78"/>
      <c r="F400" s="131">
        <f>SUM(F385:F398)</f>
        <v>16186.66</v>
      </c>
      <c r="G400" s="80"/>
    </row>
    <row r="401" spans="1:7" ht="17.399999999999999" x14ac:dyDescent="0.3">
      <c r="A401" s="81"/>
      <c r="B401" s="82"/>
      <c r="C401" s="106" t="s">
        <v>28</v>
      </c>
      <c r="D401" s="106"/>
      <c r="E401" s="83"/>
      <c r="F401" s="132">
        <f>F400*0.16</f>
        <v>2589.8656000000001</v>
      </c>
      <c r="G401" s="85"/>
    </row>
    <row r="402" spans="1:7" ht="17.399999999999999" x14ac:dyDescent="0.3">
      <c r="A402" s="81"/>
      <c r="B402" s="82"/>
      <c r="C402" s="107" t="s">
        <v>29</v>
      </c>
      <c r="D402" s="107"/>
      <c r="E402" s="86"/>
      <c r="F402" s="133">
        <f>F400+F401</f>
        <v>18776.525600000001</v>
      </c>
      <c r="G402" s="88"/>
    </row>
    <row r="403" spans="1:7" ht="15.6" x14ac:dyDescent="0.3">
      <c r="A403" s="108" t="s">
        <v>30</v>
      </c>
      <c r="B403" s="89"/>
      <c r="C403" s="89" t="s">
        <v>31</v>
      </c>
      <c r="D403" s="89"/>
      <c r="E403" s="89" t="s">
        <v>32</v>
      </c>
      <c r="F403" s="89"/>
      <c r="G403" s="109"/>
    </row>
    <row r="404" spans="1:7" ht="15.6" x14ac:dyDescent="0.3">
      <c r="A404" s="134" t="s">
        <v>52</v>
      </c>
      <c r="B404" s="90"/>
      <c r="C404" s="90" t="s">
        <v>33</v>
      </c>
      <c r="D404" s="90"/>
      <c r="E404" s="90" t="s">
        <v>273</v>
      </c>
      <c r="F404" s="90"/>
      <c r="G404" s="110"/>
    </row>
    <row r="408" spans="1:7" ht="21" x14ac:dyDescent="0.4">
      <c r="A408" s="49"/>
      <c r="B408" s="209" t="s">
        <v>48</v>
      </c>
      <c r="C408" s="210"/>
      <c r="D408" s="190" t="s">
        <v>36</v>
      </c>
      <c r="E408" s="191"/>
      <c r="F408" s="191"/>
      <c r="G408" s="192"/>
    </row>
    <row r="409" spans="1:7" ht="21" x14ac:dyDescent="0.4">
      <c r="A409" s="50"/>
      <c r="B409" s="211"/>
      <c r="C409" s="212"/>
      <c r="D409" s="193" t="s">
        <v>1</v>
      </c>
      <c r="E409" s="194"/>
      <c r="F409" s="195" t="s">
        <v>325</v>
      </c>
      <c r="G409" s="177"/>
    </row>
    <row r="410" spans="1:7" ht="21" x14ac:dyDescent="0.4">
      <c r="A410" s="50"/>
      <c r="B410" s="211"/>
      <c r="C410" s="212"/>
      <c r="D410" s="217" t="s">
        <v>267</v>
      </c>
      <c r="E410" s="195"/>
      <c r="F410" s="116">
        <v>19</v>
      </c>
      <c r="G410" s="115"/>
    </row>
    <row r="411" spans="1:7" ht="21" x14ac:dyDescent="0.4">
      <c r="A411" s="51"/>
      <c r="B411" s="213"/>
      <c r="C411" s="214"/>
      <c r="D411" s="215" t="s">
        <v>38</v>
      </c>
      <c r="E411" s="216"/>
      <c r="F411" s="180" t="s">
        <v>414</v>
      </c>
      <c r="G411" s="181"/>
    </row>
    <row r="412" spans="1:7" ht="20.399999999999999" x14ac:dyDescent="0.35">
      <c r="A412" s="52" t="s">
        <v>39</v>
      </c>
      <c r="B412" s="53" t="s">
        <v>273</v>
      </c>
      <c r="C412" s="54"/>
      <c r="D412" s="54"/>
      <c r="E412" s="182" t="s">
        <v>409</v>
      </c>
      <c r="F412" s="182"/>
      <c r="G412" s="183"/>
    </row>
    <row r="413" spans="1:7" ht="20.399999999999999" x14ac:dyDescent="0.35">
      <c r="A413" s="52" t="s">
        <v>40</v>
      </c>
      <c r="B413" s="173" t="s">
        <v>413</v>
      </c>
      <c r="C413" s="174"/>
      <c r="D413" s="174"/>
      <c r="E413" s="174"/>
      <c r="F413" s="174"/>
      <c r="G413" s="175"/>
    </row>
    <row r="414" spans="1:7" ht="20.399999999999999" x14ac:dyDescent="0.35">
      <c r="A414" s="52" t="s">
        <v>41</v>
      </c>
      <c r="B414" s="173" t="s">
        <v>400</v>
      </c>
      <c r="C414" s="174"/>
      <c r="D414" s="174"/>
      <c r="E414" s="174"/>
      <c r="F414" s="174"/>
      <c r="G414" s="175"/>
    </row>
    <row r="415" spans="1:7" ht="20.399999999999999" x14ac:dyDescent="0.35">
      <c r="A415" s="52" t="s">
        <v>42</v>
      </c>
      <c r="B415" s="173" t="s">
        <v>71</v>
      </c>
      <c r="C415" s="174"/>
      <c r="D415" s="174"/>
      <c r="E415" s="174"/>
      <c r="F415" s="174"/>
      <c r="G415" s="175"/>
    </row>
    <row r="416" spans="1:7" ht="15" x14ac:dyDescent="0.3">
      <c r="A416" s="103" t="s">
        <v>8</v>
      </c>
      <c r="B416" s="103" t="s">
        <v>9</v>
      </c>
      <c r="C416" s="103" t="s">
        <v>10</v>
      </c>
      <c r="D416" s="103" t="s">
        <v>43</v>
      </c>
      <c r="E416" s="103" t="s">
        <v>12</v>
      </c>
      <c r="F416" s="103" t="s">
        <v>13</v>
      </c>
      <c r="G416" s="103" t="s">
        <v>14</v>
      </c>
    </row>
    <row r="417" spans="1:7" ht="15.6" x14ac:dyDescent="0.3">
      <c r="A417" s="158">
        <v>28</v>
      </c>
      <c r="B417" s="158" t="s">
        <v>112</v>
      </c>
      <c r="C417" s="161" t="s">
        <v>407</v>
      </c>
      <c r="D417" s="92"/>
      <c r="E417" s="159">
        <v>787.07</v>
      </c>
      <c r="F417" s="159">
        <f t="shared" ref="F417:F429" si="13">A417*E417</f>
        <v>22037.960000000003</v>
      </c>
      <c r="G417" s="62"/>
    </row>
    <row r="418" spans="1:7" ht="15.6" x14ac:dyDescent="0.3">
      <c r="A418" s="129">
        <v>40</v>
      </c>
      <c r="B418" s="129" t="s">
        <v>112</v>
      </c>
      <c r="C418" s="162" t="s">
        <v>408</v>
      </c>
      <c r="D418" s="93"/>
      <c r="E418" s="138">
        <v>120</v>
      </c>
      <c r="F418" s="138">
        <f t="shared" si="13"/>
        <v>4800</v>
      </c>
      <c r="G418" s="68"/>
    </row>
    <row r="419" spans="1:7" x14ac:dyDescent="0.3">
      <c r="A419" s="129">
        <v>30</v>
      </c>
      <c r="B419" s="129" t="s">
        <v>112</v>
      </c>
      <c r="C419" s="162" t="s">
        <v>156</v>
      </c>
      <c r="D419" s="129"/>
      <c r="E419" s="138">
        <v>76</v>
      </c>
      <c r="F419" s="138">
        <f t="shared" si="13"/>
        <v>2280</v>
      </c>
      <c r="G419" s="68"/>
    </row>
    <row r="420" spans="1:7" x14ac:dyDescent="0.3">
      <c r="A420" s="129">
        <v>60</v>
      </c>
      <c r="B420" s="129" t="s">
        <v>112</v>
      </c>
      <c r="C420" s="162" t="s">
        <v>410</v>
      </c>
      <c r="D420" s="68"/>
      <c r="E420" s="138">
        <v>40</v>
      </c>
      <c r="F420" s="138">
        <f t="shared" si="13"/>
        <v>2400</v>
      </c>
      <c r="G420" s="68"/>
    </row>
    <row r="421" spans="1:7" ht="15.6" x14ac:dyDescent="0.3">
      <c r="A421" s="129"/>
      <c r="B421" s="129"/>
      <c r="C421" s="129"/>
      <c r="D421" s="160"/>
      <c r="E421" s="138"/>
      <c r="F421" s="138">
        <f t="shared" si="13"/>
        <v>0</v>
      </c>
      <c r="G421" s="68"/>
    </row>
    <row r="422" spans="1:7" x14ac:dyDescent="0.3">
      <c r="A422" s="129"/>
      <c r="B422" s="129"/>
      <c r="C422" s="129"/>
      <c r="D422" s="68"/>
      <c r="E422" s="138"/>
      <c r="F422" s="138">
        <f t="shared" si="13"/>
        <v>0</v>
      </c>
      <c r="G422" s="68"/>
    </row>
    <row r="423" spans="1:7" x14ac:dyDescent="0.3">
      <c r="A423" s="129"/>
      <c r="B423" s="129"/>
      <c r="C423" s="129"/>
      <c r="D423" s="68"/>
      <c r="E423" s="138"/>
      <c r="F423" s="138">
        <f t="shared" si="13"/>
        <v>0</v>
      </c>
      <c r="G423" s="68"/>
    </row>
    <row r="424" spans="1:7" x14ac:dyDescent="0.3">
      <c r="A424" s="129"/>
      <c r="B424" s="129"/>
      <c r="C424" s="129"/>
      <c r="D424" s="68"/>
      <c r="E424" s="138"/>
      <c r="F424" s="138">
        <f t="shared" si="13"/>
        <v>0</v>
      </c>
      <c r="G424" s="68"/>
    </row>
    <row r="425" spans="1:7" x14ac:dyDescent="0.3">
      <c r="A425" s="129"/>
      <c r="B425" s="129"/>
      <c r="C425" s="129"/>
      <c r="D425" s="68"/>
      <c r="E425" s="138"/>
      <c r="F425" s="138">
        <f t="shared" si="13"/>
        <v>0</v>
      </c>
      <c r="G425" s="68"/>
    </row>
    <row r="426" spans="1:7" x14ac:dyDescent="0.3">
      <c r="A426" s="129"/>
      <c r="B426" s="129"/>
      <c r="C426" s="129"/>
      <c r="D426" s="68"/>
      <c r="E426" s="138"/>
      <c r="F426" s="138">
        <f t="shared" si="13"/>
        <v>0</v>
      </c>
      <c r="G426" s="68"/>
    </row>
    <row r="427" spans="1:7" x14ac:dyDescent="0.3">
      <c r="A427" s="129"/>
      <c r="B427" s="129"/>
      <c r="C427" s="140"/>
      <c r="D427" s="68"/>
      <c r="E427" s="138"/>
      <c r="F427" s="138">
        <f t="shared" si="13"/>
        <v>0</v>
      </c>
      <c r="G427" s="68"/>
    </row>
    <row r="428" spans="1:7" x14ac:dyDescent="0.3">
      <c r="A428" s="129"/>
      <c r="B428" s="129"/>
      <c r="C428" s="129"/>
      <c r="D428" s="68"/>
      <c r="E428" s="138"/>
      <c r="F428" s="138">
        <f t="shared" si="13"/>
        <v>0</v>
      </c>
      <c r="G428" s="68"/>
    </row>
    <row r="429" spans="1:7" x14ac:dyDescent="0.3">
      <c r="A429" s="141"/>
      <c r="B429" s="141"/>
      <c r="C429" s="141"/>
      <c r="D429" s="75"/>
      <c r="E429" s="142"/>
      <c r="F429" s="142">
        <f t="shared" si="13"/>
        <v>0</v>
      </c>
      <c r="G429" s="75"/>
    </row>
    <row r="430" spans="1:7" ht="15.6" x14ac:dyDescent="0.3">
      <c r="A430" s="143"/>
      <c r="B430" s="144"/>
      <c r="C430" s="145" t="s">
        <v>27</v>
      </c>
      <c r="D430" s="77"/>
      <c r="E430" s="146"/>
      <c r="F430" s="146">
        <f>SUM(F417:F428)</f>
        <v>31517.960000000003</v>
      </c>
      <c r="G430" s="147"/>
    </row>
    <row r="431" spans="1:7" ht="15.6" x14ac:dyDescent="0.3">
      <c r="A431" s="148"/>
      <c r="B431" s="91"/>
      <c r="C431" s="149" t="s">
        <v>28</v>
      </c>
      <c r="D431" s="82"/>
      <c r="E431" s="150"/>
      <c r="F431" s="150">
        <f>F430*0.16</f>
        <v>5042.8736000000008</v>
      </c>
      <c r="G431" s="151"/>
    </row>
    <row r="432" spans="1:7" ht="15.6" x14ac:dyDescent="0.3">
      <c r="A432" s="148"/>
      <c r="B432" s="91"/>
      <c r="C432" s="152" t="s">
        <v>29</v>
      </c>
      <c r="D432" s="153"/>
      <c r="E432" s="154"/>
      <c r="F432" s="154">
        <f>F430+F431</f>
        <v>36560.833600000005</v>
      </c>
      <c r="G432" s="155"/>
    </row>
    <row r="433" spans="1:7" x14ac:dyDescent="0.3">
      <c r="A433" s="203" t="s">
        <v>30</v>
      </c>
      <c r="B433" s="204"/>
      <c r="C433" s="156" t="s">
        <v>31</v>
      </c>
      <c r="D433" s="156"/>
      <c r="E433" s="204" t="s">
        <v>32</v>
      </c>
      <c r="F433" s="204"/>
      <c r="G433" s="205"/>
    </row>
    <row r="434" spans="1:7" x14ac:dyDescent="0.3">
      <c r="A434" s="206" t="s">
        <v>52</v>
      </c>
      <c r="B434" s="207"/>
      <c r="C434" s="157" t="s">
        <v>33</v>
      </c>
      <c r="D434" s="157"/>
      <c r="E434" s="207" t="s">
        <v>354</v>
      </c>
      <c r="F434" s="207"/>
      <c r="G434" s="208"/>
    </row>
    <row r="435" spans="1:7" x14ac:dyDescent="0.3">
      <c r="A435" s="91"/>
      <c r="B435" s="91"/>
      <c r="C435" s="91"/>
      <c r="D435" s="91"/>
      <c r="E435" s="91"/>
      <c r="F435" s="91"/>
      <c r="G435" s="91"/>
    </row>
    <row r="437" spans="1:7" ht="21" x14ac:dyDescent="0.4">
      <c r="A437" s="49"/>
      <c r="B437" s="209" t="s">
        <v>48</v>
      </c>
      <c r="C437" s="210"/>
      <c r="D437" s="190" t="s">
        <v>36</v>
      </c>
      <c r="E437" s="191"/>
      <c r="F437" s="191"/>
      <c r="G437" s="192"/>
    </row>
    <row r="438" spans="1:7" ht="21" x14ac:dyDescent="0.4">
      <c r="A438" s="50"/>
      <c r="B438" s="211"/>
      <c r="C438" s="212"/>
      <c r="D438" s="193" t="s">
        <v>1</v>
      </c>
      <c r="E438" s="194"/>
      <c r="F438" s="195" t="s">
        <v>404</v>
      </c>
      <c r="G438" s="177"/>
    </row>
    <row r="439" spans="1:7" ht="21" x14ac:dyDescent="0.4">
      <c r="A439" s="50"/>
      <c r="B439" s="211"/>
      <c r="C439" s="212"/>
      <c r="D439" s="217" t="s">
        <v>267</v>
      </c>
      <c r="E439" s="195"/>
      <c r="F439" s="116">
        <v>12</v>
      </c>
      <c r="G439" s="115"/>
    </row>
    <row r="440" spans="1:7" ht="21" x14ac:dyDescent="0.4">
      <c r="A440" s="51"/>
      <c r="B440" s="213"/>
      <c r="C440" s="214"/>
      <c r="D440" s="215" t="s">
        <v>38</v>
      </c>
      <c r="E440" s="216"/>
      <c r="F440" s="180" t="s">
        <v>424</v>
      </c>
      <c r="G440" s="181"/>
    </row>
    <row r="441" spans="1:7" ht="20.399999999999999" x14ac:dyDescent="0.35">
      <c r="A441" s="52" t="s">
        <v>39</v>
      </c>
      <c r="B441" s="53" t="s">
        <v>354</v>
      </c>
      <c r="C441" s="54"/>
      <c r="D441" s="54"/>
      <c r="E441" s="182" t="s">
        <v>409</v>
      </c>
      <c r="F441" s="182"/>
      <c r="G441" s="183"/>
    </row>
    <row r="442" spans="1:7" ht="20.399999999999999" x14ac:dyDescent="0.35">
      <c r="A442" s="52" t="s">
        <v>40</v>
      </c>
      <c r="B442" s="173" t="s">
        <v>405</v>
      </c>
      <c r="C442" s="174"/>
      <c r="D442" s="174"/>
      <c r="E442" s="174"/>
      <c r="F442" s="174"/>
      <c r="G442" s="175"/>
    </row>
    <row r="443" spans="1:7" ht="20.399999999999999" x14ac:dyDescent="0.35">
      <c r="A443" s="52" t="s">
        <v>41</v>
      </c>
      <c r="B443" s="173" t="s">
        <v>406</v>
      </c>
      <c r="C443" s="174"/>
      <c r="D443" s="174"/>
      <c r="E443" s="174"/>
      <c r="F443" s="174"/>
      <c r="G443" s="175"/>
    </row>
    <row r="444" spans="1:7" ht="20.399999999999999" x14ac:dyDescent="0.35">
      <c r="A444" s="52" t="s">
        <v>42</v>
      </c>
      <c r="B444" s="173" t="s">
        <v>71</v>
      </c>
      <c r="C444" s="174"/>
      <c r="D444" s="174"/>
      <c r="E444" s="174"/>
      <c r="F444" s="174"/>
      <c r="G444" s="175"/>
    </row>
    <row r="445" spans="1:7" ht="15" x14ac:dyDescent="0.3">
      <c r="A445" s="103" t="s">
        <v>8</v>
      </c>
      <c r="B445" s="103" t="s">
        <v>9</v>
      </c>
      <c r="C445" s="103" t="s">
        <v>10</v>
      </c>
      <c r="D445" s="103" t="s">
        <v>43</v>
      </c>
      <c r="E445" s="103" t="s">
        <v>12</v>
      </c>
      <c r="F445" s="103" t="s">
        <v>13</v>
      </c>
      <c r="G445" s="103" t="s">
        <v>14</v>
      </c>
    </row>
    <row r="446" spans="1:7" ht="15.6" x14ac:dyDescent="0.3">
      <c r="A446" s="158">
        <v>29</v>
      </c>
      <c r="B446" s="158" t="s">
        <v>112</v>
      </c>
      <c r="C446" s="161" t="s">
        <v>407</v>
      </c>
      <c r="D446" s="92"/>
      <c r="E446" s="159">
        <v>787.07</v>
      </c>
      <c r="F446" s="159">
        <f t="shared" ref="F446:F458" si="14">A446*E446</f>
        <v>22825.030000000002</v>
      </c>
      <c r="G446" s="62"/>
    </row>
    <row r="447" spans="1:7" ht="15.6" x14ac:dyDescent="0.3">
      <c r="A447" s="129">
        <v>40</v>
      </c>
      <c r="B447" s="129" t="s">
        <v>112</v>
      </c>
      <c r="C447" s="162" t="s">
        <v>408</v>
      </c>
      <c r="D447" s="93"/>
      <c r="E447" s="138">
        <v>120</v>
      </c>
      <c r="F447" s="138">
        <f t="shared" si="14"/>
        <v>4800</v>
      </c>
      <c r="G447" s="68"/>
    </row>
    <row r="448" spans="1:7" x14ac:dyDescent="0.3">
      <c r="A448" s="129"/>
      <c r="B448" s="129"/>
      <c r="C448" s="162"/>
      <c r="D448" s="129"/>
      <c r="E448" s="138"/>
      <c r="F448" s="138">
        <f t="shared" si="14"/>
        <v>0</v>
      </c>
      <c r="G448" s="68"/>
    </row>
    <row r="449" spans="1:7" x14ac:dyDescent="0.3">
      <c r="A449" s="129"/>
      <c r="B449" s="129"/>
      <c r="C449" s="162"/>
      <c r="D449" s="68"/>
      <c r="E449" s="138"/>
      <c r="F449" s="138">
        <f t="shared" si="14"/>
        <v>0</v>
      </c>
      <c r="G449" s="68"/>
    </row>
    <row r="450" spans="1:7" ht="15.6" x14ac:dyDescent="0.3">
      <c r="A450" s="129"/>
      <c r="B450" s="129"/>
      <c r="C450" s="129"/>
      <c r="D450" s="160"/>
      <c r="E450" s="138"/>
      <c r="F450" s="138">
        <f t="shared" si="14"/>
        <v>0</v>
      </c>
      <c r="G450" s="68"/>
    </row>
    <row r="451" spans="1:7" x14ac:dyDescent="0.3">
      <c r="A451" s="129"/>
      <c r="B451" s="129"/>
      <c r="C451" s="129"/>
      <c r="D451" s="68"/>
      <c r="E451" s="138"/>
      <c r="F451" s="138">
        <f t="shared" si="14"/>
        <v>0</v>
      </c>
      <c r="G451" s="68"/>
    </row>
    <row r="452" spans="1:7" x14ac:dyDescent="0.3">
      <c r="A452" s="129"/>
      <c r="B452" s="129"/>
      <c r="C452" s="129"/>
      <c r="D452" s="68"/>
      <c r="E452" s="138"/>
      <c r="F452" s="138">
        <f t="shared" si="14"/>
        <v>0</v>
      </c>
      <c r="G452" s="68"/>
    </row>
    <row r="453" spans="1:7" x14ac:dyDescent="0.3">
      <c r="A453" s="129"/>
      <c r="B453" s="129"/>
      <c r="C453" s="129"/>
      <c r="D453" s="68"/>
      <c r="E453" s="138"/>
      <c r="F453" s="138">
        <f t="shared" si="14"/>
        <v>0</v>
      </c>
      <c r="G453" s="68"/>
    </row>
    <row r="454" spans="1:7" x14ac:dyDescent="0.3">
      <c r="A454" s="129"/>
      <c r="B454" s="129"/>
      <c r="C454" s="129"/>
      <c r="D454" s="68"/>
      <c r="E454" s="138"/>
      <c r="F454" s="138">
        <f t="shared" si="14"/>
        <v>0</v>
      </c>
      <c r="G454" s="68"/>
    </row>
    <row r="455" spans="1:7" x14ac:dyDescent="0.3">
      <c r="A455" s="129"/>
      <c r="B455" s="129"/>
      <c r="C455" s="129"/>
      <c r="D455" s="68"/>
      <c r="E455" s="138"/>
      <c r="F455" s="138">
        <f t="shared" si="14"/>
        <v>0</v>
      </c>
      <c r="G455" s="68"/>
    </row>
    <row r="456" spans="1:7" x14ac:dyDescent="0.3">
      <c r="A456" s="129"/>
      <c r="B456" s="129"/>
      <c r="C456" s="140"/>
      <c r="D456" s="68"/>
      <c r="E456" s="138"/>
      <c r="F456" s="138">
        <f t="shared" si="14"/>
        <v>0</v>
      </c>
      <c r="G456" s="68"/>
    </row>
    <row r="457" spans="1:7" x14ac:dyDescent="0.3">
      <c r="A457" s="129"/>
      <c r="B457" s="129"/>
      <c r="C457" s="129"/>
      <c r="D457" s="68"/>
      <c r="E457" s="138"/>
      <c r="F457" s="138">
        <f t="shared" si="14"/>
        <v>0</v>
      </c>
      <c r="G457" s="68"/>
    </row>
    <row r="458" spans="1:7" x14ac:dyDescent="0.3">
      <c r="A458" s="141"/>
      <c r="B458" s="141"/>
      <c r="C458" s="141"/>
      <c r="D458" s="75"/>
      <c r="E458" s="142"/>
      <c r="F458" s="142">
        <f t="shared" si="14"/>
        <v>0</v>
      </c>
      <c r="G458" s="75"/>
    </row>
    <row r="459" spans="1:7" ht="15.6" x14ac:dyDescent="0.3">
      <c r="A459" s="143"/>
      <c r="B459" s="144"/>
      <c r="C459" s="145" t="s">
        <v>27</v>
      </c>
      <c r="D459" s="77"/>
      <c r="E459" s="146"/>
      <c r="F459" s="146">
        <f>SUM(F446:F457)</f>
        <v>27625.030000000002</v>
      </c>
      <c r="G459" s="147"/>
    </row>
    <row r="460" spans="1:7" ht="15.6" x14ac:dyDescent="0.3">
      <c r="A460" s="148"/>
      <c r="B460" s="91"/>
      <c r="C460" s="149" t="s">
        <v>28</v>
      </c>
      <c r="D460" s="82"/>
      <c r="E460" s="150"/>
      <c r="F460" s="150">
        <f>F459*0.16</f>
        <v>4420.0048000000006</v>
      </c>
      <c r="G460" s="151"/>
    </row>
    <row r="461" spans="1:7" ht="15.6" x14ac:dyDescent="0.3">
      <c r="A461" s="148"/>
      <c r="B461" s="91"/>
      <c r="C461" s="152" t="s">
        <v>29</v>
      </c>
      <c r="D461" s="153"/>
      <c r="E461" s="154"/>
      <c r="F461" s="154">
        <f>F459+F460</f>
        <v>32045.034800000001</v>
      </c>
      <c r="G461" s="155"/>
    </row>
    <row r="462" spans="1:7" x14ac:dyDescent="0.3">
      <c r="A462" s="203" t="s">
        <v>30</v>
      </c>
      <c r="B462" s="204"/>
      <c r="C462" s="156" t="s">
        <v>31</v>
      </c>
      <c r="D462" s="156"/>
      <c r="E462" s="204" t="s">
        <v>32</v>
      </c>
      <c r="F462" s="204"/>
      <c r="G462" s="205"/>
    </row>
    <row r="463" spans="1:7" x14ac:dyDescent="0.3">
      <c r="A463" s="206" t="s">
        <v>52</v>
      </c>
      <c r="B463" s="207"/>
      <c r="C463" s="157" t="s">
        <v>33</v>
      </c>
      <c r="D463" s="157"/>
      <c r="E463" s="207" t="s">
        <v>354</v>
      </c>
      <c r="F463" s="207"/>
      <c r="G463" s="208"/>
    </row>
    <row r="467" spans="1:7" ht="21" x14ac:dyDescent="0.4">
      <c r="A467" s="49"/>
      <c r="B467" s="184" t="s">
        <v>45</v>
      </c>
      <c r="C467" s="185"/>
      <c r="D467" s="190" t="s">
        <v>36</v>
      </c>
      <c r="E467" s="191"/>
      <c r="F467" s="191"/>
      <c r="G467" s="192"/>
    </row>
    <row r="468" spans="1:7" ht="21" x14ac:dyDescent="0.4">
      <c r="A468" s="50"/>
      <c r="B468" s="186"/>
      <c r="C468" s="187"/>
      <c r="D468" s="193" t="s">
        <v>1</v>
      </c>
      <c r="E468" s="194"/>
      <c r="F468" s="195" t="s">
        <v>423</v>
      </c>
      <c r="G468" s="177"/>
    </row>
    <row r="469" spans="1:7" ht="21" x14ac:dyDescent="0.4">
      <c r="A469" s="50"/>
      <c r="B469" s="186"/>
      <c r="C469" s="187"/>
      <c r="D469" s="193" t="s">
        <v>267</v>
      </c>
      <c r="E469" s="194"/>
      <c r="F469" s="176">
        <v>19</v>
      </c>
      <c r="G469" s="177"/>
    </row>
    <row r="470" spans="1:7" ht="21" x14ac:dyDescent="0.4">
      <c r="A470" s="51"/>
      <c r="B470" s="188"/>
      <c r="C470" s="189"/>
      <c r="D470" s="178" t="s">
        <v>38</v>
      </c>
      <c r="E470" s="179"/>
      <c r="F470" s="180" t="s">
        <v>425</v>
      </c>
      <c r="G470" s="181"/>
    </row>
    <row r="471" spans="1:7" ht="20.399999999999999" x14ac:dyDescent="0.35">
      <c r="A471" s="52" t="s">
        <v>39</v>
      </c>
      <c r="B471" s="53" t="s">
        <v>273</v>
      </c>
      <c r="C471" s="54"/>
      <c r="D471" s="54"/>
      <c r="E471" s="182" t="s">
        <v>324</v>
      </c>
      <c r="F471" s="182"/>
      <c r="G471" s="183"/>
    </row>
    <row r="472" spans="1:7" ht="20.399999999999999" x14ac:dyDescent="0.35">
      <c r="A472" s="52" t="s">
        <v>40</v>
      </c>
      <c r="B472" s="173"/>
      <c r="C472" s="174"/>
      <c r="D472" s="174"/>
      <c r="E472" s="174"/>
      <c r="F472" s="174"/>
      <c r="G472" s="175"/>
    </row>
    <row r="473" spans="1:7" ht="20.399999999999999" x14ac:dyDescent="0.35">
      <c r="A473" s="52" t="s">
        <v>41</v>
      </c>
      <c r="B473" s="173" t="s">
        <v>272</v>
      </c>
      <c r="C473" s="174"/>
      <c r="D473" s="174"/>
      <c r="E473" s="174"/>
      <c r="F473" s="174"/>
      <c r="G473" s="175"/>
    </row>
    <row r="474" spans="1:7" ht="20.399999999999999" x14ac:dyDescent="0.35">
      <c r="A474" s="52" t="s">
        <v>42</v>
      </c>
      <c r="B474" s="173" t="s">
        <v>280</v>
      </c>
      <c r="C474" s="174"/>
      <c r="D474" s="174"/>
      <c r="E474" s="174"/>
      <c r="F474" s="174"/>
      <c r="G474" s="175"/>
    </row>
    <row r="475" spans="1:7" ht="15" x14ac:dyDescent="0.3">
      <c r="A475" s="103" t="s">
        <v>8</v>
      </c>
      <c r="B475" s="103" t="s">
        <v>9</v>
      </c>
      <c r="C475" s="103" t="s">
        <v>10</v>
      </c>
      <c r="D475" s="103" t="s">
        <v>43</v>
      </c>
      <c r="E475" s="103" t="s">
        <v>12</v>
      </c>
      <c r="F475" s="103" t="s">
        <v>13</v>
      </c>
      <c r="G475" s="103" t="s">
        <v>14</v>
      </c>
    </row>
    <row r="476" spans="1:7" ht="15.6" x14ac:dyDescent="0.3">
      <c r="A476" s="57">
        <v>6</v>
      </c>
      <c r="B476" s="58" t="s">
        <v>281</v>
      </c>
      <c r="C476" s="58" t="s">
        <v>282</v>
      </c>
      <c r="D476" s="59"/>
      <c r="E476" s="60">
        <v>1447.03</v>
      </c>
      <c r="F476" s="61">
        <f t="shared" ref="F476:F486" si="15">A476*E476</f>
        <v>8682.18</v>
      </c>
      <c r="G476" s="62"/>
    </row>
    <row r="477" spans="1:7" ht="15.6" x14ac:dyDescent="0.3">
      <c r="A477" s="63">
        <v>25</v>
      </c>
      <c r="B477" s="64" t="s">
        <v>112</v>
      </c>
      <c r="C477" s="64" t="s">
        <v>419</v>
      </c>
      <c r="D477" s="65"/>
      <c r="E477" s="66">
        <v>25.9</v>
      </c>
      <c r="F477" s="67">
        <f t="shared" si="15"/>
        <v>647.5</v>
      </c>
      <c r="G477" s="68"/>
    </row>
    <row r="478" spans="1:7" ht="31.2" x14ac:dyDescent="0.3">
      <c r="A478" s="63">
        <v>3</v>
      </c>
      <c r="B478" s="64" t="s">
        <v>288</v>
      </c>
      <c r="C478" s="64" t="s">
        <v>285</v>
      </c>
      <c r="D478" s="65"/>
      <c r="E478" s="66">
        <v>148.58000000000001</v>
      </c>
      <c r="F478" s="67">
        <f t="shared" si="15"/>
        <v>445.74</v>
      </c>
      <c r="G478" s="68"/>
    </row>
    <row r="479" spans="1:7" ht="31.2" x14ac:dyDescent="0.3">
      <c r="A479" s="63">
        <v>2</v>
      </c>
      <c r="B479" s="64" t="s">
        <v>288</v>
      </c>
      <c r="C479" s="64" t="s">
        <v>418</v>
      </c>
      <c r="D479" s="65"/>
      <c r="E479" s="66">
        <v>176.12</v>
      </c>
      <c r="F479" s="67">
        <f t="shared" si="15"/>
        <v>352.24</v>
      </c>
      <c r="G479" s="68"/>
    </row>
    <row r="480" spans="1:7" ht="15.6" x14ac:dyDescent="0.3">
      <c r="A480" s="69">
        <v>7</v>
      </c>
      <c r="B480" s="64" t="s">
        <v>112</v>
      </c>
      <c r="C480" s="64" t="s">
        <v>417</v>
      </c>
      <c r="D480" s="65"/>
      <c r="E480" s="66">
        <v>83</v>
      </c>
      <c r="F480" s="67">
        <f t="shared" si="15"/>
        <v>581</v>
      </c>
      <c r="G480" s="68"/>
    </row>
    <row r="481" spans="1:7" ht="15.6" x14ac:dyDescent="0.3">
      <c r="A481" s="69">
        <v>15</v>
      </c>
      <c r="B481" s="64" t="s">
        <v>112</v>
      </c>
      <c r="C481" s="64" t="s">
        <v>420</v>
      </c>
      <c r="D481" s="65"/>
      <c r="E481" s="66">
        <v>8.15</v>
      </c>
      <c r="F481" s="67">
        <f t="shared" si="15"/>
        <v>122.25</v>
      </c>
      <c r="G481" s="68"/>
    </row>
    <row r="482" spans="1:7" ht="15.6" x14ac:dyDescent="0.3">
      <c r="A482" s="69">
        <v>5</v>
      </c>
      <c r="B482" s="64" t="s">
        <v>112</v>
      </c>
      <c r="C482" s="64" t="s">
        <v>421</v>
      </c>
      <c r="D482" s="65"/>
      <c r="E482" s="66">
        <v>57.91</v>
      </c>
      <c r="F482" s="67">
        <f t="shared" si="15"/>
        <v>289.54999999999995</v>
      </c>
      <c r="G482" s="68"/>
    </row>
    <row r="483" spans="1:7" ht="15.6" x14ac:dyDescent="0.3">
      <c r="A483" s="69">
        <v>10</v>
      </c>
      <c r="B483" s="64" t="s">
        <v>112</v>
      </c>
      <c r="C483" s="64" t="s">
        <v>416</v>
      </c>
      <c r="D483" s="65"/>
      <c r="E483" s="66">
        <v>13.58</v>
      </c>
      <c r="F483" s="67">
        <f t="shared" si="15"/>
        <v>135.80000000000001</v>
      </c>
      <c r="G483" s="68"/>
    </row>
    <row r="484" spans="1:7" ht="15.6" x14ac:dyDescent="0.3">
      <c r="A484" s="69">
        <v>5</v>
      </c>
      <c r="B484" s="64" t="s">
        <v>112</v>
      </c>
      <c r="C484" s="64" t="s">
        <v>415</v>
      </c>
      <c r="D484" s="65"/>
      <c r="E484" s="66">
        <v>6.98</v>
      </c>
      <c r="F484" s="67">
        <f t="shared" si="15"/>
        <v>34.900000000000006</v>
      </c>
      <c r="G484" s="68"/>
    </row>
    <row r="485" spans="1:7" ht="15.6" x14ac:dyDescent="0.3">
      <c r="A485" s="69">
        <v>5</v>
      </c>
      <c r="B485" s="64" t="s">
        <v>112</v>
      </c>
      <c r="C485" s="64" t="s">
        <v>426</v>
      </c>
      <c r="D485" s="65"/>
      <c r="E485" s="66">
        <v>184.65</v>
      </c>
      <c r="F485" s="67">
        <f t="shared" si="15"/>
        <v>923.25</v>
      </c>
      <c r="G485" s="68"/>
    </row>
    <row r="486" spans="1:7" ht="15.6" x14ac:dyDescent="0.3">
      <c r="A486" s="70">
        <v>3</v>
      </c>
      <c r="B486" s="71" t="s">
        <v>112</v>
      </c>
      <c r="C486" s="71" t="s">
        <v>422</v>
      </c>
      <c r="D486" s="72"/>
      <c r="E486" s="73">
        <v>20.95</v>
      </c>
      <c r="F486" s="74">
        <f t="shared" si="15"/>
        <v>62.849999999999994</v>
      </c>
      <c r="G486" s="75"/>
    </row>
    <row r="487" spans="1:7" ht="17.399999999999999" x14ac:dyDescent="0.3">
      <c r="A487" s="76"/>
      <c r="B487" s="77"/>
      <c r="C487" s="164" t="s">
        <v>27</v>
      </c>
      <c r="D487" s="164"/>
      <c r="E487" s="78"/>
      <c r="F487" s="79">
        <f>SUM(F476:F486)</f>
        <v>12277.259999999998</v>
      </c>
      <c r="G487" s="80"/>
    </row>
    <row r="488" spans="1:7" ht="17.399999999999999" x14ac:dyDescent="0.3">
      <c r="A488" s="81"/>
      <c r="B488" s="82"/>
      <c r="C488" s="165" t="s">
        <v>28</v>
      </c>
      <c r="D488" s="165"/>
      <c r="E488" s="83"/>
      <c r="F488" s="84">
        <f>F487*0.16</f>
        <v>1964.3615999999997</v>
      </c>
      <c r="G488" s="85"/>
    </row>
    <row r="489" spans="1:7" ht="17.399999999999999" x14ac:dyDescent="0.3">
      <c r="A489" s="81"/>
      <c r="B489" s="82"/>
      <c r="C489" s="166" t="s">
        <v>29</v>
      </c>
      <c r="D489" s="166"/>
      <c r="E489" s="86"/>
      <c r="F489" s="87">
        <f>F487+F488</f>
        <v>14241.621599999999</v>
      </c>
      <c r="G489" s="88"/>
    </row>
    <row r="490" spans="1:7" ht="15.6" x14ac:dyDescent="0.3">
      <c r="A490" s="167" t="s">
        <v>30</v>
      </c>
      <c r="B490" s="168"/>
      <c r="C490" s="89" t="s">
        <v>31</v>
      </c>
      <c r="D490" s="89"/>
      <c r="E490" s="168" t="s">
        <v>32</v>
      </c>
      <c r="F490" s="168"/>
      <c r="G490" s="169"/>
    </row>
    <row r="491" spans="1:7" ht="15.6" x14ac:dyDescent="0.3">
      <c r="A491" s="170" t="s">
        <v>52</v>
      </c>
      <c r="B491" s="171"/>
      <c r="C491" s="104" t="s">
        <v>33</v>
      </c>
      <c r="D491" s="90"/>
      <c r="E491" s="171" t="s">
        <v>273</v>
      </c>
      <c r="F491" s="171"/>
      <c r="G491" s="172"/>
    </row>
    <row r="495" spans="1:7" ht="21" x14ac:dyDescent="0.4">
      <c r="A495" s="49"/>
      <c r="B495" s="209" t="s">
        <v>48</v>
      </c>
      <c r="C495" s="210"/>
      <c r="D495" s="190" t="s">
        <v>36</v>
      </c>
      <c r="E495" s="191"/>
      <c r="F495" s="191"/>
      <c r="G495" s="192"/>
    </row>
    <row r="496" spans="1:7" ht="21" x14ac:dyDescent="0.4">
      <c r="A496" s="50"/>
      <c r="B496" s="211"/>
      <c r="C496" s="212"/>
      <c r="D496" s="193" t="s">
        <v>1</v>
      </c>
      <c r="E496" s="194"/>
      <c r="F496" s="195" t="s">
        <v>427</v>
      </c>
      <c r="G496" s="177"/>
    </row>
    <row r="497" spans="1:7" ht="21" x14ac:dyDescent="0.4">
      <c r="A497" s="50"/>
      <c r="B497" s="211"/>
      <c r="C497" s="212"/>
      <c r="D497" s="217" t="s">
        <v>267</v>
      </c>
      <c r="E497" s="195"/>
      <c r="F497" s="116">
        <v>19</v>
      </c>
      <c r="G497" s="115"/>
    </row>
    <row r="498" spans="1:7" ht="21" x14ac:dyDescent="0.4">
      <c r="A498" s="51"/>
      <c r="B498" s="213"/>
      <c r="C498" s="214"/>
      <c r="D498" s="215" t="s">
        <v>38</v>
      </c>
      <c r="E498" s="216"/>
      <c r="F498" s="180" t="s">
        <v>428</v>
      </c>
      <c r="G498" s="181"/>
    </row>
    <row r="499" spans="1:7" ht="20.399999999999999" x14ac:dyDescent="0.35">
      <c r="A499" s="52" t="s">
        <v>39</v>
      </c>
      <c r="B499" s="53" t="s">
        <v>273</v>
      </c>
      <c r="C499" s="54"/>
      <c r="D499" s="54"/>
      <c r="E499" s="182" t="s">
        <v>409</v>
      </c>
      <c r="F499" s="182"/>
      <c r="G499" s="183"/>
    </row>
    <row r="500" spans="1:7" ht="20.399999999999999" x14ac:dyDescent="0.35">
      <c r="A500" s="52" t="s">
        <v>40</v>
      </c>
      <c r="B500" s="173" t="s">
        <v>413</v>
      </c>
      <c r="C500" s="174"/>
      <c r="D500" s="174"/>
      <c r="E500" s="174"/>
      <c r="F500" s="174"/>
      <c r="G500" s="175"/>
    </row>
    <row r="501" spans="1:7" ht="20.399999999999999" x14ac:dyDescent="0.35">
      <c r="A501" s="52" t="s">
        <v>41</v>
      </c>
      <c r="B501" s="173" t="s">
        <v>400</v>
      </c>
      <c r="C501" s="174"/>
      <c r="D501" s="174"/>
      <c r="E501" s="174"/>
      <c r="F501" s="174"/>
      <c r="G501" s="175"/>
    </row>
    <row r="502" spans="1:7" ht="20.399999999999999" x14ac:dyDescent="0.35">
      <c r="A502" s="52" t="s">
        <v>42</v>
      </c>
      <c r="B502" s="173" t="s">
        <v>71</v>
      </c>
      <c r="C502" s="174"/>
      <c r="D502" s="174"/>
      <c r="E502" s="174"/>
      <c r="F502" s="174"/>
      <c r="G502" s="175"/>
    </row>
    <row r="503" spans="1:7" ht="15" x14ac:dyDescent="0.3">
      <c r="A503" s="103" t="s">
        <v>8</v>
      </c>
      <c r="B503" s="103" t="s">
        <v>9</v>
      </c>
      <c r="C503" s="103" t="s">
        <v>10</v>
      </c>
      <c r="D503" s="103" t="s">
        <v>43</v>
      </c>
      <c r="E503" s="103" t="s">
        <v>12</v>
      </c>
      <c r="F503" s="103" t="s">
        <v>13</v>
      </c>
      <c r="G503" s="103" t="s">
        <v>14</v>
      </c>
    </row>
    <row r="504" spans="1:7" ht="15.6" x14ac:dyDescent="0.3">
      <c r="A504" s="158">
        <v>29</v>
      </c>
      <c r="B504" s="158" t="s">
        <v>112</v>
      </c>
      <c r="C504" s="161" t="s">
        <v>407</v>
      </c>
      <c r="D504" s="92"/>
      <c r="E504" s="159">
        <v>787.07</v>
      </c>
      <c r="F504" s="159">
        <f t="shared" ref="F504:F516" si="16">A504*E504</f>
        <v>22825.030000000002</v>
      </c>
      <c r="G504" s="62"/>
    </row>
    <row r="505" spans="1:7" ht="15.6" x14ac:dyDescent="0.3">
      <c r="A505" s="129">
        <v>40</v>
      </c>
      <c r="B505" s="129" t="s">
        <v>112</v>
      </c>
      <c r="C505" s="162" t="s">
        <v>408</v>
      </c>
      <c r="D505" s="93"/>
      <c r="E505" s="138">
        <v>120</v>
      </c>
      <c r="F505" s="138">
        <f t="shared" si="16"/>
        <v>4800</v>
      </c>
      <c r="G505" s="68"/>
    </row>
    <row r="506" spans="1:7" x14ac:dyDescent="0.3">
      <c r="A506" s="129"/>
      <c r="B506" s="129"/>
      <c r="C506" s="162"/>
      <c r="D506" s="129"/>
      <c r="E506" s="138"/>
      <c r="F506" s="138">
        <f t="shared" si="16"/>
        <v>0</v>
      </c>
      <c r="G506" s="68"/>
    </row>
    <row r="507" spans="1:7" x14ac:dyDescent="0.3">
      <c r="A507" s="129"/>
      <c r="B507" s="129"/>
      <c r="C507" s="162"/>
      <c r="D507" s="68"/>
      <c r="E507" s="138"/>
      <c r="F507" s="138">
        <f t="shared" si="16"/>
        <v>0</v>
      </c>
      <c r="G507" s="68"/>
    </row>
    <row r="508" spans="1:7" ht="15.6" x14ac:dyDescent="0.3">
      <c r="A508" s="129"/>
      <c r="B508" s="129"/>
      <c r="C508" s="129"/>
      <c r="D508" s="160"/>
      <c r="E508" s="138"/>
      <c r="F508" s="138">
        <f t="shared" si="16"/>
        <v>0</v>
      </c>
      <c r="G508" s="68"/>
    </row>
    <row r="509" spans="1:7" x14ac:dyDescent="0.3">
      <c r="A509" s="129"/>
      <c r="B509" s="129"/>
      <c r="C509" s="129"/>
      <c r="D509" s="68"/>
      <c r="E509" s="138"/>
      <c r="F509" s="138">
        <f t="shared" si="16"/>
        <v>0</v>
      </c>
      <c r="G509" s="68"/>
    </row>
    <row r="510" spans="1:7" x14ac:dyDescent="0.3">
      <c r="A510" s="129"/>
      <c r="B510" s="129"/>
      <c r="C510" s="129"/>
      <c r="D510" s="68"/>
      <c r="E510" s="138"/>
      <c r="F510" s="138">
        <f t="shared" si="16"/>
        <v>0</v>
      </c>
      <c r="G510" s="68"/>
    </row>
    <row r="511" spans="1:7" x14ac:dyDescent="0.3">
      <c r="A511" s="129"/>
      <c r="B511" s="129"/>
      <c r="C511" s="129"/>
      <c r="D511" s="68"/>
      <c r="E511" s="138"/>
      <c r="F511" s="138">
        <f t="shared" si="16"/>
        <v>0</v>
      </c>
      <c r="G511" s="68"/>
    </row>
    <row r="512" spans="1:7" x14ac:dyDescent="0.3">
      <c r="A512" s="129"/>
      <c r="B512" s="129"/>
      <c r="C512" s="129"/>
      <c r="D512" s="68"/>
      <c r="E512" s="138"/>
      <c r="F512" s="138">
        <f t="shared" si="16"/>
        <v>0</v>
      </c>
      <c r="G512" s="68"/>
    </row>
    <row r="513" spans="1:7" x14ac:dyDescent="0.3">
      <c r="A513" s="129"/>
      <c r="B513" s="129"/>
      <c r="C513" s="129"/>
      <c r="D513" s="68"/>
      <c r="E513" s="138"/>
      <c r="F513" s="138">
        <f t="shared" si="16"/>
        <v>0</v>
      </c>
      <c r="G513" s="68"/>
    </row>
    <row r="514" spans="1:7" x14ac:dyDescent="0.3">
      <c r="A514" s="129"/>
      <c r="B514" s="129"/>
      <c r="C514" s="140"/>
      <c r="D514" s="68"/>
      <c r="E514" s="138"/>
      <c r="F514" s="138">
        <f t="shared" si="16"/>
        <v>0</v>
      </c>
      <c r="G514" s="68"/>
    </row>
    <row r="515" spans="1:7" x14ac:dyDescent="0.3">
      <c r="A515" s="129"/>
      <c r="B515" s="129"/>
      <c r="C515" s="129"/>
      <c r="D515" s="68"/>
      <c r="E515" s="138"/>
      <c r="F515" s="138">
        <f t="shared" si="16"/>
        <v>0</v>
      </c>
      <c r="G515" s="68"/>
    </row>
    <row r="516" spans="1:7" x14ac:dyDescent="0.3">
      <c r="A516" s="141"/>
      <c r="B516" s="141"/>
      <c r="C516" s="141"/>
      <c r="D516" s="75"/>
      <c r="E516" s="142"/>
      <c r="F516" s="142">
        <f t="shared" si="16"/>
        <v>0</v>
      </c>
      <c r="G516" s="75"/>
    </row>
    <row r="517" spans="1:7" ht="15.6" x14ac:dyDescent="0.3">
      <c r="A517" s="143"/>
      <c r="B517" s="144"/>
      <c r="C517" s="145" t="s">
        <v>27</v>
      </c>
      <c r="D517" s="77"/>
      <c r="E517" s="146"/>
      <c r="F517" s="146">
        <f>SUM(F504:F515)</f>
        <v>27625.030000000002</v>
      </c>
      <c r="G517" s="147"/>
    </row>
    <row r="518" spans="1:7" ht="15.6" x14ac:dyDescent="0.3">
      <c r="A518" s="148"/>
      <c r="B518" s="91"/>
      <c r="C518" s="149" t="s">
        <v>28</v>
      </c>
      <c r="D518" s="82"/>
      <c r="E518" s="150"/>
      <c r="F518" s="150">
        <f>F517*0.16</f>
        <v>4420.0048000000006</v>
      </c>
      <c r="G518" s="151"/>
    </row>
    <row r="519" spans="1:7" ht="15.6" x14ac:dyDescent="0.3">
      <c r="A519" s="148"/>
      <c r="B519" s="91"/>
      <c r="C519" s="152" t="s">
        <v>29</v>
      </c>
      <c r="D519" s="153"/>
      <c r="E519" s="154"/>
      <c r="F519" s="154">
        <f>F517+F518</f>
        <v>32045.034800000001</v>
      </c>
      <c r="G519" s="155"/>
    </row>
    <row r="520" spans="1:7" x14ac:dyDescent="0.3">
      <c r="A520" s="203" t="s">
        <v>30</v>
      </c>
      <c r="B520" s="204"/>
      <c r="C520" s="156" t="s">
        <v>31</v>
      </c>
      <c r="D520" s="156"/>
      <c r="E520" s="204" t="s">
        <v>32</v>
      </c>
      <c r="F520" s="204"/>
      <c r="G520" s="205"/>
    </row>
    <row r="521" spans="1:7" x14ac:dyDescent="0.3">
      <c r="A521" s="206" t="s">
        <v>52</v>
      </c>
      <c r="B521" s="207"/>
      <c r="C521" s="157" t="s">
        <v>33</v>
      </c>
      <c r="D521" s="157"/>
      <c r="E521" s="207" t="s">
        <v>354</v>
      </c>
      <c r="F521" s="207"/>
      <c r="G521" s="208"/>
    </row>
    <row r="522" spans="1:7" x14ac:dyDescent="0.3">
      <c r="A522" s="91"/>
      <c r="B522" s="91"/>
      <c r="C522" s="91"/>
      <c r="D522" s="91"/>
      <c r="E522" s="91"/>
      <c r="F522" s="91"/>
      <c r="G522" s="91"/>
    </row>
    <row r="524" spans="1:7" ht="24.6" x14ac:dyDescent="0.3">
      <c r="A524" s="184" t="s">
        <v>48</v>
      </c>
      <c r="B524" s="197"/>
      <c r="C524" s="185"/>
      <c r="D524" s="200" t="s">
        <v>36</v>
      </c>
      <c r="E524" s="201"/>
      <c r="F524" s="201"/>
      <c r="G524" s="202"/>
    </row>
    <row r="525" spans="1:7" ht="21" x14ac:dyDescent="0.4">
      <c r="A525" s="186"/>
      <c r="B525" s="198"/>
      <c r="C525" s="187"/>
      <c r="D525" s="118" t="s">
        <v>1</v>
      </c>
      <c r="E525" s="196" t="s">
        <v>435</v>
      </c>
      <c r="F525" s="195"/>
      <c r="G525" s="115"/>
    </row>
    <row r="526" spans="1:7" ht="21" x14ac:dyDescent="0.4">
      <c r="A526" s="186"/>
      <c r="B526" s="198"/>
      <c r="C526" s="187"/>
      <c r="D526" s="118" t="s">
        <v>334</v>
      </c>
      <c r="E526" s="176">
        <v>19</v>
      </c>
      <c r="F526" s="195"/>
      <c r="G526" s="115"/>
    </row>
    <row r="527" spans="1:7" ht="30" x14ac:dyDescent="0.3">
      <c r="A527" s="188"/>
      <c r="B527" s="199"/>
      <c r="C527" s="189"/>
      <c r="D527" s="119" t="s">
        <v>38</v>
      </c>
      <c r="E527" s="180" t="s">
        <v>434</v>
      </c>
      <c r="F527" s="181"/>
      <c r="G527" s="117"/>
    </row>
    <row r="528" spans="1:7" ht="20.399999999999999" x14ac:dyDescent="0.35">
      <c r="A528" s="52" t="s">
        <v>39</v>
      </c>
      <c r="B528" s="53" t="s">
        <v>279</v>
      </c>
      <c r="C528" s="54"/>
      <c r="D528" s="54"/>
      <c r="E528" s="120" t="s">
        <v>447</v>
      </c>
      <c r="F528" s="121"/>
      <c r="G528" s="122"/>
    </row>
    <row r="529" spans="1:7" ht="20.399999999999999" x14ac:dyDescent="0.35">
      <c r="A529" s="52" t="s">
        <v>40</v>
      </c>
      <c r="B529" s="111" t="s">
        <v>439</v>
      </c>
      <c r="C529" s="112"/>
      <c r="D529" s="112"/>
      <c r="E529" s="123"/>
      <c r="F529" s="124"/>
      <c r="G529" s="125"/>
    </row>
    <row r="530" spans="1:7" ht="20.399999999999999" x14ac:dyDescent="0.35">
      <c r="A530" s="52" t="s">
        <v>41</v>
      </c>
      <c r="B530" s="111" t="s">
        <v>348</v>
      </c>
      <c r="C530" s="112"/>
      <c r="D530" s="112"/>
      <c r="E530" s="126"/>
      <c r="F530" s="127"/>
      <c r="G530" s="128"/>
    </row>
    <row r="531" spans="1:7" ht="20.399999999999999" x14ac:dyDescent="0.35">
      <c r="A531" s="52" t="s">
        <v>42</v>
      </c>
      <c r="B531" s="111" t="s">
        <v>7</v>
      </c>
      <c r="C531" s="112"/>
      <c r="D531" s="112"/>
      <c r="E531" s="112"/>
      <c r="F531" s="112"/>
      <c r="G531" s="113"/>
    </row>
    <row r="532" spans="1:7" ht="15" x14ac:dyDescent="0.3">
      <c r="A532" s="103" t="s">
        <v>8</v>
      </c>
      <c r="B532" s="103" t="s">
        <v>9</v>
      </c>
      <c r="C532" s="103" t="s">
        <v>10</v>
      </c>
      <c r="D532" s="103" t="s">
        <v>43</v>
      </c>
      <c r="E532" s="103" t="s">
        <v>12</v>
      </c>
      <c r="F532" s="103" t="s">
        <v>13</v>
      </c>
      <c r="G532" s="103" t="s">
        <v>14</v>
      </c>
    </row>
    <row r="533" spans="1:7" ht="15.6" x14ac:dyDescent="0.3">
      <c r="A533" s="57">
        <v>10</v>
      </c>
      <c r="B533" s="58" t="s">
        <v>112</v>
      </c>
      <c r="C533" s="58" t="s">
        <v>438</v>
      </c>
      <c r="D533" s="95">
        <v>126860</v>
      </c>
      <c r="E533" s="60">
        <v>53.11</v>
      </c>
      <c r="F533" s="60">
        <f t="shared" ref="F533:F547" si="17">A533*E533</f>
        <v>531.1</v>
      </c>
      <c r="G533" s="129"/>
    </row>
    <row r="534" spans="1:7" ht="15.6" x14ac:dyDescent="0.3">
      <c r="A534" s="63">
        <v>10</v>
      </c>
      <c r="B534" s="64" t="s">
        <v>112</v>
      </c>
      <c r="C534" s="64" t="s">
        <v>436</v>
      </c>
      <c r="D534" s="96">
        <v>165175</v>
      </c>
      <c r="E534" s="66">
        <v>36.85</v>
      </c>
      <c r="F534" s="66">
        <f t="shared" si="17"/>
        <v>368.5</v>
      </c>
      <c r="G534" s="129"/>
    </row>
    <row r="535" spans="1:7" ht="15.6" x14ac:dyDescent="0.3">
      <c r="A535" s="63">
        <v>4</v>
      </c>
      <c r="B535" s="64" t="s">
        <v>281</v>
      </c>
      <c r="C535" s="64" t="s">
        <v>437</v>
      </c>
      <c r="D535" s="96">
        <v>170451</v>
      </c>
      <c r="E535" s="66">
        <v>482.65</v>
      </c>
      <c r="F535" s="66">
        <f t="shared" si="17"/>
        <v>1930.6</v>
      </c>
      <c r="G535" s="129"/>
    </row>
    <row r="536" spans="1:7" ht="15.6" x14ac:dyDescent="0.3">
      <c r="A536" s="63"/>
      <c r="B536" s="130"/>
      <c r="C536" s="130"/>
      <c r="D536" s="96"/>
      <c r="E536" s="66"/>
      <c r="F536" s="66">
        <f t="shared" si="17"/>
        <v>0</v>
      </c>
      <c r="G536" s="68"/>
    </row>
    <row r="537" spans="1:7" ht="15.6" x14ac:dyDescent="0.3">
      <c r="A537" s="63"/>
      <c r="B537" s="130"/>
      <c r="C537" s="130"/>
      <c r="D537" s="96"/>
      <c r="E537" s="66"/>
      <c r="F537" s="66">
        <f t="shared" si="17"/>
        <v>0</v>
      </c>
      <c r="G537" s="68"/>
    </row>
    <row r="538" spans="1:7" ht="15.6" x14ac:dyDescent="0.3">
      <c r="A538" s="63"/>
      <c r="B538" s="130"/>
      <c r="C538" s="130"/>
      <c r="D538" s="96"/>
      <c r="E538" s="66"/>
      <c r="F538" s="66">
        <f t="shared" si="17"/>
        <v>0</v>
      </c>
      <c r="G538" s="68"/>
    </row>
    <row r="539" spans="1:7" ht="15.6" x14ac:dyDescent="0.3">
      <c r="A539" s="63"/>
      <c r="B539" s="130"/>
      <c r="C539" s="130"/>
      <c r="D539" s="96"/>
      <c r="E539" s="66"/>
      <c r="F539" s="66">
        <f t="shared" si="17"/>
        <v>0</v>
      </c>
      <c r="G539" s="68"/>
    </row>
    <row r="540" spans="1:7" ht="15.6" x14ac:dyDescent="0.3">
      <c r="A540" s="69"/>
      <c r="B540" s="130"/>
      <c r="C540" s="130"/>
      <c r="D540" s="96"/>
      <c r="E540" s="66"/>
      <c r="F540" s="66">
        <f t="shared" si="17"/>
        <v>0</v>
      </c>
      <c r="G540" s="68"/>
    </row>
    <row r="541" spans="1:7" ht="15.6" x14ac:dyDescent="0.3">
      <c r="A541" s="69"/>
      <c r="B541" s="130"/>
      <c r="C541" s="130"/>
      <c r="D541" s="96"/>
      <c r="E541" s="66"/>
      <c r="F541" s="66">
        <f t="shared" si="17"/>
        <v>0</v>
      </c>
      <c r="G541" s="68"/>
    </row>
    <row r="542" spans="1:7" ht="15.6" x14ac:dyDescent="0.3">
      <c r="A542" s="69"/>
      <c r="B542" s="64"/>
      <c r="C542" s="130"/>
      <c r="D542" s="96"/>
      <c r="E542" s="66"/>
      <c r="F542" s="66">
        <f t="shared" si="17"/>
        <v>0</v>
      </c>
      <c r="G542" s="68"/>
    </row>
    <row r="543" spans="1:7" ht="15.6" x14ac:dyDescent="0.3">
      <c r="A543" s="69"/>
      <c r="B543" s="64"/>
      <c r="C543" s="130"/>
      <c r="D543" s="96"/>
      <c r="E543" s="66"/>
      <c r="F543" s="66">
        <f t="shared" si="17"/>
        <v>0</v>
      </c>
      <c r="G543" s="68"/>
    </row>
    <row r="544" spans="1:7" ht="15.6" x14ac:dyDescent="0.3">
      <c r="A544" s="69"/>
      <c r="B544" s="64"/>
      <c r="C544" s="64"/>
      <c r="D544" s="65"/>
      <c r="E544" s="66"/>
      <c r="F544" s="66">
        <f t="shared" si="17"/>
        <v>0</v>
      </c>
      <c r="G544" s="68"/>
    </row>
    <row r="545" spans="1:7" ht="15.6" x14ac:dyDescent="0.3">
      <c r="A545" s="69"/>
      <c r="B545" s="64"/>
      <c r="C545" s="64"/>
      <c r="D545" s="65"/>
      <c r="E545" s="66"/>
      <c r="F545" s="66">
        <f t="shared" si="17"/>
        <v>0</v>
      </c>
      <c r="G545" s="68"/>
    </row>
    <row r="546" spans="1:7" ht="15.6" x14ac:dyDescent="0.3">
      <c r="A546" s="69"/>
      <c r="B546" s="64"/>
      <c r="C546" s="64"/>
      <c r="D546" s="65"/>
      <c r="E546" s="66"/>
      <c r="F546" s="66">
        <f t="shared" si="17"/>
        <v>0</v>
      </c>
      <c r="G546" s="68"/>
    </row>
    <row r="547" spans="1:7" ht="15.6" x14ac:dyDescent="0.3">
      <c r="A547" s="70"/>
      <c r="B547" s="71"/>
      <c r="C547" s="71"/>
      <c r="D547" s="72"/>
      <c r="E547" s="73"/>
      <c r="F547" s="73">
        <f t="shared" si="17"/>
        <v>0</v>
      </c>
      <c r="G547" s="75"/>
    </row>
    <row r="548" spans="1:7" ht="17.399999999999999" x14ac:dyDescent="0.3">
      <c r="A548" s="76"/>
      <c r="B548" s="77"/>
      <c r="C548" s="114" t="s">
        <v>27</v>
      </c>
      <c r="D548" s="114"/>
      <c r="E548" s="78"/>
      <c r="F548" s="131">
        <f>SUM(F533:F546)</f>
        <v>2830.2</v>
      </c>
      <c r="G548" s="80"/>
    </row>
    <row r="549" spans="1:7" ht="17.399999999999999" x14ac:dyDescent="0.3">
      <c r="A549" s="81"/>
      <c r="B549" s="82"/>
      <c r="C549" s="106" t="s">
        <v>28</v>
      </c>
      <c r="D549" s="106"/>
      <c r="E549" s="83"/>
      <c r="F549" s="132">
        <f>F548*0.16</f>
        <v>452.83199999999999</v>
      </c>
      <c r="G549" s="85"/>
    </row>
    <row r="550" spans="1:7" ht="17.399999999999999" x14ac:dyDescent="0.3">
      <c r="A550" s="81"/>
      <c r="B550" s="82"/>
      <c r="C550" s="107" t="s">
        <v>29</v>
      </c>
      <c r="D550" s="107"/>
      <c r="E550" s="86"/>
      <c r="F550" s="133">
        <f>F548+F549</f>
        <v>3283.0319999999997</v>
      </c>
      <c r="G550" s="88"/>
    </row>
    <row r="551" spans="1:7" ht="15.6" x14ac:dyDescent="0.3">
      <c r="A551" s="108" t="s">
        <v>30</v>
      </c>
      <c r="B551" s="89"/>
      <c r="C551" s="89" t="s">
        <v>31</v>
      </c>
      <c r="D551" s="89"/>
      <c r="E551" s="89" t="s">
        <v>32</v>
      </c>
      <c r="F551" s="89"/>
      <c r="G551" s="109"/>
    </row>
    <row r="552" spans="1:7" ht="15.6" x14ac:dyDescent="0.3">
      <c r="A552" s="134" t="s">
        <v>44</v>
      </c>
      <c r="B552" s="90"/>
      <c r="C552" s="90" t="s">
        <v>33</v>
      </c>
      <c r="D552" s="90"/>
      <c r="E552" s="90" t="s">
        <v>273</v>
      </c>
      <c r="F552" s="90"/>
      <c r="G552" s="110"/>
    </row>
  </sheetData>
  <mergeCells count="254">
    <mergeCell ref="F496:G496"/>
    <mergeCell ref="D497:E497"/>
    <mergeCell ref="D498:E498"/>
    <mergeCell ref="F498:G498"/>
    <mergeCell ref="E499:G499"/>
    <mergeCell ref="B500:G500"/>
    <mergeCell ref="E441:G441"/>
    <mergeCell ref="B442:G442"/>
    <mergeCell ref="B443:G443"/>
    <mergeCell ref="B444:G444"/>
    <mergeCell ref="A462:B462"/>
    <mergeCell ref="E462:G462"/>
    <mergeCell ref="A463:B463"/>
    <mergeCell ref="E463:G463"/>
    <mergeCell ref="B467:C470"/>
    <mergeCell ref="D467:G467"/>
    <mergeCell ref="D468:E468"/>
    <mergeCell ref="F468:G468"/>
    <mergeCell ref="D469:E469"/>
    <mergeCell ref="F469:G469"/>
    <mergeCell ref="D470:E470"/>
    <mergeCell ref="F470:G470"/>
    <mergeCell ref="E471:G471"/>
    <mergeCell ref="B414:G414"/>
    <mergeCell ref="B415:G415"/>
    <mergeCell ref="A433:B433"/>
    <mergeCell ref="E433:G433"/>
    <mergeCell ref="A434:B434"/>
    <mergeCell ref="E434:G434"/>
    <mergeCell ref="B437:C440"/>
    <mergeCell ref="D437:G437"/>
    <mergeCell ref="D438:E438"/>
    <mergeCell ref="F438:G438"/>
    <mergeCell ref="D439:E439"/>
    <mergeCell ref="D440:E440"/>
    <mergeCell ref="F440:G440"/>
    <mergeCell ref="B408:C411"/>
    <mergeCell ref="D408:G408"/>
    <mergeCell ref="D409:E409"/>
    <mergeCell ref="F409:G409"/>
    <mergeCell ref="D410:E410"/>
    <mergeCell ref="D411:E411"/>
    <mergeCell ref="F411:G411"/>
    <mergeCell ref="E412:G412"/>
    <mergeCell ref="B413:G413"/>
    <mergeCell ref="E343:G343"/>
    <mergeCell ref="B344:G344"/>
    <mergeCell ref="B345:G345"/>
    <mergeCell ref="B346:G346"/>
    <mergeCell ref="A371:B371"/>
    <mergeCell ref="E371:G371"/>
    <mergeCell ref="A372:B372"/>
    <mergeCell ref="E372:G372"/>
    <mergeCell ref="A376:C379"/>
    <mergeCell ref="D376:G376"/>
    <mergeCell ref="E377:F377"/>
    <mergeCell ref="E378:F378"/>
    <mergeCell ref="E379:F379"/>
    <mergeCell ref="A307:C310"/>
    <mergeCell ref="D307:G307"/>
    <mergeCell ref="E308:F308"/>
    <mergeCell ref="E309:F309"/>
    <mergeCell ref="E310:F310"/>
    <mergeCell ref="B313:G313"/>
    <mergeCell ref="B339:C342"/>
    <mergeCell ref="D339:G339"/>
    <mergeCell ref="D340:E340"/>
    <mergeCell ref="F340:G340"/>
    <mergeCell ref="D342:E342"/>
    <mergeCell ref="F342:G342"/>
    <mergeCell ref="A243:C246"/>
    <mergeCell ref="D243:G243"/>
    <mergeCell ref="E244:F244"/>
    <mergeCell ref="E245:F245"/>
    <mergeCell ref="E246:F246"/>
    <mergeCell ref="A275:C278"/>
    <mergeCell ref="D275:G275"/>
    <mergeCell ref="E276:F276"/>
    <mergeCell ref="E277:F277"/>
    <mergeCell ref="E278:F278"/>
    <mergeCell ref="B224:G224"/>
    <mergeCell ref="C236:D236"/>
    <mergeCell ref="C237:D237"/>
    <mergeCell ref="C238:D238"/>
    <mergeCell ref="A239:B239"/>
    <mergeCell ref="E239:G239"/>
    <mergeCell ref="A240:B240"/>
    <mergeCell ref="E240:G240"/>
    <mergeCell ref="B217:C220"/>
    <mergeCell ref="D217:G217"/>
    <mergeCell ref="D218:E218"/>
    <mergeCell ref="F218:G218"/>
    <mergeCell ref="D219:E219"/>
    <mergeCell ref="F219:G219"/>
    <mergeCell ref="D220:E220"/>
    <mergeCell ref="F220:G220"/>
    <mergeCell ref="E221:G221"/>
    <mergeCell ref="B196:G196"/>
    <mergeCell ref="B197:G197"/>
    <mergeCell ref="B198:G198"/>
    <mergeCell ref="C210:D210"/>
    <mergeCell ref="C211:D211"/>
    <mergeCell ref="C212:D212"/>
    <mergeCell ref="A213:B213"/>
    <mergeCell ref="E213:G213"/>
    <mergeCell ref="A214:B214"/>
    <mergeCell ref="E214:G214"/>
    <mergeCell ref="B191:C194"/>
    <mergeCell ref="D191:G191"/>
    <mergeCell ref="D192:E192"/>
    <mergeCell ref="F192:G192"/>
    <mergeCell ref="D193:E193"/>
    <mergeCell ref="F193:G193"/>
    <mergeCell ref="D194:E194"/>
    <mergeCell ref="F194:G194"/>
    <mergeCell ref="E195:G195"/>
    <mergeCell ref="C183:D183"/>
    <mergeCell ref="C184:D184"/>
    <mergeCell ref="A185:B185"/>
    <mergeCell ref="E185:G185"/>
    <mergeCell ref="A186:B186"/>
    <mergeCell ref="E186:G186"/>
    <mergeCell ref="E167:G167"/>
    <mergeCell ref="B168:G168"/>
    <mergeCell ref="B169:G169"/>
    <mergeCell ref="B170:G170"/>
    <mergeCell ref="C182:D182"/>
    <mergeCell ref="B163:C166"/>
    <mergeCell ref="D163:G163"/>
    <mergeCell ref="D164:E164"/>
    <mergeCell ref="F164:G164"/>
    <mergeCell ref="D165:E165"/>
    <mergeCell ref="F165:G165"/>
    <mergeCell ref="D166:E166"/>
    <mergeCell ref="F166:G166"/>
    <mergeCell ref="C156:D156"/>
    <mergeCell ref="C157:D157"/>
    <mergeCell ref="A158:B158"/>
    <mergeCell ref="E158:G158"/>
    <mergeCell ref="A159:B159"/>
    <mergeCell ref="E159:G159"/>
    <mergeCell ref="E140:G140"/>
    <mergeCell ref="B141:G141"/>
    <mergeCell ref="B142:G142"/>
    <mergeCell ref="B143:G143"/>
    <mergeCell ref="C155:D155"/>
    <mergeCell ref="B136:C139"/>
    <mergeCell ref="D136:G136"/>
    <mergeCell ref="D137:E137"/>
    <mergeCell ref="F137:G137"/>
    <mergeCell ref="D138:E138"/>
    <mergeCell ref="F138:G138"/>
    <mergeCell ref="D139:E139"/>
    <mergeCell ref="F139:G139"/>
    <mergeCell ref="B63:G63"/>
    <mergeCell ref="B64:G64"/>
    <mergeCell ref="B65:G65"/>
    <mergeCell ref="C101:D101"/>
    <mergeCell ref="C129:D129"/>
    <mergeCell ref="C130:D130"/>
    <mergeCell ref="A131:B131"/>
    <mergeCell ref="E131:G131"/>
    <mergeCell ref="A132:B132"/>
    <mergeCell ref="E132:G132"/>
    <mergeCell ref="E113:G113"/>
    <mergeCell ref="B114:G114"/>
    <mergeCell ref="B115:G115"/>
    <mergeCell ref="B116:G116"/>
    <mergeCell ref="C128:D128"/>
    <mergeCell ref="B109:C112"/>
    <mergeCell ref="D109:G109"/>
    <mergeCell ref="D110:E110"/>
    <mergeCell ref="F110:G110"/>
    <mergeCell ref="D111:E111"/>
    <mergeCell ref="F111:G111"/>
    <mergeCell ref="D112:E112"/>
    <mergeCell ref="F112:G112"/>
    <mergeCell ref="C102:D102"/>
    <mergeCell ref="C103:D103"/>
    <mergeCell ref="A104:B104"/>
    <mergeCell ref="E104:G104"/>
    <mergeCell ref="A105:B105"/>
    <mergeCell ref="E105:G105"/>
    <mergeCell ref="C23:D23"/>
    <mergeCell ref="B3:C6"/>
    <mergeCell ref="D3:G3"/>
    <mergeCell ref="D4:E4"/>
    <mergeCell ref="F4:G4"/>
    <mergeCell ref="D5:E5"/>
    <mergeCell ref="F5:G5"/>
    <mergeCell ref="D6:E6"/>
    <mergeCell ref="F6:G6"/>
    <mergeCell ref="E7:G7"/>
    <mergeCell ref="B8:G8"/>
    <mergeCell ref="B9:G9"/>
    <mergeCell ref="B10:G10"/>
    <mergeCell ref="C22:D22"/>
    <mergeCell ref="B37:G37"/>
    <mergeCell ref="C24:D24"/>
    <mergeCell ref="A25:B25"/>
    <mergeCell ref="E25:G25"/>
    <mergeCell ref="A26:B26"/>
    <mergeCell ref="E26:G26"/>
    <mergeCell ref="B31:C34"/>
    <mergeCell ref="D31:G31"/>
    <mergeCell ref="D32:E32"/>
    <mergeCell ref="F32:G32"/>
    <mergeCell ref="D33:E33"/>
    <mergeCell ref="F33:G33"/>
    <mergeCell ref="D34:E34"/>
    <mergeCell ref="F34:G34"/>
    <mergeCell ref="E35:G35"/>
    <mergeCell ref="B36:G36"/>
    <mergeCell ref="A54:B54"/>
    <mergeCell ref="E54:G54"/>
    <mergeCell ref="B38:G38"/>
    <mergeCell ref="C50:D50"/>
    <mergeCell ref="C51:D51"/>
    <mergeCell ref="C52:D52"/>
    <mergeCell ref="A53:B53"/>
    <mergeCell ref="E53:G53"/>
    <mergeCell ref="E62:G62"/>
    <mergeCell ref="B58:C61"/>
    <mergeCell ref="D58:G58"/>
    <mergeCell ref="D59:E59"/>
    <mergeCell ref="F59:G59"/>
    <mergeCell ref="D60:E60"/>
    <mergeCell ref="F60:G60"/>
    <mergeCell ref="D61:E61"/>
    <mergeCell ref="F61:G61"/>
    <mergeCell ref="A524:C527"/>
    <mergeCell ref="D524:G524"/>
    <mergeCell ref="E525:F525"/>
    <mergeCell ref="E526:F526"/>
    <mergeCell ref="E527:F527"/>
    <mergeCell ref="B472:G472"/>
    <mergeCell ref="B473:G473"/>
    <mergeCell ref="B474:G474"/>
    <mergeCell ref="C487:D487"/>
    <mergeCell ref="C488:D488"/>
    <mergeCell ref="C489:D489"/>
    <mergeCell ref="A490:B490"/>
    <mergeCell ref="E490:G490"/>
    <mergeCell ref="A491:B491"/>
    <mergeCell ref="E491:G491"/>
    <mergeCell ref="B501:G501"/>
    <mergeCell ref="B502:G502"/>
    <mergeCell ref="A520:B520"/>
    <mergeCell ref="E520:G520"/>
    <mergeCell ref="A521:B521"/>
    <mergeCell ref="E521:G521"/>
    <mergeCell ref="B495:C498"/>
    <mergeCell ref="D495:G495"/>
    <mergeCell ref="D496:E496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5 A53 A104 A131 A158 A185 A213 A239 A270 A302 A334 A352:A353 A371 A403 A433 A421:A422 A462 A450:A451 A490 A520 A508:A509 A551" xr:uid="{084DE1F2-7321-4161-81EF-98FAC3C3C03B}">
      <formula1>0</formula1>
      <formula2>256</formula2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531F-99F6-4B4D-8AAE-60EA1E557C91}">
  <dimension ref="A2:G51"/>
  <sheetViews>
    <sheetView topLeftCell="A28" workbookViewId="0">
      <selection activeCell="D28" sqref="A28:G52"/>
    </sheetView>
  </sheetViews>
  <sheetFormatPr baseColWidth="10" defaultRowHeight="14.4" x14ac:dyDescent="0.3"/>
  <cols>
    <col min="1" max="1" width="21" customWidth="1"/>
    <col min="2" max="2" width="16.109375" customWidth="1"/>
    <col min="3" max="3" width="31.21875" customWidth="1"/>
    <col min="4" max="4" width="25.33203125" customWidth="1"/>
    <col min="5" max="5" width="16.33203125" customWidth="1"/>
    <col min="6" max="6" width="20.33203125" customWidth="1"/>
    <col min="7" max="7" width="23.5546875" customWidth="1"/>
  </cols>
  <sheetData>
    <row r="2" spans="1:7" ht="21" x14ac:dyDescent="0.4">
      <c r="A2" s="49"/>
      <c r="B2" s="184" t="s">
        <v>45</v>
      </c>
      <c r="C2" s="185"/>
      <c r="D2" s="190" t="s">
        <v>36</v>
      </c>
      <c r="E2" s="191"/>
      <c r="F2" s="191"/>
      <c r="G2" s="192"/>
    </row>
    <row r="3" spans="1:7" ht="21" x14ac:dyDescent="0.4">
      <c r="A3" s="50"/>
      <c r="B3" s="186"/>
      <c r="C3" s="187"/>
      <c r="D3" s="193" t="s">
        <v>1</v>
      </c>
      <c r="E3" s="194"/>
      <c r="F3" s="195" t="s">
        <v>268</v>
      </c>
      <c r="G3" s="177"/>
    </row>
    <row r="4" spans="1:7" ht="21" x14ac:dyDescent="0.4">
      <c r="A4" s="50"/>
      <c r="B4" s="186"/>
      <c r="C4" s="187"/>
      <c r="D4" s="193" t="s">
        <v>267</v>
      </c>
      <c r="E4" s="194"/>
      <c r="F4" s="176" t="s">
        <v>266</v>
      </c>
      <c r="G4" s="177"/>
    </row>
    <row r="5" spans="1:7" ht="21" x14ac:dyDescent="0.4">
      <c r="A5" s="51"/>
      <c r="B5" s="188"/>
      <c r="C5" s="189"/>
      <c r="D5" s="178" t="s">
        <v>38</v>
      </c>
      <c r="E5" s="179"/>
      <c r="F5" s="180" t="s">
        <v>265</v>
      </c>
      <c r="G5" s="181"/>
    </row>
    <row r="6" spans="1:7" ht="20.399999999999999" x14ac:dyDescent="0.35">
      <c r="A6" s="52" t="s">
        <v>39</v>
      </c>
      <c r="B6" s="53" t="s">
        <v>49</v>
      </c>
      <c r="C6" s="54"/>
      <c r="D6" s="54"/>
      <c r="E6" s="182"/>
      <c r="F6" s="182"/>
      <c r="G6" s="183"/>
    </row>
    <row r="7" spans="1:7" ht="20.399999999999999" x14ac:dyDescent="0.35">
      <c r="A7" s="52" t="s">
        <v>40</v>
      </c>
      <c r="B7" s="173" t="s">
        <v>264</v>
      </c>
      <c r="C7" s="174"/>
      <c r="D7" s="174"/>
      <c r="E7" s="174"/>
      <c r="F7" s="174"/>
      <c r="G7" s="175"/>
    </row>
    <row r="8" spans="1:7" ht="20.399999999999999" x14ac:dyDescent="0.35">
      <c r="A8" s="52" t="s">
        <v>41</v>
      </c>
      <c r="B8" s="173" t="s">
        <v>263</v>
      </c>
      <c r="C8" s="174"/>
      <c r="D8" s="174"/>
      <c r="E8" s="174"/>
      <c r="F8" s="174"/>
      <c r="G8" s="175"/>
    </row>
    <row r="9" spans="1:7" ht="20.399999999999999" x14ac:dyDescent="0.35">
      <c r="A9" s="52" t="s">
        <v>42</v>
      </c>
      <c r="B9" s="173" t="s">
        <v>71</v>
      </c>
      <c r="C9" s="174"/>
      <c r="D9" s="174"/>
      <c r="E9" s="174"/>
      <c r="F9" s="174"/>
      <c r="G9" s="175"/>
    </row>
    <row r="10" spans="1:7" ht="30" x14ac:dyDescent="0.3">
      <c r="A10" s="103" t="s">
        <v>8</v>
      </c>
      <c r="B10" s="103" t="s">
        <v>9</v>
      </c>
      <c r="C10" s="103" t="s">
        <v>10</v>
      </c>
      <c r="D10" s="103" t="s">
        <v>43</v>
      </c>
      <c r="E10" s="103" t="s">
        <v>12</v>
      </c>
      <c r="F10" s="103" t="s">
        <v>13</v>
      </c>
      <c r="G10" s="103" t="s">
        <v>14</v>
      </c>
    </row>
    <row r="11" spans="1:7" ht="31.2" x14ac:dyDescent="0.3">
      <c r="A11" s="57">
        <v>12</v>
      </c>
      <c r="B11" s="58" t="s">
        <v>259</v>
      </c>
      <c r="C11" s="58" t="s">
        <v>260</v>
      </c>
      <c r="D11" s="59"/>
      <c r="E11" s="60">
        <v>787.07</v>
      </c>
      <c r="F11" s="61">
        <f t="shared" ref="F11:F20" si="0">A11*E11</f>
        <v>9444.84</v>
      </c>
      <c r="G11" s="62"/>
    </row>
    <row r="12" spans="1:7" ht="31.2" x14ac:dyDescent="0.3">
      <c r="A12" s="63">
        <v>20</v>
      </c>
      <c r="B12" s="64" t="s">
        <v>259</v>
      </c>
      <c r="C12" s="64" t="s">
        <v>261</v>
      </c>
      <c r="D12" s="65"/>
      <c r="E12" s="66">
        <v>120</v>
      </c>
      <c r="F12" s="67">
        <f t="shared" si="0"/>
        <v>2400</v>
      </c>
      <c r="G12" s="68"/>
    </row>
    <row r="13" spans="1:7" ht="15.6" x14ac:dyDescent="0.3">
      <c r="A13" s="63">
        <v>20</v>
      </c>
      <c r="B13" s="64" t="s">
        <v>259</v>
      </c>
      <c r="C13" s="64" t="s">
        <v>262</v>
      </c>
      <c r="D13" s="65"/>
      <c r="E13" s="66">
        <v>40</v>
      </c>
      <c r="F13" s="67">
        <f t="shared" si="0"/>
        <v>800</v>
      </c>
      <c r="G13" s="68"/>
    </row>
    <row r="14" spans="1:7" ht="15.6" x14ac:dyDescent="0.3">
      <c r="A14" s="63"/>
      <c r="B14" s="64"/>
      <c r="C14" s="64"/>
      <c r="D14" s="65"/>
      <c r="E14" s="66"/>
      <c r="F14" s="67">
        <f t="shared" si="0"/>
        <v>0</v>
      </c>
      <c r="G14" s="68"/>
    </row>
    <row r="15" spans="1:7" ht="15.6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7" ht="15.6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15.6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15.6" x14ac:dyDescent="0.3">
      <c r="A18" s="69"/>
      <c r="B18" s="64"/>
      <c r="C18" s="64"/>
      <c r="D18" s="65"/>
      <c r="E18" s="66"/>
      <c r="F18" s="67">
        <f t="shared" si="0"/>
        <v>0</v>
      </c>
      <c r="G18" s="68"/>
    </row>
    <row r="19" spans="1:7" ht="15.6" x14ac:dyDescent="0.3">
      <c r="A19" s="69"/>
      <c r="B19" s="64"/>
      <c r="C19" s="64"/>
      <c r="D19" s="65"/>
      <c r="E19" s="66"/>
      <c r="F19" s="67">
        <f t="shared" si="0"/>
        <v>0</v>
      </c>
      <c r="G19" s="68"/>
    </row>
    <row r="20" spans="1:7" ht="15.6" x14ac:dyDescent="0.3">
      <c r="A20" s="70"/>
      <c r="B20" s="71"/>
      <c r="C20" s="71"/>
      <c r="D20" s="72"/>
      <c r="E20" s="73"/>
      <c r="F20" s="74">
        <f t="shared" si="0"/>
        <v>0</v>
      </c>
      <c r="G20" s="75"/>
    </row>
    <row r="21" spans="1:7" ht="17.399999999999999" x14ac:dyDescent="0.3">
      <c r="A21" s="76"/>
      <c r="B21" s="77"/>
      <c r="C21" s="164" t="s">
        <v>27</v>
      </c>
      <c r="D21" s="164"/>
      <c r="E21" s="78"/>
      <c r="F21" s="79">
        <f>SUM(F11:F19)</f>
        <v>12644.84</v>
      </c>
      <c r="G21" s="80"/>
    </row>
    <row r="22" spans="1:7" ht="17.399999999999999" x14ac:dyDescent="0.3">
      <c r="A22" s="81"/>
      <c r="B22" s="82"/>
      <c r="C22" s="165" t="s">
        <v>28</v>
      </c>
      <c r="D22" s="165"/>
      <c r="E22" s="83"/>
      <c r="F22" s="84">
        <f>F21*0.16</f>
        <v>2023.1744000000001</v>
      </c>
      <c r="G22" s="85"/>
    </row>
    <row r="23" spans="1:7" ht="17.399999999999999" x14ac:dyDescent="0.3">
      <c r="A23" s="81"/>
      <c r="B23" s="82"/>
      <c r="C23" s="166" t="s">
        <v>29</v>
      </c>
      <c r="D23" s="166"/>
      <c r="E23" s="86"/>
      <c r="F23" s="87">
        <f>F21+F22</f>
        <v>14668.0144</v>
      </c>
      <c r="G23" s="88"/>
    </row>
    <row r="24" spans="1:7" ht="15.6" x14ac:dyDescent="0.3">
      <c r="A24" s="167" t="s">
        <v>30</v>
      </c>
      <c r="B24" s="168"/>
      <c r="C24" s="89" t="s">
        <v>31</v>
      </c>
      <c r="D24" s="89"/>
      <c r="E24" s="168" t="s">
        <v>32</v>
      </c>
      <c r="F24" s="168"/>
      <c r="G24" s="169"/>
    </row>
    <row r="25" spans="1:7" ht="15.6" x14ac:dyDescent="0.3">
      <c r="A25" s="170" t="s">
        <v>52</v>
      </c>
      <c r="B25" s="171"/>
      <c r="C25" s="90" t="s">
        <v>33</v>
      </c>
      <c r="D25" s="90"/>
      <c r="E25" s="171" t="s">
        <v>34</v>
      </c>
      <c r="F25" s="171"/>
      <c r="G25" s="172"/>
    </row>
    <row r="28" spans="1:7" ht="21" x14ac:dyDescent="0.4">
      <c r="A28" s="49"/>
      <c r="B28" s="184" t="s">
        <v>45</v>
      </c>
      <c r="C28" s="185"/>
      <c r="D28" s="190" t="s">
        <v>36</v>
      </c>
      <c r="E28" s="191"/>
      <c r="F28" s="191"/>
      <c r="G28" s="192"/>
    </row>
    <row r="29" spans="1:7" ht="21" x14ac:dyDescent="0.4">
      <c r="A29" s="50"/>
      <c r="B29" s="186"/>
      <c r="C29" s="187"/>
      <c r="D29" s="193" t="s">
        <v>1</v>
      </c>
      <c r="E29" s="194"/>
      <c r="F29" s="195" t="s">
        <v>269</v>
      </c>
      <c r="G29" s="177"/>
    </row>
    <row r="30" spans="1:7" ht="21" x14ac:dyDescent="0.4">
      <c r="A30" s="50"/>
      <c r="B30" s="186"/>
      <c r="C30" s="187"/>
      <c r="D30" s="193" t="s">
        <v>267</v>
      </c>
      <c r="E30" s="194"/>
      <c r="F30" s="176" t="s">
        <v>266</v>
      </c>
      <c r="G30" s="177"/>
    </row>
    <row r="31" spans="1:7" ht="21" x14ac:dyDescent="0.4">
      <c r="A31" s="51"/>
      <c r="B31" s="188"/>
      <c r="C31" s="189"/>
      <c r="D31" s="178" t="s">
        <v>38</v>
      </c>
      <c r="E31" s="179"/>
      <c r="F31" s="180" t="s">
        <v>270</v>
      </c>
      <c r="G31" s="181"/>
    </row>
    <row r="32" spans="1:7" ht="20.399999999999999" x14ac:dyDescent="0.35">
      <c r="A32" s="52" t="s">
        <v>39</v>
      </c>
      <c r="B32" s="53" t="s">
        <v>49</v>
      </c>
      <c r="C32" s="54"/>
      <c r="D32" s="54"/>
      <c r="E32" s="182"/>
      <c r="F32" s="182"/>
      <c r="G32" s="183"/>
    </row>
    <row r="33" spans="1:7" ht="20.399999999999999" x14ac:dyDescent="0.35">
      <c r="A33" s="52" t="s">
        <v>40</v>
      </c>
      <c r="B33" s="173"/>
      <c r="C33" s="174"/>
      <c r="D33" s="174"/>
      <c r="E33" s="174"/>
      <c r="F33" s="174"/>
      <c r="G33" s="175"/>
    </row>
    <row r="34" spans="1:7" ht="20.399999999999999" x14ac:dyDescent="0.35">
      <c r="A34" s="52" t="s">
        <v>41</v>
      </c>
      <c r="B34" s="173" t="s">
        <v>272</v>
      </c>
      <c r="C34" s="174"/>
      <c r="D34" s="174"/>
      <c r="E34" s="174"/>
      <c r="F34" s="174"/>
      <c r="G34" s="175"/>
    </row>
    <row r="35" spans="1:7" ht="20.399999999999999" x14ac:dyDescent="0.35">
      <c r="A35" s="52" t="s">
        <v>42</v>
      </c>
      <c r="B35" s="173" t="s">
        <v>77</v>
      </c>
      <c r="C35" s="174"/>
      <c r="D35" s="174"/>
      <c r="E35" s="174"/>
      <c r="F35" s="174"/>
      <c r="G35" s="175"/>
    </row>
    <row r="36" spans="1:7" ht="15" x14ac:dyDescent="0.3">
      <c r="A36" s="103" t="s">
        <v>8</v>
      </c>
      <c r="B36" s="103" t="s">
        <v>9</v>
      </c>
      <c r="C36" s="103" t="s">
        <v>10</v>
      </c>
      <c r="D36" s="103" t="s">
        <v>43</v>
      </c>
      <c r="E36" s="103" t="s">
        <v>12</v>
      </c>
      <c r="F36" s="103" t="s">
        <v>13</v>
      </c>
      <c r="G36" s="103" t="s">
        <v>14</v>
      </c>
    </row>
    <row r="37" spans="1:7" ht="31.2" x14ac:dyDescent="0.3">
      <c r="A37" s="57">
        <v>20</v>
      </c>
      <c r="B37" s="58" t="s">
        <v>112</v>
      </c>
      <c r="C37" s="58" t="s">
        <v>271</v>
      </c>
      <c r="D37" s="59"/>
      <c r="E37" s="60">
        <v>50.49</v>
      </c>
      <c r="F37" s="61">
        <f t="shared" ref="F37:F46" si="1">A37*E37</f>
        <v>1009.8000000000001</v>
      </c>
      <c r="G37" s="62"/>
    </row>
    <row r="38" spans="1:7" ht="15.6" x14ac:dyDescent="0.3">
      <c r="A38" s="63"/>
      <c r="B38" s="64"/>
      <c r="C38" s="64"/>
      <c r="D38" s="65"/>
      <c r="E38" s="66"/>
      <c r="F38" s="67">
        <f t="shared" si="1"/>
        <v>0</v>
      </c>
      <c r="G38" s="68"/>
    </row>
    <row r="39" spans="1:7" ht="15.6" x14ac:dyDescent="0.3">
      <c r="A39" s="63"/>
      <c r="B39" s="64"/>
      <c r="C39" s="64"/>
      <c r="D39" s="65"/>
      <c r="E39" s="66"/>
      <c r="F39" s="67">
        <f t="shared" si="1"/>
        <v>0</v>
      </c>
      <c r="G39" s="68"/>
    </row>
    <row r="40" spans="1:7" ht="15.6" x14ac:dyDescent="0.3">
      <c r="A40" s="63"/>
      <c r="B40" s="64"/>
      <c r="C40" s="64"/>
      <c r="D40" s="65"/>
      <c r="E40" s="66"/>
      <c r="F40" s="67">
        <f t="shared" si="1"/>
        <v>0</v>
      </c>
      <c r="G40" s="68"/>
    </row>
    <row r="41" spans="1:7" ht="15.6" x14ac:dyDescent="0.3">
      <c r="A41" s="69"/>
      <c r="B41" s="64"/>
      <c r="C41" s="64"/>
      <c r="D41" s="65"/>
      <c r="E41" s="66"/>
      <c r="F41" s="67">
        <f t="shared" si="1"/>
        <v>0</v>
      </c>
      <c r="G41" s="68"/>
    </row>
    <row r="42" spans="1:7" ht="15.6" x14ac:dyDescent="0.3">
      <c r="A42" s="69"/>
      <c r="B42" s="64"/>
      <c r="C42" s="64"/>
      <c r="D42" s="65"/>
      <c r="E42" s="66"/>
      <c r="F42" s="67">
        <f t="shared" si="1"/>
        <v>0</v>
      </c>
      <c r="G42" s="68"/>
    </row>
    <row r="43" spans="1:7" ht="15.6" x14ac:dyDescent="0.3">
      <c r="A43" s="69"/>
      <c r="B43" s="64"/>
      <c r="C43" s="64"/>
      <c r="D43" s="65"/>
      <c r="E43" s="66"/>
      <c r="F43" s="67">
        <f t="shared" si="1"/>
        <v>0</v>
      </c>
      <c r="G43" s="68"/>
    </row>
    <row r="44" spans="1:7" ht="15.6" x14ac:dyDescent="0.3">
      <c r="A44" s="69"/>
      <c r="B44" s="64"/>
      <c r="C44" s="64"/>
      <c r="D44" s="65"/>
      <c r="E44" s="66"/>
      <c r="F44" s="67">
        <f t="shared" si="1"/>
        <v>0</v>
      </c>
      <c r="G44" s="68"/>
    </row>
    <row r="45" spans="1:7" ht="15.6" x14ac:dyDescent="0.3">
      <c r="A45" s="69"/>
      <c r="B45" s="64"/>
      <c r="C45" s="64"/>
      <c r="D45" s="65"/>
      <c r="E45" s="66"/>
      <c r="F45" s="67">
        <f t="shared" si="1"/>
        <v>0</v>
      </c>
      <c r="G45" s="68"/>
    </row>
    <row r="46" spans="1:7" ht="15.6" x14ac:dyDescent="0.3">
      <c r="A46" s="70"/>
      <c r="B46" s="71"/>
      <c r="C46" s="71"/>
      <c r="D46" s="72"/>
      <c r="E46" s="73"/>
      <c r="F46" s="74">
        <f t="shared" si="1"/>
        <v>0</v>
      </c>
      <c r="G46" s="75"/>
    </row>
    <row r="47" spans="1:7" ht="17.399999999999999" x14ac:dyDescent="0.3">
      <c r="A47" s="76"/>
      <c r="B47" s="77"/>
      <c r="C47" s="164" t="s">
        <v>27</v>
      </c>
      <c r="D47" s="164"/>
      <c r="E47" s="78"/>
      <c r="F47" s="79">
        <f>SUM(F37:F45)</f>
        <v>1009.8000000000001</v>
      </c>
      <c r="G47" s="80"/>
    </row>
    <row r="48" spans="1:7" ht="17.399999999999999" x14ac:dyDescent="0.3">
      <c r="A48" s="81"/>
      <c r="B48" s="82"/>
      <c r="C48" s="165" t="s">
        <v>28</v>
      </c>
      <c r="D48" s="165"/>
      <c r="E48" s="83"/>
      <c r="F48" s="84">
        <f>F47*0.16</f>
        <v>161.56800000000001</v>
      </c>
      <c r="G48" s="85"/>
    </row>
    <row r="49" spans="1:7" ht="17.399999999999999" x14ac:dyDescent="0.3">
      <c r="A49" s="81"/>
      <c r="B49" s="82"/>
      <c r="C49" s="166" t="s">
        <v>29</v>
      </c>
      <c r="D49" s="166"/>
      <c r="E49" s="86"/>
      <c r="F49" s="87">
        <f>F47+F48</f>
        <v>1171.3680000000002</v>
      </c>
      <c r="G49" s="88"/>
    </row>
    <row r="50" spans="1:7" ht="15.6" x14ac:dyDescent="0.3">
      <c r="A50" s="167" t="s">
        <v>30</v>
      </c>
      <c r="B50" s="168"/>
      <c r="C50" s="89" t="s">
        <v>31</v>
      </c>
      <c r="D50" s="89"/>
      <c r="E50" s="168" t="s">
        <v>32</v>
      </c>
      <c r="F50" s="168"/>
      <c r="G50" s="169"/>
    </row>
    <row r="51" spans="1:7" ht="15.6" x14ac:dyDescent="0.3">
      <c r="A51" s="170" t="s">
        <v>52</v>
      </c>
      <c r="B51" s="171"/>
      <c r="C51" s="90" t="s">
        <v>33</v>
      </c>
      <c r="D51" s="90"/>
      <c r="E51" s="171" t="s">
        <v>34</v>
      </c>
      <c r="F51" s="171"/>
      <c r="G51" s="172"/>
    </row>
  </sheetData>
  <mergeCells count="38">
    <mergeCell ref="C48:D48"/>
    <mergeCell ref="C49:D49"/>
    <mergeCell ref="A50:B50"/>
    <mergeCell ref="E50:G50"/>
    <mergeCell ref="A51:B51"/>
    <mergeCell ref="E51:G51"/>
    <mergeCell ref="E32:G32"/>
    <mergeCell ref="B33:G33"/>
    <mergeCell ref="B34:G34"/>
    <mergeCell ref="B35:G35"/>
    <mergeCell ref="C47:D47"/>
    <mergeCell ref="B28:C31"/>
    <mergeCell ref="D28:G28"/>
    <mergeCell ref="D29:E29"/>
    <mergeCell ref="F29:G29"/>
    <mergeCell ref="D30:E30"/>
    <mergeCell ref="F30:G30"/>
    <mergeCell ref="D31:E31"/>
    <mergeCell ref="F31:G31"/>
    <mergeCell ref="B9:G9"/>
    <mergeCell ref="C21:D21"/>
    <mergeCell ref="C22:D22"/>
    <mergeCell ref="B2:C5"/>
    <mergeCell ref="D2:G2"/>
    <mergeCell ref="D3:E3"/>
    <mergeCell ref="F3:G3"/>
    <mergeCell ref="D5:E5"/>
    <mergeCell ref="F5:G5"/>
    <mergeCell ref="D4:E4"/>
    <mergeCell ref="F4:G4"/>
    <mergeCell ref="E6:G6"/>
    <mergeCell ref="B7:G7"/>
    <mergeCell ref="B8:G8"/>
    <mergeCell ref="C23:D23"/>
    <mergeCell ref="A24:B24"/>
    <mergeCell ref="E24:G24"/>
    <mergeCell ref="A25:B25"/>
    <mergeCell ref="E25:G25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4 A50" xr:uid="{39850B5D-235F-476C-8F9F-8CE2FBABC349}">
      <formula1>0</formula1>
      <formula2>256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89E4E-C1F7-40C1-9841-D315FFFF6CCA}">
  <sheetPr>
    <pageSetUpPr fitToPage="1"/>
  </sheetPr>
  <dimension ref="A1:I25"/>
  <sheetViews>
    <sheetView topLeftCell="A10" zoomScale="70" zoomScaleNormal="70" workbookViewId="0">
      <selection activeCell="A9" sqref="A9:E13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35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37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/>
      <c r="G3" s="181"/>
      <c r="H3" s="6"/>
      <c r="I3" s="6"/>
    </row>
    <row r="4" spans="1:9" ht="21" x14ac:dyDescent="0.4">
      <c r="A4" s="52" t="s">
        <v>39</v>
      </c>
      <c r="B4" s="53"/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/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/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1</v>
      </c>
      <c r="B9" s="58" t="s">
        <v>15</v>
      </c>
      <c r="C9" s="58" t="s">
        <v>16</v>
      </c>
      <c r="D9" s="59" t="s">
        <v>17</v>
      </c>
      <c r="E9" s="60">
        <v>1284.96</v>
      </c>
      <c r="F9" s="61">
        <f t="shared" ref="F9:F18" si="0">A9*E9</f>
        <v>1284.96</v>
      </c>
      <c r="G9" s="62"/>
    </row>
    <row r="10" spans="1:9" ht="48" customHeight="1" x14ac:dyDescent="0.3">
      <c r="A10" s="63">
        <v>4</v>
      </c>
      <c r="B10" s="64" t="s">
        <v>15</v>
      </c>
      <c r="C10" s="64" t="s">
        <v>18</v>
      </c>
      <c r="D10" s="65" t="s">
        <v>19</v>
      </c>
      <c r="E10" s="66">
        <v>16.21</v>
      </c>
      <c r="F10" s="67">
        <f t="shared" si="0"/>
        <v>64.84</v>
      </c>
      <c r="G10" s="68"/>
    </row>
    <row r="11" spans="1:9" ht="48" customHeight="1" x14ac:dyDescent="0.3">
      <c r="A11" s="63">
        <v>2</v>
      </c>
      <c r="B11" s="64" t="s">
        <v>15</v>
      </c>
      <c r="C11" s="64" t="s">
        <v>20</v>
      </c>
      <c r="D11" s="65" t="s">
        <v>21</v>
      </c>
      <c r="E11" s="66">
        <v>214.74</v>
      </c>
      <c r="F11" s="67">
        <f t="shared" si="0"/>
        <v>429.48</v>
      </c>
      <c r="G11" s="68"/>
    </row>
    <row r="12" spans="1:9" ht="48" customHeight="1" x14ac:dyDescent="0.3">
      <c r="A12" s="63">
        <v>2</v>
      </c>
      <c r="B12" s="64" t="s">
        <v>15</v>
      </c>
      <c r="C12" s="64" t="s">
        <v>22</v>
      </c>
      <c r="D12" s="65" t="s">
        <v>23</v>
      </c>
      <c r="E12" s="66">
        <v>76.17</v>
      </c>
      <c r="F12" s="67">
        <f t="shared" si="0"/>
        <v>152.34</v>
      </c>
      <c r="G12" s="68"/>
    </row>
    <row r="13" spans="1:9" ht="48" customHeight="1" x14ac:dyDescent="0.3">
      <c r="A13" s="69">
        <v>15</v>
      </c>
      <c r="B13" s="64" t="s">
        <v>24</v>
      </c>
      <c r="C13" s="64" t="s">
        <v>25</v>
      </c>
      <c r="D13" s="65" t="s">
        <v>26</v>
      </c>
      <c r="E13" s="66">
        <v>32.409999999999997</v>
      </c>
      <c r="F13" s="67">
        <f t="shared" si="0"/>
        <v>486.15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2417.77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386.84320000000002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2804.6131999999998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44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1:D21"/>
    <mergeCell ref="A22:B22"/>
    <mergeCell ref="E22:G22"/>
    <mergeCell ref="A23:B23"/>
    <mergeCell ref="E23:G23"/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649B8519-9D71-498C-92FA-E10324918679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B5989-CE17-408E-8F1C-1E0C0C32E224}">
  <sheetPr>
    <pageSetUpPr fitToPage="1"/>
  </sheetPr>
  <dimension ref="A1:M126"/>
  <sheetViews>
    <sheetView topLeftCell="A9" zoomScale="70" zoomScaleNormal="70" workbookViewId="0">
      <selection activeCell="B35" sqref="B35:D37"/>
    </sheetView>
  </sheetViews>
  <sheetFormatPr baseColWidth="10" defaultRowHeight="14.4" x14ac:dyDescent="0.3"/>
  <cols>
    <col min="1" max="1" width="21.44140625" customWidth="1"/>
    <col min="2" max="2" width="16.109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48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235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234</v>
      </c>
      <c r="G3" s="181"/>
      <c r="H3" s="6"/>
      <c r="I3" s="6"/>
    </row>
    <row r="4" spans="1:9" ht="21" x14ac:dyDescent="0.4">
      <c r="A4" s="52" t="s">
        <v>39</v>
      </c>
      <c r="B4" s="53" t="s">
        <v>54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233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236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30" customHeight="1" x14ac:dyDescent="0.3">
      <c r="A9" s="57">
        <v>223</v>
      </c>
      <c r="B9" s="58" t="s">
        <v>112</v>
      </c>
      <c r="C9" s="58" t="s">
        <v>237</v>
      </c>
      <c r="D9" s="92"/>
      <c r="E9" s="60">
        <v>259.2</v>
      </c>
      <c r="F9" s="60">
        <f>+A9*E9</f>
        <v>57801.599999999999</v>
      </c>
      <c r="G9" s="62"/>
    </row>
    <row r="10" spans="1:9" ht="30" customHeight="1" x14ac:dyDescent="0.3">
      <c r="A10" s="63"/>
      <c r="B10" s="64"/>
      <c r="C10" s="64"/>
      <c r="D10" s="93"/>
      <c r="E10" s="66"/>
      <c r="F10" s="66">
        <f>+A10*E10</f>
        <v>0</v>
      </c>
      <c r="G10" s="68"/>
    </row>
    <row r="11" spans="1:9" ht="30" customHeight="1" x14ac:dyDescent="0.3">
      <c r="A11" s="63"/>
      <c r="B11" s="218" t="s">
        <v>238</v>
      </c>
      <c r="C11" s="219"/>
      <c r="D11" s="220"/>
      <c r="E11" s="66"/>
      <c r="F11" s="66">
        <f>+A11*E11</f>
        <v>0</v>
      </c>
      <c r="G11" s="68"/>
    </row>
    <row r="12" spans="1:9" ht="30" customHeight="1" x14ac:dyDescent="0.3">
      <c r="A12" s="63"/>
      <c r="B12" s="218"/>
      <c r="C12" s="219"/>
      <c r="D12" s="220"/>
      <c r="E12" s="66"/>
      <c r="F12" s="66">
        <f>+A12*E12</f>
        <v>0</v>
      </c>
      <c r="G12" s="68"/>
    </row>
    <row r="13" spans="1:9" ht="49.8" customHeight="1" x14ac:dyDescent="0.3">
      <c r="A13" s="63"/>
      <c r="B13" s="218"/>
      <c r="C13" s="219"/>
      <c r="D13" s="220"/>
      <c r="E13" s="66"/>
      <c r="F13" s="66"/>
      <c r="G13" s="68"/>
    </row>
    <row r="14" spans="1:9" ht="30" customHeight="1" x14ac:dyDescent="0.3">
      <c r="A14" s="63"/>
      <c r="B14" s="64"/>
      <c r="C14" s="64"/>
      <c r="D14" s="93"/>
      <c r="E14" s="66"/>
      <c r="F14" s="66"/>
      <c r="G14" s="68"/>
    </row>
    <row r="15" spans="1:9" ht="30" customHeight="1" x14ac:dyDescent="0.3">
      <c r="A15" s="69"/>
      <c r="B15" s="64"/>
      <c r="C15" s="64"/>
      <c r="D15" s="93"/>
      <c r="E15" s="66"/>
      <c r="F15" s="66"/>
      <c r="G15" s="68"/>
    </row>
    <row r="16" spans="1:9" ht="30" customHeight="1" x14ac:dyDescent="0.3">
      <c r="A16" s="69"/>
      <c r="B16" s="64"/>
      <c r="C16" s="64"/>
      <c r="D16" s="93"/>
      <c r="E16" s="66"/>
      <c r="F16" s="66"/>
      <c r="G16" s="68"/>
    </row>
    <row r="17" spans="1:7" ht="30" customHeight="1" x14ac:dyDescent="0.3">
      <c r="A17" s="70"/>
      <c r="B17" s="71"/>
      <c r="C17" s="71"/>
      <c r="D17" s="94"/>
      <c r="E17" s="73"/>
      <c r="F17" s="73"/>
      <c r="G17" s="75"/>
    </row>
    <row r="18" spans="1:7" ht="30" customHeight="1" x14ac:dyDescent="0.3">
      <c r="A18" s="76"/>
      <c r="B18" s="77"/>
      <c r="C18" s="164" t="s">
        <v>27</v>
      </c>
      <c r="D18" s="164"/>
      <c r="E18" s="78"/>
      <c r="F18" s="79">
        <f>SUM(F9:F16)</f>
        <v>57801.599999999999</v>
      </c>
      <c r="G18" s="80"/>
    </row>
    <row r="19" spans="1:7" ht="30" customHeight="1" x14ac:dyDescent="0.3">
      <c r="A19" s="81"/>
      <c r="B19" s="82"/>
      <c r="C19" s="165" t="s">
        <v>28</v>
      </c>
      <c r="D19" s="165"/>
      <c r="E19" s="83"/>
      <c r="F19" s="84">
        <f>F18*0.16</f>
        <v>9248.2559999999994</v>
      </c>
      <c r="G19" s="85"/>
    </row>
    <row r="20" spans="1:7" ht="30" customHeight="1" x14ac:dyDescent="0.3">
      <c r="A20" s="81"/>
      <c r="B20" s="82"/>
      <c r="C20" s="166" t="s">
        <v>29</v>
      </c>
      <c r="D20" s="166"/>
      <c r="E20" s="86"/>
      <c r="F20" s="87">
        <f>F18+F19</f>
        <v>67049.856</v>
      </c>
      <c r="G20" s="88"/>
    </row>
    <row r="21" spans="1:7" ht="15.6" x14ac:dyDescent="0.3">
      <c r="A21" s="167" t="s">
        <v>30</v>
      </c>
      <c r="B21" s="168"/>
      <c r="C21" s="89" t="s">
        <v>31</v>
      </c>
      <c r="D21" s="89"/>
      <c r="E21" s="168" t="s">
        <v>32</v>
      </c>
      <c r="F21" s="168"/>
      <c r="G21" s="169"/>
    </row>
    <row r="22" spans="1:7" ht="15.6" x14ac:dyDescent="0.3">
      <c r="A22" s="170" t="s">
        <v>52</v>
      </c>
      <c r="B22" s="171"/>
      <c r="C22" s="90" t="s">
        <v>33</v>
      </c>
      <c r="D22" s="90"/>
      <c r="E22" s="171" t="s">
        <v>34</v>
      </c>
      <c r="F22" s="171"/>
      <c r="G22" s="172"/>
    </row>
    <row r="23" spans="1:7" x14ac:dyDescent="0.3">
      <c r="A23" s="91"/>
      <c r="B23" s="91"/>
      <c r="C23" s="91"/>
      <c r="D23" s="91"/>
      <c r="E23" s="91"/>
      <c r="F23" s="91"/>
      <c r="G23" s="91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ht="21" x14ac:dyDescent="0.4">
      <c r="A25" s="49"/>
      <c r="B25" s="184" t="s">
        <v>48</v>
      </c>
      <c r="C25" s="185"/>
      <c r="D25" s="190" t="s">
        <v>36</v>
      </c>
      <c r="E25" s="191"/>
      <c r="F25" s="191"/>
      <c r="G25" s="192"/>
    </row>
    <row r="26" spans="1:7" ht="21" x14ac:dyDescent="0.4">
      <c r="A26" s="50"/>
      <c r="B26" s="186"/>
      <c r="C26" s="187"/>
      <c r="D26" s="193" t="s">
        <v>1</v>
      </c>
      <c r="E26" s="194"/>
      <c r="F26" s="195" t="s">
        <v>235</v>
      </c>
      <c r="G26" s="177"/>
    </row>
    <row r="27" spans="1:7" ht="21" x14ac:dyDescent="0.4">
      <c r="A27" s="51"/>
      <c r="B27" s="188"/>
      <c r="C27" s="189"/>
      <c r="D27" s="178" t="s">
        <v>38</v>
      </c>
      <c r="E27" s="179"/>
      <c r="F27" s="180" t="s">
        <v>239</v>
      </c>
      <c r="G27" s="181"/>
    </row>
    <row r="28" spans="1:7" ht="20.399999999999999" x14ac:dyDescent="0.35">
      <c r="A28" s="52" t="s">
        <v>39</v>
      </c>
      <c r="B28" s="53" t="s">
        <v>54</v>
      </c>
      <c r="C28" s="54"/>
      <c r="D28" s="54"/>
      <c r="E28" s="182"/>
      <c r="F28" s="182"/>
      <c r="G28" s="183"/>
    </row>
    <row r="29" spans="1:7" ht="20.399999999999999" x14ac:dyDescent="0.35">
      <c r="A29" s="52" t="s">
        <v>40</v>
      </c>
      <c r="B29" s="173" t="s">
        <v>233</v>
      </c>
      <c r="C29" s="174"/>
      <c r="D29" s="174"/>
      <c r="E29" s="174"/>
      <c r="F29" s="174"/>
      <c r="G29" s="175"/>
    </row>
    <row r="30" spans="1:7" ht="20.399999999999999" x14ac:dyDescent="0.35">
      <c r="A30" s="52" t="s">
        <v>41</v>
      </c>
      <c r="B30" s="173"/>
      <c r="C30" s="174"/>
      <c r="D30" s="174"/>
      <c r="E30" s="174"/>
      <c r="F30" s="174"/>
      <c r="G30" s="175"/>
    </row>
    <row r="31" spans="1:7" ht="20.399999999999999" x14ac:dyDescent="0.35">
      <c r="A31" s="52" t="s">
        <v>42</v>
      </c>
      <c r="B31" s="173" t="s">
        <v>236</v>
      </c>
      <c r="C31" s="174"/>
      <c r="D31" s="174"/>
      <c r="E31" s="174"/>
      <c r="F31" s="174"/>
      <c r="G31" s="175"/>
    </row>
    <row r="32" spans="1:7" ht="31.2" x14ac:dyDescent="0.3">
      <c r="A32" s="55" t="s">
        <v>8</v>
      </c>
      <c r="B32" s="55" t="s">
        <v>9</v>
      </c>
      <c r="C32" s="55" t="s">
        <v>10</v>
      </c>
      <c r="D32" s="56" t="s">
        <v>43</v>
      </c>
      <c r="E32" s="55" t="s">
        <v>12</v>
      </c>
      <c r="F32" s="55" t="s">
        <v>13</v>
      </c>
      <c r="G32" s="55" t="s">
        <v>14</v>
      </c>
    </row>
    <row r="33" spans="1:7" ht="15.6" x14ac:dyDescent="0.3">
      <c r="A33" s="57">
        <v>38</v>
      </c>
      <c r="B33" s="58" t="s">
        <v>112</v>
      </c>
      <c r="C33" s="58" t="s">
        <v>237</v>
      </c>
      <c r="D33" s="92"/>
      <c r="E33" s="60">
        <v>259.2</v>
      </c>
      <c r="F33" s="60">
        <f>+A33*E33</f>
        <v>9849.6</v>
      </c>
      <c r="G33" s="62"/>
    </row>
    <row r="34" spans="1:7" ht="15.6" x14ac:dyDescent="0.3">
      <c r="A34" s="63"/>
      <c r="B34" s="64"/>
      <c r="C34" s="64"/>
      <c r="D34" s="93"/>
      <c r="E34" s="66"/>
      <c r="F34" s="66">
        <f>+A34*E34</f>
        <v>0</v>
      </c>
      <c r="G34" s="68"/>
    </row>
    <row r="35" spans="1:7" ht="15.6" x14ac:dyDescent="0.3">
      <c r="A35" s="63"/>
      <c r="B35" s="218" t="s">
        <v>238</v>
      </c>
      <c r="C35" s="219"/>
      <c r="D35" s="220"/>
      <c r="E35" s="66"/>
      <c r="F35" s="66">
        <f>+A35*E35</f>
        <v>0</v>
      </c>
      <c r="G35" s="68"/>
    </row>
    <row r="36" spans="1:7" ht="15.6" x14ac:dyDescent="0.3">
      <c r="A36" s="63"/>
      <c r="B36" s="218"/>
      <c r="C36" s="219"/>
      <c r="D36" s="220"/>
      <c r="E36" s="66"/>
      <c r="F36" s="66">
        <f>+A36*E36</f>
        <v>0</v>
      </c>
      <c r="G36" s="68"/>
    </row>
    <row r="37" spans="1:7" ht="15.6" x14ac:dyDescent="0.3">
      <c r="A37" s="63"/>
      <c r="B37" s="218"/>
      <c r="C37" s="219"/>
      <c r="D37" s="220"/>
      <c r="E37" s="66"/>
      <c r="F37" s="66"/>
      <c r="G37" s="68"/>
    </row>
    <row r="38" spans="1:7" ht="15.6" x14ac:dyDescent="0.3">
      <c r="A38" s="63"/>
      <c r="B38" s="64"/>
      <c r="C38" s="64"/>
      <c r="D38" s="93"/>
      <c r="E38" s="66"/>
      <c r="F38" s="66"/>
      <c r="G38" s="68"/>
    </row>
    <row r="39" spans="1:7" ht="15.6" x14ac:dyDescent="0.3">
      <c r="A39" s="69"/>
      <c r="B39" s="64"/>
      <c r="C39" s="64"/>
      <c r="D39" s="93"/>
      <c r="E39" s="66"/>
      <c r="F39" s="66"/>
      <c r="G39" s="68"/>
    </row>
    <row r="40" spans="1:7" ht="15.6" x14ac:dyDescent="0.3">
      <c r="A40" s="69"/>
      <c r="B40" s="64"/>
      <c r="C40" s="64"/>
      <c r="D40" s="93"/>
      <c r="E40" s="66"/>
      <c r="F40" s="66"/>
      <c r="G40" s="68"/>
    </row>
    <row r="41" spans="1:7" ht="15.6" x14ac:dyDescent="0.3">
      <c r="A41" s="70"/>
      <c r="B41" s="71"/>
      <c r="C41" s="71"/>
      <c r="D41" s="94"/>
      <c r="E41" s="73"/>
      <c r="F41" s="73"/>
      <c r="G41" s="75"/>
    </row>
    <row r="42" spans="1:7" ht="17.399999999999999" x14ac:dyDescent="0.3">
      <c r="A42" s="76"/>
      <c r="B42" s="77"/>
      <c r="C42" s="164" t="s">
        <v>27</v>
      </c>
      <c r="D42" s="164"/>
      <c r="E42" s="78"/>
      <c r="F42" s="79">
        <f>SUM(F33:F40)</f>
        <v>9849.6</v>
      </c>
      <c r="G42" s="80"/>
    </row>
    <row r="43" spans="1:7" ht="17.399999999999999" x14ac:dyDescent="0.3">
      <c r="A43" s="81"/>
      <c r="B43" s="82"/>
      <c r="C43" s="165" t="s">
        <v>28</v>
      </c>
      <c r="D43" s="165"/>
      <c r="E43" s="83"/>
      <c r="F43" s="84">
        <f>F42*0.16</f>
        <v>1575.9360000000001</v>
      </c>
      <c r="G43" s="85"/>
    </row>
    <row r="44" spans="1:7" ht="17.399999999999999" x14ac:dyDescent="0.3">
      <c r="A44" s="81"/>
      <c r="B44" s="82"/>
      <c r="C44" s="166" t="s">
        <v>29</v>
      </c>
      <c r="D44" s="166"/>
      <c r="E44" s="86"/>
      <c r="F44" s="87">
        <f>F42+F43</f>
        <v>11425.536</v>
      </c>
      <c r="G44" s="88"/>
    </row>
    <row r="45" spans="1:7" ht="15.6" x14ac:dyDescent="0.3">
      <c r="A45" s="167" t="s">
        <v>30</v>
      </c>
      <c r="B45" s="168"/>
      <c r="C45" s="89" t="s">
        <v>31</v>
      </c>
      <c r="D45" s="89"/>
      <c r="E45" s="168" t="s">
        <v>32</v>
      </c>
      <c r="F45" s="168"/>
      <c r="G45" s="169"/>
    </row>
    <row r="46" spans="1:7" ht="15.6" x14ac:dyDescent="0.3">
      <c r="A46" s="170" t="s">
        <v>52</v>
      </c>
      <c r="B46" s="171"/>
      <c r="C46" s="90" t="s">
        <v>33</v>
      </c>
      <c r="D46" s="90"/>
      <c r="E46" s="171" t="s">
        <v>34</v>
      </c>
      <c r="F46" s="171"/>
      <c r="G46" s="172"/>
    </row>
    <row r="47" spans="1:7" x14ac:dyDescent="0.3">
      <c r="A47" s="91"/>
      <c r="B47" s="91"/>
      <c r="C47" s="91"/>
      <c r="D47" s="91"/>
      <c r="E47" s="91"/>
      <c r="F47" s="91"/>
      <c r="G47" s="91"/>
    </row>
    <row r="49" spans="1:7" ht="21" x14ac:dyDescent="0.4">
      <c r="A49" s="49"/>
      <c r="B49" s="184" t="s">
        <v>45</v>
      </c>
      <c r="C49" s="185"/>
      <c r="D49" s="190" t="s">
        <v>36</v>
      </c>
      <c r="E49" s="191"/>
      <c r="F49" s="191"/>
      <c r="G49" s="192"/>
    </row>
    <row r="50" spans="1:7" ht="21" x14ac:dyDescent="0.4">
      <c r="A50" s="50"/>
      <c r="B50" s="186"/>
      <c r="C50" s="187"/>
      <c r="D50" s="193" t="s">
        <v>1</v>
      </c>
      <c r="E50" s="194"/>
      <c r="F50" s="195" t="s">
        <v>242</v>
      </c>
      <c r="G50" s="177"/>
    </row>
    <row r="51" spans="1:7" ht="33" customHeight="1" x14ac:dyDescent="0.4">
      <c r="A51" s="51"/>
      <c r="B51" s="188"/>
      <c r="C51" s="189"/>
      <c r="D51" s="178" t="s">
        <v>38</v>
      </c>
      <c r="E51" s="179"/>
      <c r="F51" s="180" t="s">
        <v>243</v>
      </c>
      <c r="G51" s="181"/>
    </row>
    <row r="52" spans="1:7" ht="20.399999999999999" x14ac:dyDescent="0.35">
      <c r="A52" s="52" t="s">
        <v>39</v>
      </c>
      <c r="B52" s="53" t="s">
        <v>49</v>
      </c>
      <c r="C52" s="54"/>
      <c r="D52" s="54"/>
      <c r="E52" s="182"/>
      <c r="F52" s="182"/>
      <c r="G52" s="183"/>
    </row>
    <row r="53" spans="1:7" ht="20.399999999999999" x14ac:dyDescent="0.35">
      <c r="A53" s="52" t="s">
        <v>40</v>
      </c>
      <c r="B53" s="173" t="s">
        <v>244</v>
      </c>
      <c r="C53" s="174"/>
      <c r="D53" s="174"/>
      <c r="E53" s="174"/>
      <c r="F53" s="174"/>
      <c r="G53" s="175"/>
    </row>
    <row r="54" spans="1:7" ht="20.399999999999999" x14ac:dyDescent="0.35">
      <c r="A54" s="52" t="s">
        <v>41</v>
      </c>
      <c r="B54" s="173" t="s">
        <v>241</v>
      </c>
      <c r="C54" s="174"/>
      <c r="D54" s="174"/>
      <c r="E54" s="174"/>
      <c r="F54" s="174"/>
      <c r="G54" s="175"/>
    </row>
    <row r="55" spans="1:7" ht="20.399999999999999" x14ac:dyDescent="0.35">
      <c r="A55" s="52" t="s">
        <v>42</v>
      </c>
      <c r="B55" s="173" t="s">
        <v>222</v>
      </c>
      <c r="C55" s="174"/>
      <c r="D55" s="174"/>
      <c r="E55" s="174"/>
      <c r="F55" s="174"/>
      <c r="G55" s="175"/>
    </row>
    <row r="56" spans="1:7" ht="31.2" x14ac:dyDescent="0.3">
      <c r="A56" s="55" t="s">
        <v>8</v>
      </c>
      <c r="B56" s="55" t="s">
        <v>9</v>
      </c>
      <c r="C56" s="55" t="s">
        <v>10</v>
      </c>
      <c r="D56" s="56" t="s">
        <v>43</v>
      </c>
      <c r="E56" s="55" t="s">
        <v>12</v>
      </c>
      <c r="F56" s="55" t="s">
        <v>13</v>
      </c>
      <c r="G56" s="55" t="s">
        <v>14</v>
      </c>
    </row>
    <row r="57" spans="1:7" ht="15.6" x14ac:dyDescent="0.3">
      <c r="A57" s="57">
        <v>4</v>
      </c>
      <c r="B57" s="58" t="s">
        <v>15</v>
      </c>
      <c r="C57" s="58" t="s">
        <v>223</v>
      </c>
      <c r="D57" s="92"/>
      <c r="E57" s="60">
        <v>9491</v>
      </c>
      <c r="F57" s="60">
        <f>A57*E57</f>
        <v>37964</v>
      </c>
      <c r="G57" s="62"/>
    </row>
    <row r="58" spans="1:7" ht="46.8" x14ac:dyDescent="0.3">
      <c r="A58" s="63">
        <v>4</v>
      </c>
      <c r="B58" s="64" t="s">
        <v>15</v>
      </c>
      <c r="C58" s="64" t="s">
        <v>224</v>
      </c>
      <c r="D58" s="93"/>
      <c r="E58" s="66"/>
      <c r="F58" s="66">
        <f>A58*E58</f>
        <v>0</v>
      </c>
      <c r="G58" s="68"/>
    </row>
    <row r="59" spans="1:7" ht="31.2" x14ac:dyDescent="0.3">
      <c r="A59" s="63">
        <v>4</v>
      </c>
      <c r="B59" s="64" t="s">
        <v>15</v>
      </c>
      <c r="C59" s="64" t="s">
        <v>225</v>
      </c>
      <c r="D59" s="93"/>
      <c r="E59" s="66"/>
      <c r="F59" s="66">
        <f>A59*E59</f>
        <v>0</v>
      </c>
      <c r="G59" s="68"/>
    </row>
    <row r="60" spans="1:7" ht="15.6" x14ac:dyDescent="0.3">
      <c r="A60" s="63"/>
      <c r="B60" s="64"/>
      <c r="C60" s="64"/>
      <c r="D60" s="93"/>
      <c r="E60" s="66"/>
      <c r="F60" s="66">
        <f>A60*E60</f>
        <v>0</v>
      </c>
      <c r="G60" s="68"/>
    </row>
    <row r="61" spans="1:7" ht="15.6" x14ac:dyDescent="0.3">
      <c r="A61" s="63"/>
      <c r="B61" s="64"/>
      <c r="C61" s="102"/>
      <c r="D61" s="93"/>
      <c r="E61" s="66"/>
      <c r="F61" s="66">
        <v>0</v>
      </c>
      <c r="G61" s="68"/>
    </row>
    <row r="62" spans="1:7" ht="15.6" x14ac:dyDescent="0.3">
      <c r="A62" s="69"/>
      <c r="B62" s="64"/>
      <c r="C62" s="64"/>
      <c r="D62" s="93"/>
      <c r="E62" s="66"/>
      <c r="F62" s="66">
        <f t="shared" ref="F62:F67" si="0">A62*E62</f>
        <v>0</v>
      </c>
      <c r="G62" s="68"/>
    </row>
    <row r="63" spans="1:7" ht="15.6" x14ac:dyDescent="0.3">
      <c r="A63" s="69"/>
      <c r="B63" s="64"/>
      <c r="C63" s="64"/>
      <c r="D63" s="93"/>
      <c r="E63" s="66"/>
      <c r="F63" s="66">
        <f t="shared" si="0"/>
        <v>0</v>
      </c>
      <c r="G63" s="68"/>
    </row>
    <row r="64" spans="1:7" ht="15.6" x14ac:dyDescent="0.3">
      <c r="A64" s="69"/>
      <c r="B64" s="64"/>
      <c r="C64" s="64"/>
      <c r="D64" s="93"/>
      <c r="E64" s="66"/>
      <c r="F64" s="66">
        <f t="shared" si="0"/>
        <v>0</v>
      </c>
      <c r="G64" s="68"/>
    </row>
    <row r="65" spans="1:13" ht="15.6" x14ac:dyDescent="0.3">
      <c r="A65" s="69"/>
      <c r="B65" s="64"/>
      <c r="C65" s="64"/>
      <c r="D65" s="93"/>
      <c r="E65" s="66"/>
      <c r="F65" s="66">
        <f t="shared" si="0"/>
        <v>0</v>
      </c>
      <c r="G65" s="68"/>
    </row>
    <row r="66" spans="1:13" ht="15.6" x14ac:dyDescent="0.3">
      <c r="A66" s="69"/>
      <c r="B66" s="64"/>
      <c r="C66" s="64"/>
      <c r="D66" s="93"/>
      <c r="E66" s="66"/>
      <c r="F66" s="66">
        <f t="shared" si="0"/>
        <v>0</v>
      </c>
      <c r="G66" s="68"/>
    </row>
    <row r="67" spans="1:13" ht="15.6" x14ac:dyDescent="0.3">
      <c r="A67" s="70"/>
      <c r="B67" s="71"/>
      <c r="C67" s="71"/>
      <c r="D67" s="94"/>
      <c r="E67" s="73"/>
      <c r="F67" s="73">
        <f t="shared" si="0"/>
        <v>0</v>
      </c>
      <c r="G67" s="75"/>
    </row>
    <row r="68" spans="1:13" ht="17.399999999999999" x14ac:dyDescent="0.3">
      <c r="A68" s="76"/>
      <c r="B68" s="77"/>
      <c r="C68" s="164" t="s">
        <v>27</v>
      </c>
      <c r="D68" s="164"/>
      <c r="E68" s="78"/>
      <c r="F68" s="79">
        <f>SUM(F57:F66)</f>
        <v>37964</v>
      </c>
      <c r="G68" s="80"/>
    </row>
    <row r="69" spans="1:13" ht="17.399999999999999" x14ac:dyDescent="0.3">
      <c r="A69" s="81"/>
      <c r="B69" s="82"/>
      <c r="C69" s="165" t="s">
        <v>28</v>
      </c>
      <c r="D69" s="165"/>
      <c r="E69" s="83"/>
      <c r="F69" s="84">
        <f>F68*0.16</f>
        <v>6074.24</v>
      </c>
      <c r="G69" s="85"/>
    </row>
    <row r="70" spans="1:13" ht="17.399999999999999" x14ac:dyDescent="0.3">
      <c r="A70" s="81"/>
      <c r="B70" s="82"/>
      <c r="C70" s="166" t="s">
        <v>29</v>
      </c>
      <c r="D70" s="166"/>
      <c r="E70" s="86"/>
      <c r="F70" s="87">
        <f>F68+F69</f>
        <v>44038.239999999998</v>
      </c>
      <c r="G70" s="88"/>
    </row>
    <row r="71" spans="1:13" ht="15.6" x14ac:dyDescent="0.3">
      <c r="A71" s="167" t="s">
        <v>30</v>
      </c>
      <c r="B71" s="168"/>
      <c r="C71" s="89" t="s">
        <v>31</v>
      </c>
      <c r="D71" s="89"/>
      <c r="E71" s="168" t="s">
        <v>32</v>
      </c>
      <c r="F71" s="168"/>
      <c r="G71" s="169"/>
    </row>
    <row r="72" spans="1:13" ht="15.6" x14ac:dyDescent="0.3">
      <c r="A72" s="170" t="s">
        <v>52</v>
      </c>
      <c r="B72" s="171"/>
      <c r="C72" s="90" t="s">
        <v>33</v>
      </c>
      <c r="D72" s="90"/>
      <c r="E72" s="171" t="s">
        <v>34</v>
      </c>
      <c r="F72" s="171"/>
      <c r="G72" s="172"/>
    </row>
    <row r="73" spans="1:13" x14ac:dyDescent="0.3">
      <c r="A73" s="91"/>
      <c r="B73" s="91"/>
      <c r="C73" s="91"/>
      <c r="D73" s="91"/>
      <c r="E73" s="91"/>
      <c r="F73" s="91"/>
      <c r="G73" s="91"/>
    </row>
    <row r="76" spans="1:13" ht="21" x14ac:dyDescent="0.4">
      <c r="A76" s="49"/>
      <c r="B76" s="184" t="s">
        <v>45</v>
      </c>
      <c r="C76" s="185"/>
      <c r="D76" s="190" t="s">
        <v>36</v>
      </c>
      <c r="E76" s="191"/>
      <c r="F76" s="191"/>
      <c r="G76" s="192"/>
    </row>
    <row r="77" spans="1:13" ht="21" x14ac:dyDescent="0.4">
      <c r="A77" s="50"/>
      <c r="B77" s="186"/>
      <c r="C77" s="187"/>
      <c r="D77" s="193" t="s">
        <v>1</v>
      </c>
      <c r="E77" s="194"/>
      <c r="F77" s="195" t="s">
        <v>242</v>
      </c>
      <c r="G77" s="177"/>
      <c r="M77">
        <v>121</v>
      </c>
    </row>
    <row r="78" spans="1:13" ht="36" customHeight="1" x14ac:dyDescent="0.4">
      <c r="A78" s="51"/>
      <c r="B78" s="188"/>
      <c r="C78" s="189"/>
      <c r="D78" s="178" t="s">
        <v>38</v>
      </c>
      <c r="E78" s="179"/>
      <c r="F78" s="180" t="s">
        <v>249</v>
      </c>
      <c r="G78" s="181"/>
      <c r="M78">
        <v>120</v>
      </c>
    </row>
    <row r="79" spans="1:13" ht="20.399999999999999" x14ac:dyDescent="0.35">
      <c r="A79" s="52" t="s">
        <v>39</v>
      </c>
      <c r="B79" s="53" t="s">
        <v>54</v>
      </c>
      <c r="C79" s="54"/>
      <c r="D79" s="54"/>
      <c r="E79" s="182"/>
      <c r="F79" s="182"/>
      <c r="G79" s="183"/>
      <c r="M79">
        <v>119</v>
      </c>
    </row>
    <row r="80" spans="1:13" ht="20.399999999999999" x14ac:dyDescent="0.35">
      <c r="A80" s="52" t="s">
        <v>40</v>
      </c>
      <c r="B80" s="173" t="s">
        <v>250</v>
      </c>
      <c r="C80" s="174"/>
      <c r="D80" s="174"/>
      <c r="E80" s="174"/>
      <c r="F80" s="174"/>
      <c r="G80" s="175"/>
      <c r="M80">
        <v>118</v>
      </c>
    </row>
    <row r="81" spans="1:13" ht="20.399999999999999" x14ac:dyDescent="0.35">
      <c r="A81" s="52" t="s">
        <v>41</v>
      </c>
      <c r="B81" s="173" t="s">
        <v>255</v>
      </c>
      <c r="C81" s="174"/>
      <c r="D81" s="174"/>
      <c r="E81" s="174"/>
      <c r="F81" s="174"/>
      <c r="G81" s="175"/>
      <c r="M81">
        <v>55</v>
      </c>
    </row>
    <row r="82" spans="1:13" ht="20.399999999999999" x14ac:dyDescent="0.35">
      <c r="A82" s="52" t="s">
        <v>42</v>
      </c>
      <c r="B82" s="173" t="s">
        <v>236</v>
      </c>
      <c r="C82" s="174"/>
      <c r="D82" s="174"/>
      <c r="E82" s="174"/>
      <c r="F82" s="174"/>
      <c r="G82" s="175"/>
      <c r="M82">
        <v>85</v>
      </c>
    </row>
    <row r="83" spans="1:13" ht="31.2" x14ac:dyDescent="0.3">
      <c r="A83" s="55" t="s">
        <v>8</v>
      </c>
      <c r="B83" s="55" t="s">
        <v>9</v>
      </c>
      <c r="C83" s="55" t="s">
        <v>10</v>
      </c>
      <c r="D83" s="56" t="s">
        <v>43</v>
      </c>
      <c r="E83" s="55" t="s">
        <v>12</v>
      </c>
      <c r="F83" s="55" t="s">
        <v>13</v>
      </c>
      <c r="G83" s="55" t="s">
        <v>14</v>
      </c>
      <c r="M83">
        <v>56</v>
      </c>
    </row>
    <row r="84" spans="1:13" ht="31.2" x14ac:dyDescent="0.3">
      <c r="A84" s="57">
        <v>18</v>
      </c>
      <c r="B84" s="58" t="s">
        <v>112</v>
      </c>
      <c r="C84" s="58" t="s">
        <v>253</v>
      </c>
      <c r="D84" s="92"/>
      <c r="E84" s="60">
        <v>196.81</v>
      </c>
      <c r="F84" s="60">
        <f>A84*E84</f>
        <v>3542.58</v>
      </c>
      <c r="G84" s="62"/>
      <c r="M84">
        <v>84</v>
      </c>
    </row>
    <row r="85" spans="1:13" ht="31.2" x14ac:dyDescent="0.3">
      <c r="A85" s="63">
        <v>18</v>
      </c>
      <c r="B85" s="64" t="s">
        <v>112</v>
      </c>
      <c r="C85" s="64" t="s">
        <v>254</v>
      </c>
      <c r="D85" s="93"/>
      <c r="E85" s="66">
        <v>150.25</v>
      </c>
      <c r="F85" s="66">
        <f>A85*E85</f>
        <v>2704.5</v>
      </c>
      <c r="G85" s="68"/>
      <c r="M85">
        <v>57</v>
      </c>
    </row>
    <row r="86" spans="1:13" ht="15.6" x14ac:dyDescent="0.3">
      <c r="A86" s="63"/>
      <c r="B86" s="64"/>
      <c r="C86" s="64"/>
      <c r="D86" s="93"/>
      <c r="E86" s="66"/>
      <c r="F86" s="66">
        <f>A86*E86</f>
        <v>0</v>
      </c>
      <c r="G86" s="68"/>
      <c r="M86">
        <v>83</v>
      </c>
    </row>
    <row r="87" spans="1:13" ht="15.6" x14ac:dyDescent="0.3">
      <c r="A87" s="63"/>
      <c r="B87" s="64"/>
      <c r="C87" s="64"/>
      <c r="D87" s="93"/>
      <c r="E87" s="66"/>
      <c r="F87" s="66">
        <f>A87*E87</f>
        <v>0</v>
      </c>
      <c r="G87" s="68"/>
    </row>
    <row r="88" spans="1:13" ht="15.6" x14ac:dyDescent="0.3">
      <c r="A88" s="63"/>
      <c r="B88" s="64"/>
      <c r="C88" s="102"/>
      <c r="D88" s="93"/>
      <c r="E88" s="66"/>
      <c r="F88" s="66">
        <v>0</v>
      </c>
      <c r="G88" s="68"/>
    </row>
    <row r="89" spans="1:13" ht="15.6" x14ac:dyDescent="0.3">
      <c r="A89" s="69"/>
      <c r="B89" s="64"/>
      <c r="C89" s="64"/>
      <c r="D89" s="93"/>
      <c r="E89" s="66"/>
      <c r="F89" s="66">
        <f t="shared" ref="F89:F94" si="1">A89*E89</f>
        <v>0</v>
      </c>
      <c r="G89" s="68"/>
    </row>
    <row r="90" spans="1:13" ht="15.6" x14ac:dyDescent="0.3">
      <c r="A90" s="69"/>
      <c r="B90" s="64"/>
      <c r="C90" s="64"/>
      <c r="D90" s="93"/>
      <c r="E90" s="66"/>
      <c r="F90" s="66">
        <f t="shared" si="1"/>
        <v>0</v>
      </c>
      <c r="G90" s="68"/>
    </row>
    <row r="91" spans="1:13" ht="15.6" x14ac:dyDescent="0.3">
      <c r="A91" s="69"/>
      <c r="B91" s="64"/>
      <c r="C91" s="64"/>
      <c r="D91" s="93"/>
      <c r="E91" s="66"/>
      <c r="F91" s="66">
        <f t="shared" si="1"/>
        <v>0</v>
      </c>
      <c r="G91" s="68"/>
    </row>
    <row r="92" spans="1:13" ht="15.6" x14ac:dyDescent="0.3">
      <c r="A92" s="69"/>
      <c r="B92" s="64"/>
      <c r="C92" s="64"/>
      <c r="D92" s="93"/>
      <c r="E92" s="66"/>
      <c r="F92" s="66">
        <f t="shared" si="1"/>
        <v>0</v>
      </c>
      <c r="G92" s="68"/>
    </row>
    <row r="93" spans="1:13" ht="15.6" x14ac:dyDescent="0.3">
      <c r="A93" s="69"/>
      <c r="B93" s="64"/>
      <c r="C93" s="64"/>
      <c r="D93" s="93"/>
      <c r="E93" s="66"/>
      <c r="F93" s="66">
        <f t="shared" si="1"/>
        <v>0</v>
      </c>
      <c r="G93" s="68"/>
    </row>
    <row r="94" spans="1:13" ht="15.6" x14ac:dyDescent="0.3">
      <c r="A94" s="70"/>
      <c r="B94" s="71"/>
      <c r="C94" s="71"/>
      <c r="D94" s="94"/>
      <c r="E94" s="73"/>
      <c r="F94" s="73">
        <f t="shared" si="1"/>
        <v>0</v>
      </c>
      <c r="G94" s="75"/>
    </row>
    <row r="95" spans="1:13" ht="17.399999999999999" x14ac:dyDescent="0.3">
      <c r="A95" s="76"/>
      <c r="B95" s="77"/>
      <c r="C95" s="164" t="s">
        <v>27</v>
      </c>
      <c r="D95" s="164"/>
      <c r="E95" s="78"/>
      <c r="F95" s="79">
        <f>SUM(F84:F93)</f>
        <v>6247.08</v>
      </c>
      <c r="G95" s="80"/>
    </row>
    <row r="96" spans="1:13" ht="17.399999999999999" x14ac:dyDescent="0.3">
      <c r="A96" s="81"/>
      <c r="B96" s="82"/>
      <c r="C96" s="165" t="s">
        <v>28</v>
      </c>
      <c r="D96" s="165"/>
      <c r="E96" s="83"/>
      <c r="F96" s="84">
        <f>F95*0.16</f>
        <v>999.53280000000007</v>
      </c>
      <c r="G96" s="85"/>
    </row>
    <row r="97" spans="1:7" ht="17.399999999999999" x14ac:dyDescent="0.3">
      <c r="A97" s="81"/>
      <c r="B97" s="82"/>
      <c r="C97" s="166" t="s">
        <v>29</v>
      </c>
      <c r="D97" s="166"/>
      <c r="E97" s="86"/>
      <c r="F97" s="87">
        <f>F95+F96</f>
        <v>7246.6127999999999</v>
      </c>
      <c r="G97" s="88"/>
    </row>
    <row r="98" spans="1:7" ht="15.6" x14ac:dyDescent="0.3">
      <c r="A98" s="167" t="s">
        <v>30</v>
      </c>
      <c r="B98" s="168"/>
      <c r="C98" s="89" t="s">
        <v>31</v>
      </c>
      <c r="D98" s="89"/>
      <c r="E98" s="168" t="s">
        <v>32</v>
      </c>
      <c r="F98" s="168"/>
      <c r="G98" s="169"/>
    </row>
    <row r="99" spans="1:7" ht="15.6" x14ac:dyDescent="0.3">
      <c r="A99" s="170" t="s">
        <v>52</v>
      </c>
      <c r="B99" s="171"/>
      <c r="C99" s="90" t="s">
        <v>33</v>
      </c>
      <c r="D99" s="90"/>
      <c r="E99" s="171" t="s">
        <v>34</v>
      </c>
      <c r="F99" s="171"/>
      <c r="G99" s="172"/>
    </row>
    <row r="100" spans="1:7" x14ac:dyDescent="0.3">
      <c r="A100" s="91"/>
      <c r="B100" s="91"/>
      <c r="C100" s="91"/>
      <c r="D100" s="91"/>
      <c r="E100" s="91"/>
      <c r="F100" s="91"/>
      <c r="G100" s="91"/>
    </row>
    <row r="102" spans="1:7" ht="21" x14ac:dyDescent="0.4">
      <c r="A102" s="49"/>
      <c r="B102" s="184" t="s">
        <v>45</v>
      </c>
      <c r="C102" s="185"/>
      <c r="D102" s="190" t="s">
        <v>36</v>
      </c>
      <c r="E102" s="191"/>
      <c r="F102" s="191"/>
      <c r="G102" s="192"/>
    </row>
    <row r="103" spans="1:7" ht="21" x14ac:dyDescent="0.4">
      <c r="A103" s="50"/>
      <c r="B103" s="186"/>
      <c r="C103" s="187"/>
      <c r="D103" s="193" t="s">
        <v>1</v>
      </c>
      <c r="E103" s="194"/>
      <c r="F103" s="195" t="s">
        <v>242</v>
      </c>
      <c r="G103" s="177"/>
    </row>
    <row r="104" spans="1:7" ht="29.4" customHeight="1" x14ac:dyDescent="0.4">
      <c r="A104" s="51"/>
      <c r="B104" s="188"/>
      <c r="C104" s="189"/>
      <c r="D104" s="178" t="s">
        <v>38</v>
      </c>
      <c r="E104" s="179"/>
      <c r="F104" s="180" t="s">
        <v>251</v>
      </c>
      <c r="G104" s="181"/>
    </row>
    <row r="105" spans="1:7" ht="20.399999999999999" x14ac:dyDescent="0.35">
      <c r="A105" s="52" t="s">
        <v>39</v>
      </c>
      <c r="B105" s="53" t="s">
        <v>49</v>
      </c>
      <c r="C105" s="54"/>
      <c r="D105" s="54"/>
      <c r="E105" s="182"/>
      <c r="F105" s="182"/>
      <c r="G105" s="183"/>
    </row>
    <row r="106" spans="1:7" ht="20.399999999999999" x14ac:dyDescent="0.35">
      <c r="A106" s="52" t="s">
        <v>40</v>
      </c>
      <c r="B106" s="173" t="s">
        <v>245</v>
      </c>
      <c r="C106" s="174"/>
      <c r="D106" s="174"/>
      <c r="E106" s="174"/>
      <c r="F106" s="174"/>
      <c r="G106" s="175"/>
    </row>
    <row r="107" spans="1:7" ht="20.399999999999999" x14ac:dyDescent="0.35">
      <c r="A107" s="52" t="s">
        <v>41</v>
      </c>
      <c r="B107" s="221">
        <v>121120119118</v>
      </c>
      <c r="C107" s="174"/>
      <c r="D107" s="174"/>
      <c r="E107" s="174"/>
      <c r="F107" s="174"/>
      <c r="G107" s="175"/>
    </row>
    <row r="108" spans="1:7" ht="20.399999999999999" x14ac:dyDescent="0.35">
      <c r="A108" s="52" t="s">
        <v>42</v>
      </c>
      <c r="B108" s="173" t="s">
        <v>252</v>
      </c>
      <c r="C108" s="174"/>
      <c r="D108" s="174"/>
      <c r="E108" s="174"/>
      <c r="F108" s="174"/>
      <c r="G108" s="175"/>
    </row>
    <row r="109" spans="1:7" ht="31.2" x14ac:dyDescent="0.3">
      <c r="A109" s="55" t="s">
        <v>8</v>
      </c>
      <c r="B109" s="55" t="s">
        <v>9</v>
      </c>
      <c r="C109" s="55" t="s">
        <v>10</v>
      </c>
      <c r="D109" s="56" t="s">
        <v>43</v>
      </c>
      <c r="E109" s="55" t="s">
        <v>12</v>
      </c>
      <c r="F109" s="55" t="s">
        <v>13</v>
      </c>
      <c r="G109" s="55" t="s">
        <v>14</v>
      </c>
    </row>
    <row r="110" spans="1:7" ht="31.2" x14ac:dyDescent="0.3">
      <c r="A110" s="57">
        <v>18</v>
      </c>
      <c r="B110" s="58" t="s">
        <v>246</v>
      </c>
      <c r="C110" s="58" t="s">
        <v>247</v>
      </c>
      <c r="D110" s="92" t="s">
        <v>248</v>
      </c>
      <c r="E110" s="60">
        <v>219.29</v>
      </c>
      <c r="F110" s="60">
        <f>A110*E110</f>
        <v>3947.22</v>
      </c>
      <c r="G110" s="62"/>
    </row>
    <row r="111" spans="1:7" ht="31.2" x14ac:dyDescent="0.3">
      <c r="A111" s="63">
        <v>9</v>
      </c>
      <c r="B111" s="64" t="s">
        <v>112</v>
      </c>
      <c r="C111" s="64" t="s">
        <v>258</v>
      </c>
      <c r="D111" s="93"/>
      <c r="E111" s="66">
        <v>90.53</v>
      </c>
      <c r="F111" s="66">
        <f>A111*E111</f>
        <v>814.77</v>
      </c>
      <c r="G111" s="68"/>
    </row>
    <row r="112" spans="1:7" ht="31.2" x14ac:dyDescent="0.3">
      <c r="A112" s="63">
        <v>18</v>
      </c>
      <c r="B112" s="64" t="s">
        <v>246</v>
      </c>
      <c r="C112" s="64" t="s">
        <v>256</v>
      </c>
      <c r="D112" s="93" t="s">
        <v>257</v>
      </c>
      <c r="E112" s="66">
        <v>96.82</v>
      </c>
      <c r="F112" s="66">
        <f>A112*E112</f>
        <v>1742.7599999999998</v>
      </c>
      <c r="G112" s="68"/>
    </row>
    <row r="113" spans="1:7" ht="15.6" x14ac:dyDescent="0.3">
      <c r="A113" s="63"/>
      <c r="B113" s="64"/>
      <c r="C113" s="64"/>
      <c r="D113" s="93"/>
      <c r="E113" s="66"/>
      <c r="F113" s="66">
        <f>A113*E113</f>
        <v>0</v>
      </c>
      <c r="G113" s="68"/>
    </row>
    <row r="114" spans="1:7" ht="15.6" x14ac:dyDescent="0.3">
      <c r="A114" s="63"/>
      <c r="B114" s="64"/>
      <c r="C114" s="102"/>
      <c r="D114" s="93"/>
      <c r="E114" s="66"/>
      <c r="F114" s="66">
        <v>0</v>
      </c>
      <c r="G114" s="68"/>
    </row>
    <row r="115" spans="1:7" ht="15.6" x14ac:dyDescent="0.3">
      <c r="A115" s="69"/>
      <c r="B115" s="64"/>
      <c r="C115" s="64"/>
      <c r="D115" s="93"/>
      <c r="E115" s="66"/>
      <c r="F115" s="66">
        <f t="shared" ref="F115:F120" si="2">A115*E115</f>
        <v>0</v>
      </c>
      <c r="G115" s="68"/>
    </row>
    <row r="116" spans="1:7" ht="15.6" x14ac:dyDescent="0.3">
      <c r="A116" s="69"/>
      <c r="B116" s="64"/>
      <c r="C116" s="64"/>
      <c r="D116" s="93"/>
      <c r="E116" s="66"/>
      <c r="F116" s="66">
        <f t="shared" si="2"/>
        <v>0</v>
      </c>
      <c r="G116" s="68"/>
    </row>
    <row r="117" spans="1:7" ht="15.6" x14ac:dyDescent="0.3">
      <c r="A117" s="69"/>
      <c r="B117" s="64"/>
      <c r="C117" s="64"/>
      <c r="D117" s="93"/>
      <c r="E117" s="66"/>
      <c r="F117" s="66">
        <f t="shared" si="2"/>
        <v>0</v>
      </c>
      <c r="G117" s="68"/>
    </row>
    <row r="118" spans="1:7" ht="15.6" x14ac:dyDescent="0.3">
      <c r="A118" s="69"/>
      <c r="B118" s="64"/>
      <c r="C118" s="64"/>
      <c r="D118" s="93"/>
      <c r="E118" s="66"/>
      <c r="F118" s="66">
        <f t="shared" si="2"/>
        <v>0</v>
      </c>
      <c r="G118" s="68"/>
    </row>
    <row r="119" spans="1:7" ht="15.6" x14ac:dyDescent="0.3">
      <c r="A119" s="69"/>
      <c r="B119" s="64"/>
      <c r="C119" s="64"/>
      <c r="D119" s="93"/>
      <c r="E119" s="66"/>
      <c r="F119" s="66">
        <f t="shared" si="2"/>
        <v>0</v>
      </c>
      <c r="G119" s="68"/>
    </row>
    <row r="120" spans="1:7" ht="15.6" x14ac:dyDescent="0.3">
      <c r="A120" s="70"/>
      <c r="B120" s="71"/>
      <c r="C120" s="71"/>
      <c r="D120" s="94"/>
      <c r="E120" s="73"/>
      <c r="F120" s="73">
        <f t="shared" si="2"/>
        <v>0</v>
      </c>
      <c r="G120" s="75"/>
    </row>
    <row r="121" spans="1:7" ht="17.399999999999999" x14ac:dyDescent="0.3">
      <c r="A121" s="76"/>
      <c r="B121" s="77"/>
      <c r="C121" s="164" t="s">
        <v>27</v>
      </c>
      <c r="D121" s="164"/>
      <c r="E121" s="78"/>
      <c r="F121" s="79">
        <f>SUM(F110:F119)</f>
        <v>6504.75</v>
      </c>
      <c r="G121" s="80"/>
    </row>
    <row r="122" spans="1:7" ht="17.399999999999999" x14ac:dyDescent="0.3">
      <c r="A122" s="81"/>
      <c r="B122" s="82"/>
      <c r="C122" s="165" t="s">
        <v>28</v>
      </c>
      <c r="D122" s="165"/>
      <c r="E122" s="83"/>
      <c r="F122" s="84">
        <f>F121*0.16</f>
        <v>1040.76</v>
      </c>
      <c r="G122" s="85"/>
    </row>
    <row r="123" spans="1:7" ht="17.399999999999999" x14ac:dyDescent="0.3">
      <c r="A123" s="81"/>
      <c r="B123" s="82"/>
      <c r="C123" s="166" t="s">
        <v>29</v>
      </c>
      <c r="D123" s="166"/>
      <c r="E123" s="86"/>
      <c r="F123" s="87">
        <f>F121+F122</f>
        <v>7545.51</v>
      </c>
      <c r="G123" s="88"/>
    </row>
    <row r="124" spans="1:7" ht="15.6" x14ac:dyDescent="0.3">
      <c r="A124" s="167" t="s">
        <v>30</v>
      </c>
      <c r="B124" s="168"/>
      <c r="C124" s="89" t="s">
        <v>31</v>
      </c>
      <c r="D124" s="89"/>
      <c r="E124" s="168" t="s">
        <v>32</v>
      </c>
      <c r="F124" s="168"/>
      <c r="G124" s="169"/>
    </row>
    <row r="125" spans="1:7" ht="15.6" x14ac:dyDescent="0.3">
      <c r="A125" s="170" t="s">
        <v>52</v>
      </c>
      <c r="B125" s="171"/>
      <c r="C125" s="90" t="s">
        <v>33</v>
      </c>
      <c r="D125" s="90"/>
      <c r="E125" s="171" t="s">
        <v>34</v>
      </c>
      <c r="F125" s="171"/>
      <c r="G125" s="172"/>
    </row>
    <row r="126" spans="1:7" x14ac:dyDescent="0.3">
      <c r="A126" s="91"/>
      <c r="B126" s="91"/>
      <c r="C126" s="91"/>
      <c r="D126" s="91"/>
      <c r="E126" s="91"/>
      <c r="F126" s="91"/>
      <c r="G126" s="91"/>
    </row>
  </sheetData>
  <mergeCells count="87">
    <mergeCell ref="C122:D122"/>
    <mergeCell ref="C123:D123"/>
    <mergeCell ref="A124:B124"/>
    <mergeCell ref="E124:G124"/>
    <mergeCell ref="A125:B125"/>
    <mergeCell ref="E125:G125"/>
    <mergeCell ref="E105:G105"/>
    <mergeCell ref="B106:G106"/>
    <mergeCell ref="B107:G107"/>
    <mergeCell ref="B108:G108"/>
    <mergeCell ref="C121:D121"/>
    <mergeCell ref="B102:C104"/>
    <mergeCell ref="D102:G102"/>
    <mergeCell ref="D103:E103"/>
    <mergeCell ref="F103:G103"/>
    <mergeCell ref="D104:E104"/>
    <mergeCell ref="F104:G104"/>
    <mergeCell ref="C96:D96"/>
    <mergeCell ref="C97:D97"/>
    <mergeCell ref="A98:B98"/>
    <mergeCell ref="E98:G98"/>
    <mergeCell ref="A99:B99"/>
    <mergeCell ref="E99:G99"/>
    <mergeCell ref="E79:G79"/>
    <mergeCell ref="B80:G80"/>
    <mergeCell ref="B81:G81"/>
    <mergeCell ref="B82:G82"/>
    <mergeCell ref="C95:D95"/>
    <mergeCell ref="B76:C78"/>
    <mergeCell ref="D76:G76"/>
    <mergeCell ref="D77:E77"/>
    <mergeCell ref="F77:G77"/>
    <mergeCell ref="D78:E78"/>
    <mergeCell ref="F78:G78"/>
    <mergeCell ref="C69:D69"/>
    <mergeCell ref="C70:D70"/>
    <mergeCell ref="A71:B71"/>
    <mergeCell ref="E71:G71"/>
    <mergeCell ref="A72:B72"/>
    <mergeCell ref="E72:G72"/>
    <mergeCell ref="E52:G52"/>
    <mergeCell ref="B53:G53"/>
    <mergeCell ref="B54:G54"/>
    <mergeCell ref="B55:G55"/>
    <mergeCell ref="C68:D68"/>
    <mergeCell ref="B49:C51"/>
    <mergeCell ref="D49:G49"/>
    <mergeCell ref="D50:E50"/>
    <mergeCell ref="F50:G50"/>
    <mergeCell ref="D51:E51"/>
    <mergeCell ref="F51:G51"/>
    <mergeCell ref="C19:D19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8:D18"/>
    <mergeCell ref="B11:D13"/>
    <mergeCell ref="C20:D20"/>
    <mergeCell ref="A21:B21"/>
    <mergeCell ref="E21:G21"/>
    <mergeCell ref="A22:B22"/>
    <mergeCell ref="E22:G22"/>
    <mergeCell ref="B25:C27"/>
    <mergeCell ref="D25:G25"/>
    <mergeCell ref="D26:E26"/>
    <mergeCell ref="F26:G26"/>
    <mergeCell ref="D27:E27"/>
    <mergeCell ref="F27:G27"/>
    <mergeCell ref="E28:G28"/>
    <mergeCell ref="B29:G29"/>
    <mergeCell ref="B30:G30"/>
    <mergeCell ref="B31:G31"/>
    <mergeCell ref="B35:D37"/>
    <mergeCell ref="A46:B46"/>
    <mergeCell ref="E46:G46"/>
    <mergeCell ref="C42:D42"/>
    <mergeCell ref="C43:D43"/>
    <mergeCell ref="C44:D44"/>
    <mergeCell ref="A45:B45"/>
    <mergeCell ref="E45:G45"/>
  </mergeCells>
  <dataValidations disablePrompts="1"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1 A45 A71 A98 A124" xr:uid="{B9C9A70D-EB48-4CF6-80EC-DDD70074A9B4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38" fitToHeight="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D61F2-BE29-4B5E-AAFB-28F0CFE1C5FA}">
  <sheetPr>
    <pageSetUpPr fitToPage="1"/>
  </sheetPr>
  <dimension ref="A1:I26"/>
  <sheetViews>
    <sheetView zoomScale="70" zoomScaleNormal="70" workbookViewId="0">
      <selection activeCell="D1" sqref="A1:G11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228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229</v>
      </c>
      <c r="G3" s="181"/>
      <c r="H3" s="6"/>
      <c r="I3" s="6"/>
    </row>
    <row r="4" spans="1:9" ht="21" x14ac:dyDescent="0.4">
      <c r="A4" s="52" t="s">
        <v>39</v>
      </c>
      <c r="B4" s="53" t="s">
        <v>232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227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231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50</v>
      </c>
      <c r="B9" s="58" t="s">
        <v>112</v>
      </c>
      <c r="C9" s="58" t="s">
        <v>230</v>
      </c>
      <c r="D9" s="92">
        <v>306640</v>
      </c>
      <c r="E9" s="60">
        <v>123.98</v>
      </c>
      <c r="F9" s="60">
        <f t="shared" ref="F9:F19" si="0">A9*E9</f>
        <v>6199</v>
      </c>
      <c r="G9" s="62"/>
    </row>
    <row r="10" spans="1:9" ht="48" customHeight="1" x14ac:dyDescent="0.3">
      <c r="A10" s="63"/>
      <c r="B10" s="64"/>
      <c r="C10" s="64"/>
      <c r="D10" s="93"/>
      <c r="E10" s="66"/>
      <c r="F10" s="66">
        <f t="shared" si="0"/>
        <v>0</v>
      </c>
      <c r="G10" s="68"/>
    </row>
    <row r="11" spans="1:9" ht="48" customHeight="1" x14ac:dyDescent="0.3">
      <c r="A11" s="63"/>
      <c r="B11" s="64"/>
      <c r="C11" s="64"/>
      <c r="D11" s="93"/>
      <c r="E11" s="66"/>
      <c r="F11" s="66">
        <f t="shared" si="0"/>
        <v>0</v>
      </c>
      <c r="G11" s="68"/>
    </row>
    <row r="12" spans="1:9" ht="48" customHeight="1" x14ac:dyDescent="0.3">
      <c r="A12" s="63"/>
      <c r="B12" s="64"/>
      <c r="C12" s="64"/>
      <c r="D12" s="93"/>
      <c r="E12" s="66"/>
      <c r="F12" s="66">
        <f t="shared" si="0"/>
        <v>0</v>
      </c>
      <c r="G12" s="68"/>
    </row>
    <row r="13" spans="1:9" ht="48" customHeight="1" x14ac:dyDescent="0.3">
      <c r="A13" s="63"/>
      <c r="B13" s="64"/>
      <c r="C13" s="102"/>
      <c r="D13" s="93"/>
      <c r="E13" s="66"/>
      <c r="F13" s="66">
        <f t="shared" si="0"/>
        <v>0</v>
      </c>
      <c r="G13" s="68"/>
    </row>
    <row r="14" spans="1:9" ht="48" customHeight="1" x14ac:dyDescent="0.3">
      <c r="A14" s="69"/>
      <c r="B14" s="64"/>
      <c r="C14" s="64"/>
      <c r="D14" s="93"/>
      <c r="E14" s="66"/>
      <c r="F14" s="66">
        <f t="shared" si="0"/>
        <v>0</v>
      </c>
      <c r="G14" s="68"/>
    </row>
    <row r="15" spans="1:9" ht="48" customHeight="1" x14ac:dyDescent="0.3">
      <c r="A15" s="69"/>
      <c r="B15" s="64"/>
      <c r="C15" s="64"/>
      <c r="D15" s="93"/>
      <c r="E15" s="66"/>
      <c r="F15" s="66">
        <f t="shared" si="0"/>
        <v>0</v>
      </c>
      <c r="G15" s="68"/>
    </row>
    <row r="16" spans="1:9" ht="48" customHeight="1" x14ac:dyDescent="0.3">
      <c r="A16" s="69"/>
      <c r="B16" s="64"/>
      <c r="C16" s="64"/>
      <c r="D16" s="93"/>
      <c r="E16" s="66"/>
      <c r="F16" s="66">
        <f t="shared" si="0"/>
        <v>0</v>
      </c>
      <c r="G16" s="68"/>
    </row>
    <row r="17" spans="1:7" ht="48" customHeight="1" x14ac:dyDescent="0.3">
      <c r="A17" s="69"/>
      <c r="B17" s="64"/>
      <c r="C17" s="64"/>
      <c r="D17" s="93"/>
      <c r="E17" s="66"/>
      <c r="F17" s="66">
        <f t="shared" si="0"/>
        <v>0</v>
      </c>
      <c r="G17" s="68"/>
    </row>
    <row r="18" spans="1:7" ht="30" customHeight="1" x14ac:dyDescent="0.3">
      <c r="A18" s="69"/>
      <c r="B18" s="64"/>
      <c r="C18" s="64"/>
      <c r="D18" s="93"/>
      <c r="E18" s="66"/>
      <c r="F18" s="66">
        <f t="shared" si="0"/>
        <v>0</v>
      </c>
      <c r="G18" s="68"/>
    </row>
    <row r="19" spans="1:7" ht="30" customHeight="1" x14ac:dyDescent="0.3">
      <c r="A19" s="70"/>
      <c r="B19" s="71"/>
      <c r="C19" s="71"/>
      <c r="D19" s="94"/>
      <c r="E19" s="73"/>
      <c r="F19" s="73">
        <f t="shared" si="0"/>
        <v>0</v>
      </c>
      <c r="G19" s="75"/>
    </row>
    <row r="20" spans="1:7" ht="30" customHeight="1" x14ac:dyDescent="0.3">
      <c r="A20" s="76"/>
      <c r="B20" s="77"/>
      <c r="C20" s="164" t="s">
        <v>27</v>
      </c>
      <c r="D20" s="164"/>
      <c r="E20" s="78"/>
      <c r="F20" s="79">
        <f>SUM(F9:F18)</f>
        <v>6199</v>
      </c>
      <c r="G20" s="80"/>
    </row>
    <row r="21" spans="1:7" ht="30" customHeight="1" x14ac:dyDescent="0.3">
      <c r="A21" s="81"/>
      <c r="B21" s="82"/>
      <c r="C21" s="165" t="s">
        <v>28</v>
      </c>
      <c r="D21" s="165"/>
      <c r="E21" s="83"/>
      <c r="F21" s="84">
        <f>F20*0.16</f>
        <v>991.84</v>
      </c>
      <c r="G21" s="85"/>
    </row>
    <row r="22" spans="1:7" ht="30" customHeight="1" x14ac:dyDescent="0.3">
      <c r="A22" s="81"/>
      <c r="B22" s="82"/>
      <c r="C22" s="166" t="s">
        <v>29</v>
      </c>
      <c r="D22" s="166"/>
      <c r="E22" s="86"/>
      <c r="F22" s="87">
        <f>F20+F21</f>
        <v>7190.84</v>
      </c>
      <c r="G22" s="88"/>
    </row>
    <row r="23" spans="1:7" ht="15.6" x14ac:dyDescent="0.3">
      <c r="A23" s="167" t="s">
        <v>30</v>
      </c>
      <c r="B23" s="168"/>
      <c r="C23" s="89" t="s">
        <v>31</v>
      </c>
      <c r="D23" s="89"/>
      <c r="E23" s="168" t="s">
        <v>32</v>
      </c>
      <c r="F23" s="168"/>
      <c r="G23" s="169"/>
    </row>
    <row r="24" spans="1:7" ht="15.6" x14ac:dyDescent="0.3">
      <c r="A24" s="170" t="s">
        <v>52</v>
      </c>
      <c r="B24" s="171"/>
      <c r="C24" s="90" t="s">
        <v>33</v>
      </c>
      <c r="D24" s="90"/>
      <c r="E24" s="171" t="s">
        <v>34</v>
      </c>
      <c r="F24" s="171"/>
      <c r="G24" s="172"/>
    </row>
    <row r="25" spans="1:7" x14ac:dyDescent="0.3">
      <c r="A25" s="91"/>
      <c r="B25" s="91"/>
      <c r="C25" s="91"/>
      <c r="D25" s="91"/>
      <c r="E25" s="91"/>
      <c r="F25" s="91"/>
      <c r="G25" s="91"/>
    </row>
    <row r="26" spans="1:7" x14ac:dyDescent="0.3">
      <c r="A26" s="91"/>
      <c r="B26" s="91"/>
      <c r="C26" s="91"/>
      <c r="D26" s="91"/>
      <c r="E26" s="91"/>
      <c r="F26" s="91"/>
      <c r="G26" s="91"/>
    </row>
  </sheetData>
  <mergeCells count="17">
    <mergeCell ref="C22:D22"/>
    <mergeCell ref="A23:B23"/>
    <mergeCell ref="E23:G23"/>
    <mergeCell ref="A24:B24"/>
    <mergeCell ref="E24:G24"/>
    <mergeCell ref="C21:D21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20:D20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7 A23" xr:uid="{B42A78A6-87DB-4C02-9417-4534AE97F78D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45F0-79FF-4B94-9D45-B0ED3D974C17}">
  <sheetPr>
    <pageSetUpPr fitToPage="1"/>
  </sheetPr>
  <dimension ref="A1:I26"/>
  <sheetViews>
    <sheetView zoomScale="70" zoomScaleNormal="70" workbookViewId="0">
      <selection activeCell="D1" sqref="A1:G26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228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229</v>
      </c>
      <c r="G3" s="181"/>
      <c r="H3" s="6"/>
      <c r="I3" s="6"/>
    </row>
    <row r="4" spans="1:9" ht="21" x14ac:dyDescent="0.4">
      <c r="A4" s="52" t="s">
        <v>39</v>
      </c>
      <c r="B4" s="53" t="s">
        <v>54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227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50</v>
      </c>
      <c r="B9" s="58" t="s">
        <v>112</v>
      </c>
      <c r="C9" s="58" t="s">
        <v>230</v>
      </c>
      <c r="D9" s="92">
        <v>306640</v>
      </c>
      <c r="E9" s="60">
        <v>123.98</v>
      </c>
      <c r="F9" s="60">
        <f t="shared" ref="F9:F19" si="0">A9*E9</f>
        <v>6199</v>
      </c>
      <c r="G9" s="62"/>
    </row>
    <row r="10" spans="1:9" ht="48" customHeight="1" x14ac:dyDescent="0.3">
      <c r="A10" s="63"/>
      <c r="B10" s="64"/>
      <c r="C10" s="64"/>
      <c r="D10" s="93"/>
      <c r="E10" s="66"/>
      <c r="F10" s="66">
        <f t="shared" si="0"/>
        <v>0</v>
      </c>
      <c r="G10" s="68"/>
    </row>
    <row r="11" spans="1:9" ht="48" customHeight="1" x14ac:dyDescent="0.3">
      <c r="A11" s="63"/>
      <c r="B11" s="64"/>
      <c r="C11" s="64"/>
      <c r="D11" s="93"/>
      <c r="E11" s="66"/>
      <c r="F11" s="66">
        <f t="shared" si="0"/>
        <v>0</v>
      </c>
      <c r="G11" s="68"/>
    </row>
    <row r="12" spans="1:9" ht="48" customHeight="1" x14ac:dyDescent="0.3">
      <c r="A12" s="63"/>
      <c r="B12" s="64"/>
      <c r="C12" s="64"/>
      <c r="D12" s="93"/>
      <c r="E12" s="66"/>
      <c r="F12" s="66">
        <f t="shared" si="0"/>
        <v>0</v>
      </c>
      <c r="G12" s="68"/>
    </row>
    <row r="13" spans="1:9" ht="48" customHeight="1" x14ac:dyDescent="0.3">
      <c r="A13" s="63"/>
      <c r="B13" s="64"/>
      <c r="C13" s="102"/>
      <c r="D13" s="93"/>
      <c r="E13" s="66"/>
      <c r="F13" s="66">
        <f t="shared" si="0"/>
        <v>0</v>
      </c>
      <c r="G13" s="68"/>
    </row>
    <row r="14" spans="1:9" ht="48" customHeight="1" x14ac:dyDescent="0.3">
      <c r="A14" s="69"/>
      <c r="B14" s="64"/>
      <c r="C14" s="64"/>
      <c r="D14" s="93"/>
      <c r="E14" s="66"/>
      <c r="F14" s="66">
        <f t="shared" si="0"/>
        <v>0</v>
      </c>
      <c r="G14" s="68"/>
    </row>
    <row r="15" spans="1:9" ht="48" customHeight="1" x14ac:dyDescent="0.3">
      <c r="A15" s="69"/>
      <c r="B15" s="64"/>
      <c r="C15" s="64"/>
      <c r="D15" s="93"/>
      <c r="E15" s="66"/>
      <c r="F15" s="66">
        <f t="shared" si="0"/>
        <v>0</v>
      </c>
      <c r="G15" s="68"/>
    </row>
    <row r="16" spans="1:9" ht="48" customHeight="1" x14ac:dyDescent="0.3">
      <c r="A16" s="69"/>
      <c r="B16" s="64"/>
      <c r="C16" s="64"/>
      <c r="D16" s="93"/>
      <c r="E16" s="66"/>
      <c r="F16" s="66">
        <f t="shared" si="0"/>
        <v>0</v>
      </c>
      <c r="G16" s="68"/>
    </row>
    <row r="17" spans="1:7" ht="48" customHeight="1" x14ac:dyDescent="0.3">
      <c r="A17" s="69"/>
      <c r="B17" s="64"/>
      <c r="C17" s="64"/>
      <c r="D17" s="93"/>
      <c r="E17" s="66"/>
      <c r="F17" s="66">
        <f t="shared" si="0"/>
        <v>0</v>
      </c>
      <c r="G17" s="68"/>
    </row>
    <row r="18" spans="1:7" ht="30" customHeight="1" x14ac:dyDescent="0.3">
      <c r="A18" s="69"/>
      <c r="B18" s="64"/>
      <c r="C18" s="64"/>
      <c r="D18" s="93"/>
      <c r="E18" s="66"/>
      <c r="F18" s="66">
        <f t="shared" si="0"/>
        <v>0</v>
      </c>
      <c r="G18" s="68"/>
    </row>
    <row r="19" spans="1:7" ht="30" customHeight="1" x14ac:dyDescent="0.3">
      <c r="A19" s="70"/>
      <c r="B19" s="71"/>
      <c r="C19" s="71"/>
      <c r="D19" s="94"/>
      <c r="E19" s="73"/>
      <c r="F19" s="73">
        <f t="shared" si="0"/>
        <v>0</v>
      </c>
      <c r="G19" s="75"/>
    </row>
    <row r="20" spans="1:7" ht="30" customHeight="1" x14ac:dyDescent="0.3">
      <c r="A20" s="76"/>
      <c r="B20" s="77"/>
      <c r="C20" s="164" t="s">
        <v>27</v>
      </c>
      <c r="D20" s="164"/>
      <c r="E20" s="78"/>
      <c r="F20" s="79">
        <f>SUM(F9:F18)</f>
        <v>6199</v>
      </c>
      <c r="G20" s="80"/>
    </row>
    <row r="21" spans="1:7" ht="30" customHeight="1" x14ac:dyDescent="0.3">
      <c r="A21" s="81"/>
      <c r="B21" s="82"/>
      <c r="C21" s="165" t="s">
        <v>28</v>
      </c>
      <c r="D21" s="165"/>
      <c r="E21" s="83"/>
      <c r="F21" s="84">
        <f>F20*0.16</f>
        <v>991.84</v>
      </c>
      <c r="G21" s="85"/>
    </row>
    <row r="22" spans="1:7" ht="30" customHeight="1" x14ac:dyDescent="0.3">
      <c r="A22" s="81"/>
      <c r="B22" s="82"/>
      <c r="C22" s="166" t="s">
        <v>29</v>
      </c>
      <c r="D22" s="166"/>
      <c r="E22" s="86"/>
      <c r="F22" s="87">
        <f>F20+F21</f>
        <v>7190.84</v>
      </c>
      <c r="G22" s="88"/>
    </row>
    <row r="23" spans="1:7" ht="15.6" x14ac:dyDescent="0.3">
      <c r="A23" s="167" t="s">
        <v>30</v>
      </c>
      <c r="B23" s="168"/>
      <c r="C23" s="89" t="s">
        <v>31</v>
      </c>
      <c r="D23" s="89"/>
      <c r="E23" s="168" t="s">
        <v>32</v>
      </c>
      <c r="F23" s="168"/>
      <c r="G23" s="169"/>
    </row>
    <row r="24" spans="1:7" ht="15.6" x14ac:dyDescent="0.3">
      <c r="A24" s="170" t="s">
        <v>52</v>
      </c>
      <c r="B24" s="171"/>
      <c r="C24" s="90" t="s">
        <v>33</v>
      </c>
      <c r="D24" s="90"/>
      <c r="E24" s="171" t="s">
        <v>34</v>
      </c>
      <c r="F24" s="171"/>
      <c r="G24" s="172"/>
    </row>
    <row r="25" spans="1:7" x14ac:dyDescent="0.3">
      <c r="A25" s="91"/>
      <c r="B25" s="91"/>
      <c r="C25" s="91"/>
      <c r="D25" s="91"/>
      <c r="E25" s="91"/>
      <c r="F25" s="91"/>
      <c r="G25" s="91"/>
    </row>
    <row r="26" spans="1:7" x14ac:dyDescent="0.3">
      <c r="A26" s="91"/>
      <c r="B26" s="91"/>
      <c r="C26" s="91"/>
      <c r="D26" s="91"/>
      <c r="E26" s="91"/>
      <c r="F26" s="91"/>
      <c r="G26" s="91"/>
    </row>
  </sheetData>
  <mergeCells count="17">
    <mergeCell ref="C21:D21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20:D20"/>
    <mergeCell ref="C22:D22"/>
    <mergeCell ref="A23:B23"/>
    <mergeCell ref="E23:G23"/>
    <mergeCell ref="A24:B24"/>
    <mergeCell ref="E24:G24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7 A23" xr:uid="{4756DB12-BC30-44DE-9E01-E609E957BE10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2AD09-157E-4F0D-9FB2-9CE77500AEC1}">
  <sheetPr>
    <pageSetUpPr fitToPage="1"/>
  </sheetPr>
  <dimension ref="A1:I52"/>
  <sheetViews>
    <sheetView zoomScale="70" zoomScaleNormal="70" workbookViewId="0">
      <selection activeCell="D28" sqref="A28:G52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219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220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221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222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4</v>
      </c>
      <c r="B9" s="58" t="s">
        <v>15</v>
      </c>
      <c r="C9" s="58" t="s">
        <v>223</v>
      </c>
      <c r="D9" s="92"/>
      <c r="E9" s="60">
        <v>9491</v>
      </c>
      <c r="F9" s="60">
        <f t="shared" ref="F9:F19" si="0">A9*E9</f>
        <v>37964</v>
      </c>
      <c r="G9" s="62"/>
    </row>
    <row r="10" spans="1:9" ht="48" customHeight="1" x14ac:dyDescent="0.3">
      <c r="A10" s="63">
        <v>4</v>
      </c>
      <c r="B10" s="64" t="s">
        <v>15</v>
      </c>
      <c r="C10" s="64" t="s">
        <v>224</v>
      </c>
      <c r="D10" s="93"/>
      <c r="E10" s="66"/>
      <c r="F10" s="66">
        <f t="shared" si="0"/>
        <v>0</v>
      </c>
      <c r="G10" s="68"/>
    </row>
    <row r="11" spans="1:9" ht="48" customHeight="1" x14ac:dyDescent="0.3">
      <c r="A11" s="63">
        <v>4</v>
      </c>
      <c r="B11" s="64" t="s">
        <v>15</v>
      </c>
      <c r="C11" s="64" t="s">
        <v>225</v>
      </c>
      <c r="D11" s="93"/>
      <c r="E11" s="66"/>
      <c r="F11" s="66">
        <f t="shared" si="0"/>
        <v>0</v>
      </c>
      <c r="G11" s="68"/>
    </row>
    <row r="12" spans="1:9" ht="48" customHeight="1" x14ac:dyDescent="0.3">
      <c r="A12" s="63"/>
      <c r="B12" s="64"/>
      <c r="C12" s="64"/>
      <c r="D12" s="93"/>
      <c r="E12" s="66"/>
      <c r="F12" s="66">
        <f t="shared" si="0"/>
        <v>0</v>
      </c>
      <c r="G12" s="68"/>
    </row>
    <row r="13" spans="1:9" ht="48" customHeight="1" x14ac:dyDescent="0.3">
      <c r="A13" s="63"/>
      <c r="B13" s="64"/>
      <c r="C13" s="99" t="s">
        <v>226</v>
      </c>
      <c r="D13" s="100"/>
      <c r="E13" s="101"/>
      <c r="F13" s="101">
        <v>-8295</v>
      </c>
      <c r="G13" s="68"/>
    </row>
    <row r="14" spans="1:9" ht="48" customHeight="1" x14ac:dyDescent="0.3">
      <c r="A14" s="69"/>
      <c r="B14" s="64"/>
      <c r="C14" s="64"/>
      <c r="D14" s="93"/>
      <c r="E14" s="66"/>
      <c r="F14" s="66">
        <f t="shared" si="0"/>
        <v>0</v>
      </c>
      <c r="G14" s="68"/>
    </row>
    <row r="15" spans="1:9" ht="48" customHeight="1" x14ac:dyDescent="0.3">
      <c r="A15" s="69"/>
      <c r="B15" s="64"/>
      <c r="C15" s="64"/>
      <c r="D15" s="93"/>
      <c r="E15" s="66"/>
      <c r="F15" s="66">
        <f t="shared" si="0"/>
        <v>0</v>
      </c>
      <c r="G15" s="68"/>
    </row>
    <row r="16" spans="1:9" ht="48" customHeight="1" x14ac:dyDescent="0.3">
      <c r="A16" s="69"/>
      <c r="B16" s="64"/>
      <c r="C16" s="64"/>
      <c r="D16" s="93"/>
      <c r="E16" s="66"/>
      <c r="F16" s="66">
        <f t="shared" si="0"/>
        <v>0</v>
      </c>
      <c r="G16" s="68"/>
    </row>
    <row r="17" spans="1:7" ht="48" customHeight="1" x14ac:dyDescent="0.3">
      <c r="A17" s="69"/>
      <c r="B17" s="64"/>
      <c r="C17" s="64"/>
      <c r="D17" s="93"/>
      <c r="E17" s="66"/>
      <c r="F17" s="66">
        <f t="shared" si="0"/>
        <v>0</v>
      </c>
      <c r="G17" s="68"/>
    </row>
    <row r="18" spans="1:7" ht="30" customHeight="1" x14ac:dyDescent="0.3">
      <c r="A18" s="69"/>
      <c r="B18" s="64"/>
      <c r="C18" s="64"/>
      <c r="D18" s="93"/>
      <c r="E18" s="66"/>
      <c r="F18" s="66">
        <f t="shared" si="0"/>
        <v>0</v>
      </c>
      <c r="G18" s="68"/>
    </row>
    <row r="19" spans="1:7" ht="30" customHeight="1" x14ac:dyDescent="0.3">
      <c r="A19" s="70"/>
      <c r="B19" s="71"/>
      <c r="C19" s="71"/>
      <c r="D19" s="94"/>
      <c r="E19" s="73"/>
      <c r="F19" s="73">
        <f t="shared" si="0"/>
        <v>0</v>
      </c>
      <c r="G19" s="75"/>
    </row>
    <row r="20" spans="1:7" ht="30" customHeight="1" x14ac:dyDescent="0.3">
      <c r="A20" s="76"/>
      <c r="B20" s="77"/>
      <c r="C20" s="164" t="s">
        <v>27</v>
      </c>
      <c r="D20" s="164"/>
      <c r="E20" s="78"/>
      <c r="F20" s="79">
        <f>SUM(F9:F18)</f>
        <v>29669</v>
      </c>
      <c r="G20" s="80"/>
    </row>
    <row r="21" spans="1:7" ht="30" customHeight="1" x14ac:dyDescent="0.3">
      <c r="A21" s="81"/>
      <c r="B21" s="82"/>
      <c r="C21" s="165" t="s">
        <v>28</v>
      </c>
      <c r="D21" s="165"/>
      <c r="E21" s="83"/>
      <c r="F21" s="84">
        <f>F20*0.16</f>
        <v>4747.04</v>
      </c>
      <c r="G21" s="85"/>
    </row>
    <row r="22" spans="1:7" ht="30" customHeight="1" x14ac:dyDescent="0.3">
      <c r="A22" s="81"/>
      <c r="B22" s="82"/>
      <c r="C22" s="166" t="s">
        <v>29</v>
      </c>
      <c r="D22" s="166"/>
      <c r="E22" s="86"/>
      <c r="F22" s="87">
        <f>F20+F21</f>
        <v>34416.04</v>
      </c>
      <c r="G22" s="88"/>
    </row>
    <row r="23" spans="1:7" ht="15.6" x14ac:dyDescent="0.3">
      <c r="A23" s="167" t="s">
        <v>30</v>
      </c>
      <c r="B23" s="168"/>
      <c r="C23" s="89" t="s">
        <v>31</v>
      </c>
      <c r="D23" s="89"/>
      <c r="E23" s="168" t="s">
        <v>32</v>
      </c>
      <c r="F23" s="168"/>
      <c r="G23" s="169"/>
    </row>
    <row r="24" spans="1:7" ht="15.6" x14ac:dyDescent="0.3">
      <c r="A24" s="170" t="s">
        <v>52</v>
      </c>
      <c r="B24" s="171"/>
      <c r="C24" s="90" t="s">
        <v>33</v>
      </c>
      <c r="D24" s="90"/>
      <c r="E24" s="171" t="s">
        <v>34</v>
      </c>
      <c r="F24" s="171"/>
      <c r="G24" s="172"/>
    </row>
    <row r="25" spans="1:7" x14ac:dyDescent="0.3">
      <c r="A25" s="91"/>
      <c r="B25" s="91"/>
      <c r="C25" s="91"/>
      <c r="D25" s="91"/>
      <c r="E25" s="91"/>
      <c r="F25" s="91"/>
      <c r="G25" s="91"/>
    </row>
    <row r="26" spans="1:7" x14ac:dyDescent="0.3">
      <c r="A26" s="91"/>
      <c r="B26" s="91"/>
      <c r="C26" s="91"/>
      <c r="D26" s="91"/>
      <c r="E26" s="91"/>
      <c r="F26" s="91"/>
      <c r="G26" s="91"/>
    </row>
    <row r="28" spans="1:7" ht="21" x14ac:dyDescent="0.4">
      <c r="A28" s="49"/>
      <c r="B28" s="184" t="s">
        <v>45</v>
      </c>
      <c r="C28" s="185"/>
      <c r="D28" s="190" t="s">
        <v>36</v>
      </c>
      <c r="E28" s="191"/>
      <c r="F28" s="191"/>
      <c r="G28" s="192"/>
    </row>
    <row r="29" spans="1:7" ht="21" x14ac:dyDescent="0.4">
      <c r="A29" s="50"/>
      <c r="B29" s="186"/>
      <c r="C29" s="187"/>
      <c r="D29" s="193" t="s">
        <v>1</v>
      </c>
      <c r="E29" s="194"/>
      <c r="F29" s="195" t="s">
        <v>240</v>
      </c>
      <c r="G29" s="177"/>
    </row>
    <row r="30" spans="1:7" ht="33.6" customHeight="1" x14ac:dyDescent="0.4">
      <c r="A30" s="51"/>
      <c r="B30" s="188"/>
      <c r="C30" s="189"/>
      <c r="D30" s="178" t="s">
        <v>38</v>
      </c>
      <c r="E30" s="179"/>
      <c r="F30" s="180" t="s">
        <v>220</v>
      </c>
      <c r="G30" s="181"/>
    </row>
    <row r="31" spans="1:7" ht="20.399999999999999" x14ac:dyDescent="0.35">
      <c r="A31" s="52" t="s">
        <v>39</v>
      </c>
      <c r="B31" s="53" t="s">
        <v>49</v>
      </c>
      <c r="C31" s="54"/>
      <c r="D31" s="54"/>
      <c r="E31" s="182"/>
      <c r="F31" s="182"/>
      <c r="G31" s="183"/>
    </row>
    <row r="32" spans="1:7" ht="20.399999999999999" x14ac:dyDescent="0.35">
      <c r="A32" s="52" t="s">
        <v>40</v>
      </c>
      <c r="B32" s="173" t="s">
        <v>221</v>
      </c>
      <c r="C32" s="174"/>
      <c r="D32" s="174"/>
      <c r="E32" s="174"/>
      <c r="F32" s="174"/>
      <c r="G32" s="175"/>
    </row>
    <row r="33" spans="1:7" ht="20.399999999999999" x14ac:dyDescent="0.35">
      <c r="A33" s="52" t="s">
        <v>41</v>
      </c>
      <c r="B33" s="173"/>
      <c r="C33" s="174"/>
      <c r="D33" s="174"/>
      <c r="E33" s="174"/>
      <c r="F33" s="174"/>
      <c r="G33" s="175"/>
    </row>
    <row r="34" spans="1:7" ht="20.399999999999999" x14ac:dyDescent="0.35">
      <c r="A34" s="52" t="s">
        <v>42</v>
      </c>
      <c r="B34" s="173" t="s">
        <v>222</v>
      </c>
      <c r="C34" s="174"/>
      <c r="D34" s="174"/>
      <c r="E34" s="174"/>
      <c r="F34" s="174"/>
      <c r="G34" s="175"/>
    </row>
    <row r="35" spans="1:7" ht="31.2" x14ac:dyDescent="0.3">
      <c r="A35" s="55" t="s">
        <v>8</v>
      </c>
      <c r="B35" s="55" t="s">
        <v>9</v>
      </c>
      <c r="C35" s="55" t="s">
        <v>10</v>
      </c>
      <c r="D35" s="56" t="s">
        <v>43</v>
      </c>
      <c r="E35" s="55" t="s">
        <v>12</v>
      </c>
      <c r="F35" s="55" t="s">
        <v>13</v>
      </c>
      <c r="G35" s="55" t="s">
        <v>14</v>
      </c>
    </row>
    <row r="36" spans="1:7" ht="15.6" x14ac:dyDescent="0.3">
      <c r="A36" s="57">
        <v>4</v>
      </c>
      <c r="B36" s="58" t="s">
        <v>15</v>
      </c>
      <c r="C36" s="58" t="s">
        <v>223</v>
      </c>
      <c r="D36" s="92"/>
      <c r="E36" s="60">
        <v>9491</v>
      </c>
      <c r="F36" s="60">
        <f>A36*E36</f>
        <v>37964</v>
      </c>
      <c r="G36" s="62"/>
    </row>
    <row r="37" spans="1:7" ht="46.8" x14ac:dyDescent="0.3">
      <c r="A37" s="63">
        <v>4</v>
      </c>
      <c r="B37" s="64" t="s">
        <v>15</v>
      </c>
      <c r="C37" s="64" t="s">
        <v>224</v>
      </c>
      <c r="D37" s="93"/>
      <c r="E37" s="66"/>
      <c r="F37" s="66">
        <f>A37*E37</f>
        <v>0</v>
      </c>
      <c r="G37" s="68"/>
    </row>
    <row r="38" spans="1:7" ht="31.2" x14ac:dyDescent="0.3">
      <c r="A38" s="63">
        <v>4</v>
      </c>
      <c r="B38" s="64" t="s">
        <v>15</v>
      </c>
      <c r="C38" s="64" t="s">
        <v>225</v>
      </c>
      <c r="D38" s="93"/>
      <c r="E38" s="66"/>
      <c r="F38" s="66">
        <f>A38*E38</f>
        <v>0</v>
      </c>
      <c r="G38" s="68"/>
    </row>
    <row r="39" spans="1:7" ht="15.6" x14ac:dyDescent="0.3">
      <c r="A39" s="63"/>
      <c r="B39" s="64"/>
      <c r="C39" s="64"/>
      <c r="D39" s="93"/>
      <c r="E39" s="66"/>
      <c r="F39" s="66">
        <f>A39*E39</f>
        <v>0</v>
      </c>
      <c r="G39" s="68"/>
    </row>
    <row r="40" spans="1:7" ht="15.6" x14ac:dyDescent="0.3">
      <c r="A40" s="63"/>
      <c r="B40" s="64"/>
      <c r="C40" s="102"/>
      <c r="D40" s="93"/>
      <c r="E40" s="66"/>
      <c r="F40" s="66">
        <v>0</v>
      </c>
      <c r="G40" s="68"/>
    </row>
    <row r="41" spans="1:7" ht="15.6" x14ac:dyDescent="0.3">
      <c r="A41" s="69"/>
      <c r="B41" s="64"/>
      <c r="C41" s="64"/>
      <c r="D41" s="93"/>
      <c r="E41" s="66"/>
      <c r="F41" s="66">
        <f t="shared" ref="F41:F46" si="1">A41*E41</f>
        <v>0</v>
      </c>
      <c r="G41" s="68"/>
    </row>
    <row r="42" spans="1:7" ht="15.6" x14ac:dyDescent="0.3">
      <c r="A42" s="69"/>
      <c r="B42" s="64"/>
      <c r="C42" s="64"/>
      <c r="D42" s="93"/>
      <c r="E42" s="66"/>
      <c r="F42" s="66">
        <f t="shared" si="1"/>
        <v>0</v>
      </c>
      <c r="G42" s="68"/>
    </row>
    <row r="43" spans="1:7" ht="15.6" x14ac:dyDescent="0.3">
      <c r="A43" s="69"/>
      <c r="B43" s="64"/>
      <c r="C43" s="64"/>
      <c r="D43" s="93"/>
      <c r="E43" s="66"/>
      <c r="F43" s="66">
        <f t="shared" si="1"/>
        <v>0</v>
      </c>
      <c r="G43" s="68"/>
    </row>
    <row r="44" spans="1:7" ht="15.6" x14ac:dyDescent="0.3">
      <c r="A44" s="69"/>
      <c r="B44" s="64"/>
      <c r="C44" s="64"/>
      <c r="D44" s="93"/>
      <c r="E44" s="66"/>
      <c r="F44" s="66">
        <f t="shared" si="1"/>
        <v>0</v>
      </c>
      <c r="G44" s="68"/>
    </row>
    <row r="45" spans="1:7" ht="15.6" x14ac:dyDescent="0.3">
      <c r="A45" s="69"/>
      <c r="B45" s="64"/>
      <c r="C45" s="64"/>
      <c r="D45" s="93"/>
      <c r="E45" s="66"/>
      <c r="F45" s="66">
        <f t="shared" si="1"/>
        <v>0</v>
      </c>
      <c r="G45" s="68"/>
    </row>
    <row r="46" spans="1:7" ht="15.6" x14ac:dyDescent="0.3">
      <c r="A46" s="70"/>
      <c r="B46" s="71"/>
      <c r="C46" s="71"/>
      <c r="D46" s="94"/>
      <c r="E46" s="73"/>
      <c r="F46" s="73">
        <f t="shared" si="1"/>
        <v>0</v>
      </c>
      <c r="G46" s="75"/>
    </row>
    <row r="47" spans="1:7" ht="17.399999999999999" x14ac:dyDescent="0.3">
      <c r="A47" s="76"/>
      <c r="B47" s="77"/>
      <c r="C47" s="164" t="s">
        <v>27</v>
      </c>
      <c r="D47" s="164"/>
      <c r="E47" s="78"/>
      <c r="F47" s="79">
        <f>SUM(F36:F45)</f>
        <v>37964</v>
      </c>
      <c r="G47" s="80"/>
    </row>
    <row r="48" spans="1:7" ht="17.399999999999999" x14ac:dyDescent="0.3">
      <c r="A48" s="81"/>
      <c r="B48" s="82"/>
      <c r="C48" s="165" t="s">
        <v>28</v>
      </c>
      <c r="D48" s="165"/>
      <c r="E48" s="83"/>
      <c r="F48" s="84">
        <f>F47*0.16</f>
        <v>6074.24</v>
      </c>
      <c r="G48" s="85"/>
    </row>
    <row r="49" spans="1:7" ht="17.399999999999999" x14ac:dyDescent="0.3">
      <c r="A49" s="81"/>
      <c r="B49" s="82"/>
      <c r="C49" s="166" t="s">
        <v>29</v>
      </c>
      <c r="D49" s="166"/>
      <c r="E49" s="86"/>
      <c r="F49" s="87">
        <f>F47+F48</f>
        <v>44038.239999999998</v>
      </c>
      <c r="G49" s="88"/>
    </row>
    <row r="50" spans="1:7" ht="15.6" x14ac:dyDescent="0.3">
      <c r="A50" s="167" t="s">
        <v>30</v>
      </c>
      <c r="B50" s="168"/>
      <c r="C50" s="89" t="s">
        <v>31</v>
      </c>
      <c r="D50" s="89"/>
      <c r="E50" s="168" t="s">
        <v>32</v>
      </c>
      <c r="F50" s="168"/>
      <c r="G50" s="169"/>
    </row>
    <row r="51" spans="1:7" ht="15.6" x14ac:dyDescent="0.3">
      <c r="A51" s="170" t="s">
        <v>52</v>
      </c>
      <c r="B51" s="171"/>
      <c r="C51" s="90" t="s">
        <v>33</v>
      </c>
      <c r="D51" s="90"/>
      <c r="E51" s="171" t="s">
        <v>34</v>
      </c>
      <c r="F51" s="171"/>
      <c r="G51" s="172"/>
    </row>
    <row r="52" spans="1:7" x14ac:dyDescent="0.3">
      <c r="A52" s="91"/>
      <c r="B52" s="91"/>
      <c r="C52" s="91"/>
      <c r="D52" s="91"/>
      <c r="E52" s="91"/>
      <c r="F52" s="91"/>
      <c r="G52" s="91"/>
    </row>
  </sheetData>
  <mergeCells count="34">
    <mergeCell ref="C48:D48"/>
    <mergeCell ref="C49:D49"/>
    <mergeCell ref="A50:B50"/>
    <mergeCell ref="E50:G50"/>
    <mergeCell ref="A51:B51"/>
    <mergeCell ref="E51:G51"/>
    <mergeCell ref="E31:G31"/>
    <mergeCell ref="B32:G32"/>
    <mergeCell ref="B33:G33"/>
    <mergeCell ref="B34:G34"/>
    <mergeCell ref="C47:D47"/>
    <mergeCell ref="B28:C30"/>
    <mergeCell ref="D28:G28"/>
    <mergeCell ref="D29:E29"/>
    <mergeCell ref="F29:G29"/>
    <mergeCell ref="D30:E30"/>
    <mergeCell ref="F30:G30"/>
    <mergeCell ref="C21:D21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20:D20"/>
    <mergeCell ref="C22:D22"/>
    <mergeCell ref="A23:B23"/>
    <mergeCell ref="E23:G23"/>
    <mergeCell ref="A24:B24"/>
    <mergeCell ref="E24:G24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7 A23 A50" xr:uid="{48846CB8-7A1C-49FD-BD5B-05195B89143F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33CDC-A338-4B15-80D8-3C12EDAC146B}">
  <sheetPr>
    <pageSetUpPr fitToPage="1"/>
  </sheetPr>
  <dimension ref="A1:I26"/>
  <sheetViews>
    <sheetView zoomScale="70" zoomScaleNormal="70" workbookViewId="0">
      <selection activeCell="M14" sqref="M14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219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220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221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222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4</v>
      </c>
      <c r="B9" s="58" t="s">
        <v>15</v>
      </c>
      <c r="C9" s="58" t="s">
        <v>223</v>
      </c>
      <c r="D9" s="92"/>
      <c r="E9" s="60">
        <v>9491</v>
      </c>
      <c r="F9" s="60">
        <f t="shared" ref="F9:F19" si="0">A9*E9</f>
        <v>37964</v>
      </c>
      <c r="G9" s="62"/>
    </row>
    <row r="10" spans="1:9" ht="48" customHeight="1" x14ac:dyDescent="0.3">
      <c r="A10" s="63">
        <v>4</v>
      </c>
      <c r="B10" s="64" t="s">
        <v>15</v>
      </c>
      <c r="C10" s="64" t="s">
        <v>224</v>
      </c>
      <c r="D10" s="93"/>
      <c r="E10" s="66"/>
      <c r="F10" s="66">
        <f t="shared" si="0"/>
        <v>0</v>
      </c>
      <c r="G10" s="68"/>
    </row>
    <row r="11" spans="1:9" ht="48" customHeight="1" x14ac:dyDescent="0.3">
      <c r="A11" s="63">
        <v>4</v>
      </c>
      <c r="B11" s="64" t="s">
        <v>15</v>
      </c>
      <c r="C11" s="64" t="s">
        <v>225</v>
      </c>
      <c r="D11" s="93"/>
      <c r="E11" s="66"/>
      <c r="F11" s="66">
        <f t="shared" si="0"/>
        <v>0</v>
      </c>
      <c r="G11" s="68"/>
    </row>
    <row r="12" spans="1:9" ht="48" customHeight="1" x14ac:dyDescent="0.3">
      <c r="A12" s="63"/>
      <c r="B12" s="64"/>
      <c r="C12" s="64"/>
      <c r="D12" s="93"/>
      <c r="E12" s="66"/>
      <c r="F12" s="66">
        <f t="shared" si="0"/>
        <v>0</v>
      </c>
      <c r="G12" s="68"/>
    </row>
    <row r="13" spans="1:9" ht="48" customHeight="1" x14ac:dyDescent="0.3">
      <c r="A13" s="63"/>
      <c r="B13" s="64"/>
      <c r="C13" s="99" t="s">
        <v>226</v>
      </c>
      <c r="D13" s="100"/>
      <c r="E13" s="101"/>
      <c r="F13" s="101">
        <v>-8295</v>
      </c>
      <c r="G13" s="68"/>
    </row>
    <row r="14" spans="1:9" ht="48" customHeight="1" x14ac:dyDescent="0.3">
      <c r="A14" s="69"/>
      <c r="B14" s="64"/>
      <c r="C14" s="64"/>
      <c r="D14" s="93"/>
      <c r="E14" s="66"/>
      <c r="F14" s="66">
        <f t="shared" si="0"/>
        <v>0</v>
      </c>
      <c r="G14" s="68"/>
    </row>
    <row r="15" spans="1:9" ht="48" customHeight="1" x14ac:dyDescent="0.3">
      <c r="A15" s="69"/>
      <c r="B15" s="64"/>
      <c r="C15" s="64"/>
      <c r="D15" s="93"/>
      <c r="E15" s="66"/>
      <c r="F15" s="66">
        <f t="shared" si="0"/>
        <v>0</v>
      </c>
      <c r="G15" s="68"/>
    </row>
    <row r="16" spans="1:9" ht="48" customHeight="1" x14ac:dyDescent="0.3">
      <c r="A16" s="69"/>
      <c r="B16" s="64"/>
      <c r="C16" s="64"/>
      <c r="D16" s="93"/>
      <c r="E16" s="66"/>
      <c r="F16" s="66">
        <f t="shared" si="0"/>
        <v>0</v>
      </c>
      <c r="G16" s="68"/>
    </row>
    <row r="17" spans="1:7" ht="48" customHeight="1" x14ac:dyDescent="0.3">
      <c r="A17" s="69"/>
      <c r="B17" s="64"/>
      <c r="C17" s="64"/>
      <c r="D17" s="93"/>
      <c r="E17" s="66"/>
      <c r="F17" s="66">
        <f t="shared" si="0"/>
        <v>0</v>
      </c>
      <c r="G17" s="68"/>
    </row>
    <row r="18" spans="1:7" ht="30" customHeight="1" x14ac:dyDescent="0.3">
      <c r="A18" s="69"/>
      <c r="B18" s="64"/>
      <c r="C18" s="64"/>
      <c r="D18" s="93"/>
      <c r="E18" s="66"/>
      <c r="F18" s="66">
        <f t="shared" si="0"/>
        <v>0</v>
      </c>
      <c r="G18" s="68"/>
    </row>
    <row r="19" spans="1:7" ht="30" customHeight="1" x14ac:dyDescent="0.3">
      <c r="A19" s="70"/>
      <c r="B19" s="71"/>
      <c r="C19" s="71"/>
      <c r="D19" s="94"/>
      <c r="E19" s="73"/>
      <c r="F19" s="73">
        <f t="shared" si="0"/>
        <v>0</v>
      </c>
      <c r="G19" s="75"/>
    </row>
    <row r="20" spans="1:7" ht="30" customHeight="1" x14ac:dyDescent="0.3">
      <c r="A20" s="76"/>
      <c r="B20" s="77"/>
      <c r="C20" s="164" t="s">
        <v>27</v>
      </c>
      <c r="D20" s="164"/>
      <c r="E20" s="78"/>
      <c r="F20" s="79">
        <f>SUM(F9:F18)</f>
        <v>29669</v>
      </c>
      <c r="G20" s="80"/>
    </row>
    <row r="21" spans="1:7" ht="30" customHeight="1" x14ac:dyDescent="0.3">
      <c r="A21" s="81"/>
      <c r="B21" s="82"/>
      <c r="C21" s="165" t="s">
        <v>28</v>
      </c>
      <c r="D21" s="165"/>
      <c r="E21" s="83"/>
      <c r="F21" s="84">
        <f>F20*0.16</f>
        <v>4747.04</v>
      </c>
      <c r="G21" s="85"/>
    </row>
    <row r="22" spans="1:7" ht="30" customHeight="1" x14ac:dyDescent="0.3">
      <c r="A22" s="81"/>
      <c r="B22" s="82"/>
      <c r="C22" s="166" t="s">
        <v>29</v>
      </c>
      <c r="D22" s="166"/>
      <c r="E22" s="86"/>
      <c r="F22" s="87">
        <f>F20+F21</f>
        <v>34416.04</v>
      </c>
      <c r="G22" s="88"/>
    </row>
    <row r="23" spans="1:7" ht="15.6" x14ac:dyDescent="0.3">
      <c r="A23" s="167" t="s">
        <v>30</v>
      </c>
      <c r="B23" s="168"/>
      <c r="C23" s="89" t="s">
        <v>31</v>
      </c>
      <c r="D23" s="89"/>
      <c r="E23" s="168" t="s">
        <v>32</v>
      </c>
      <c r="F23" s="168"/>
      <c r="G23" s="169"/>
    </row>
    <row r="24" spans="1:7" ht="15.6" x14ac:dyDescent="0.3">
      <c r="A24" s="170" t="s">
        <v>52</v>
      </c>
      <c r="B24" s="171"/>
      <c r="C24" s="90" t="s">
        <v>33</v>
      </c>
      <c r="D24" s="90"/>
      <c r="E24" s="171" t="s">
        <v>34</v>
      </c>
      <c r="F24" s="171"/>
      <c r="G24" s="172"/>
    </row>
    <row r="25" spans="1:7" x14ac:dyDescent="0.3">
      <c r="A25" s="91"/>
      <c r="B25" s="91"/>
      <c r="C25" s="91"/>
      <c r="D25" s="91"/>
      <c r="E25" s="91"/>
      <c r="F25" s="91"/>
      <c r="G25" s="91"/>
    </row>
    <row r="26" spans="1:7" x14ac:dyDescent="0.3">
      <c r="A26" s="91"/>
      <c r="B26" s="91"/>
      <c r="C26" s="91"/>
      <c r="D26" s="91"/>
      <c r="E26" s="91"/>
      <c r="F26" s="91"/>
      <c r="G26" s="91"/>
    </row>
  </sheetData>
  <mergeCells count="17">
    <mergeCell ref="C21:D21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20:D20"/>
    <mergeCell ref="C22:D22"/>
    <mergeCell ref="A23:B23"/>
    <mergeCell ref="E23:G23"/>
    <mergeCell ref="A24:B24"/>
    <mergeCell ref="E24:G24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7 A23" xr:uid="{630982D9-EF4C-4539-85A9-51CEE59B200D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5627-D83A-400F-A52C-EBEB1146F00A}">
  <sheetPr>
    <pageSetUpPr fitToPage="1"/>
  </sheetPr>
  <dimension ref="A1:I26"/>
  <sheetViews>
    <sheetView zoomScale="70" zoomScaleNormal="70" workbookViewId="0">
      <selection activeCell="F2" sqref="F2:G2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62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78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76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213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3</v>
      </c>
      <c r="B9" s="58" t="s">
        <v>15</v>
      </c>
      <c r="C9" s="58" t="s">
        <v>214</v>
      </c>
      <c r="D9" s="92">
        <v>3050043</v>
      </c>
      <c r="E9" s="60">
        <v>504.07</v>
      </c>
      <c r="F9" s="60">
        <f t="shared" ref="F9:F19" si="0">A9*E9</f>
        <v>1512.21</v>
      </c>
      <c r="G9" s="62"/>
    </row>
    <row r="10" spans="1:9" ht="48" customHeight="1" x14ac:dyDescent="0.3">
      <c r="A10" s="63">
        <v>3</v>
      </c>
      <c r="B10" s="64" t="s">
        <v>15</v>
      </c>
      <c r="C10" s="64" t="s">
        <v>215</v>
      </c>
      <c r="D10" s="93">
        <v>3050044</v>
      </c>
      <c r="E10" s="66">
        <v>592.66</v>
      </c>
      <c r="F10" s="66">
        <f t="shared" si="0"/>
        <v>1777.98</v>
      </c>
      <c r="G10" s="68"/>
    </row>
    <row r="11" spans="1:9" ht="48" customHeight="1" x14ac:dyDescent="0.3">
      <c r="A11" s="63">
        <v>3</v>
      </c>
      <c r="B11" s="64" t="s">
        <v>15</v>
      </c>
      <c r="C11" s="64" t="s">
        <v>216</v>
      </c>
      <c r="D11" s="93">
        <v>3541038</v>
      </c>
      <c r="E11" s="66">
        <v>81.88</v>
      </c>
      <c r="F11" s="66">
        <f t="shared" si="0"/>
        <v>245.64</v>
      </c>
      <c r="G11" s="68"/>
    </row>
    <row r="12" spans="1:9" ht="48" customHeight="1" x14ac:dyDescent="0.3">
      <c r="A12" s="63">
        <v>1</v>
      </c>
      <c r="B12" s="64" t="s">
        <v>15</v>
      </c>
      <c r="C12" s="64" t="s">
        <v>217</v>
      </c>
      <c r="D12" s="93">
        <v>3030001</v>
      </c>
      <c r="E12" s="66">
        <v>378.37</v>
      </c>
      <c r="F12" s="66">
        <f t="shared" si="0"/>
        <v>378.37</v>
      </c>
      <c r="G12" s="68"/>
    </row>
    <row r="13" spans="1:9" ht="48" customHeight="1" x14ac:dyDescent="0.3">
      <c r="A13" s="63">
        <v>1</v>
      </c>
      <c r="B13" s="64" t="s">
        <v>15</v>
      </c>
      <c r="C13" s="64" t="s">
        <v>218</v>
      </c>
      <c r="D13" s="93">
        <v>3030003</v>
      </c>
      <c r="E13" s="66">
        <v>388.94</v>
      </c>
      <c r="F13" s="66">
        <f t="shared" si="0"/>
        <v>388.94</v>
      </c>
      <c r="G13" s="68"/>
    </row>
    <row r="14" spans="1:9" ht="48" customHeight="1" x14ac:dyDescent="0.3">
      <c r="A14" s="69"/>
      <c r="B14" s="64"/>
      <c r="C14" s="64"/>
      <c r="D14" s="93"/>
      <c r="E14" s="66"/>
      <c r="F14" s="66">
        <f t="shared" si="0"/>
        <v>0</v>
      </c>
      <c r="G14" s="68"/>
    </row>
    <row r="15" spans="1:9" ht="48" customHeight="1" x14ac:dyDescent="0.3">
      <c r="A15" s="69"/>
      <c r="B15" s="64"/>
      <c r="C15" s="64"/>
      <c r="D15" s="93"/>
      <c r="E15" s="66"/>
      <c r="F15" s="66">
        <f t="shared" si="0"/>
        <v>0</v>
      </c>
      <c r="G15" s="68"/>
    </row>
    <row r="16" spans="1:9" ht="48" customHeight="1" x14ac:dyDescent="0.3">
      <c r="A16" s="69"/>
      <c r="B16" s="64"/>
      <c r="C16" s="64"/>
      <c r="D16" s="93"/>
      <c r="E16" s="66"/>
      <c r="F16" s="66">
        <f t="shared" si="0"/>
        <v>0</v>
      </c>
      <c r="G16" s="68"/>
    </row>
    <row r="17" spans="1:7" ht="48" customHeight="1" x14ac:dyDescent="0.3">
      <c r="A17" s="69"/>
      <c r="B17" s="64"/>
      <c r="C17" s="64"/>
      <c r="D17" s="93"/>
      <c r="E17" s="66"/>
      <c r="F17" s="66">
        <f t="shared" si="0"/>
        <v>0</v>
      </c>
      <c r="G17" s="68"/>
    </row>
    <row r="18" spans="1:7" ht="30" customHeight="1" x14ac:dyDescent="0.3">
      <c r="A18" s="69"/>
      <c r="B18" s="64"/>
      <c r="C18" s="64"/>
      <c r="D18" s="93"/>
      <c r="E18" s="66"/>
      <c r="F18" s="66">
        <f t="shared" si="0"/>
        <v>0</v>
      </c>
      <c r="G18" s="68"/>
    </row>
    <row r="19" spans="1:7" ht="30" customHeight="1" x14ac:dyDescent="0.3">
      <c r="A19" s="70"/>
      <c r="B19" s="71"/>
      <c r="C19" s="71"/>
      <c r="D19" s="94"/>
      <c r="E19" s="73"/>
      <c r="F19" s="73">
        <f t="shared" si="0"/>
        <v>0</v>
      </c>
      <c r="G19" s="75"/>
    </row>
    <row r="20" spans="1:7" ht="30" customHeight="1" x14ac:dyDescent="0.3">
      <c r="A20" s="76"/>
      <c r="B20" s="77"/>
      <c r="C20" s="164" t="s">
        <v>27</v>
      </c>
      <c r="D20" s="164"/>
      <c r="E20" s="78"/>
      <c r="F20" s="79">
        <f>SUM(F9:F18)</f>
        <v>4303.1399999999994</v>
      </c>
      <c r="G20" s="80"/>
    </row>
    <row r="21" spans="1:7" ht="30" customHeight="1" x14ac:dyDescent="0.3">
      <c r="A21" s="81"/>
      <c r="B21" s="82"/>
      <c r="C21" s="165" t="s">
        <v>28</v>
      </c>
      <c r="D21" s="165"/>
      <c r="E21" s="83"/>
      <c r="F21" s="84">
        <f>F20*0.16</f>
        <v>688.50239999999997</v>
      </c>
      <c r="G21" s="85"/>
    </row>
    <row r="22" spans="1:7" ht="30" customHeight="1" x14ac:dyDescent="0.3">
      <c r="A22" s="81"/>
      <c r="B22" s="82"/>
      <c r="C22" s="166" t="s">
        <v>29</v>
      </c>
      <c r="D22" s="166"/>
      <c r="E22" s="86"/>
      <c r="F22" s="87">
        <f>F20+F21</f>
        <v>4991.6423999999997</v>
      </c>
      <c r="G22" s="88"/>
    </row>
    <row r="23" spans="1:7" ht="15.6" x14ac:dyDescent="0.3">
      <c r="A23" s="167" t="s">
        <v>30</v>
      </c>
      <c r="B23" s="168"/>
      <c r="C23" s="89" t="s">
        <v>31</v>
      </c>
      <c r="D23" s="89"/>
      <c r="E23" s="168" t="s">
        <v>32</v>
      </c>
      <c r="F23" s="168"/>
      <c r="G23" s="169"/>
    </row>
    <row r="24" spans="1:7" ht="15.6" x14ac:dyDescent="0.3">
      <c r="A24" s="170" t="s">
        <v>52</v>
      </c>
      <c r="B24" s="171"/>
      <c r="C24" s="90" t="s">
        <v>33</v>
      </c>
      <c r="D24" s="90"/>
      <c r="E24" s="171" t="s">
        <v>34</v>
      </c>
      <c r="F24" s="171"/>
      <c r="G24" s="172"/>
    </row>
    <row r="25" spans="1:7" x14ac:dyDescent="0.3">
      <c r="A25" s="91"/>
      <c r="B25" s="91"/>
      <c r="C25" s="91"/>
      <c r="D25" s="91"/>
      <c r="E25" s="91"/>
      <c r="F25" s="91"/>
      <c r="G25" s="91"/>
    </row>
    <row r="26" spans="1:7" x14ac:dyDescent="0.3">
      <c r="A26" s="91"/>
      <c r="B26" s="91"/>
      <c r="C26" s="91"/>
      <c r="D26" s="91"/>
      <c r="E26" s="91"/>
      <c r="F26" s="91"/>
      <c r="G26" s="91"/>
    </row>
  </sheetData>
  <mergeCells count="17">
    <mergeCell ref="C21:D21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20:D20"/>
    <mergeCell ref="C22:D22"/>
    <mergeCell ref="A23:B23"/>
    <mergeCell ref="E23:G23"/>
    <mergeCell ref="A24:B24"/>
    <mergeCell ref="E24:G24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7 A23" xr:uid="{FFE32DC2-BB2C-47CA-A192-A6F67E4BBF30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1DC5F-D8B0-4953-B99E-E9848EBEAAD2}">
  <sheetPr>
    <pageSetUpPr fitToPage="1"/>
  </sheetPr>
  <dimension ref="A1:I42"/>
  <sheetViews>
    <sheetView zoomScale="70" zoomScaleNormal="70" workbookViewId="0">
      <selection activeCell="B25" sqref="B25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62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78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76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/>
      <c r="B9" s="58" t="s">
        <v>79</v>
      </c>
      <c r="C9" s="58" t="s">
        <v>80</v>
      </c>
      <c r="D9" s="92" t="s">
        <v>105</v>
      </c>
      <c r="E9" s="60">
        <v>57.8</v>
      </c>
      <c r="F9" s="60">
        <f t="shared" ref="F9:F35" si="0">A9*E9</f>
        <v>0</v>
      </c>
      <c r="G9" s="62"/>
    </row>
    <row r="10" spans="1:9" ht="48" customHeight="1" x14ac:dyDescent="0.3">
      <c r="A10" s="63">
        <v>10</v>
      </c>
      <c r="B10" s="64" t="s">
        <v>79</v>
      </c>
      <c r="C10" s="64" t="s">
        <v>81</v>
      </c>
      <c r="D10" s="93" t="s">
        <v>105</v>
      </c>
      <c r="E10" s="66">
        <v>60.5</v>
      </c>
      <c r="F10" s="66">
        <f t="shared" si="0"/>
        <v>605</v>
      </c>
      <c r="G10" s="68"/>
    </row>
    <row r="11" spans="1:9" ht="48" customHeight="1" x14ac:dyDescent="0.3">
      <c r="A11" s="63">
        <v>5</v>
      </c>
      <c r="B11" s="64" t="s">
        <v>79</v>
      </c>
      <c r="C11" s="64" t="s">
        <v>82</v>
      </c>
      <c r="D11" s="93" t="s">
        <v>105</v>
      </c>
      <c r="E11" s="66">
        <v>107.5</v>
      </c>
      <c r="F11" s="66">
        <f t="shared" si="0"/>
        <v>537.5</v>
      </c>
      <c r="G11" s="68"/>
    </row>
    <row r="12" spans="1:9" ht="48" customHeight="1" x14ac:dyDescent="0.3">
      <c r="A12" s="63">
        <v>10</v>
      </c>
      <c r="B12" s="64" t="s">
        <v>79</v>
      </c>
      <c r="C12" s="64" t="s">
        <v>83</v>
      </c>
      <c r="D12" s="93" t="s">
        <v>105</v>
      </c>
      <c r="E12" s="66">
        <v>154.44999999999999</v>
      </c>
      <c r="F12" s="66">
        <f t="shared" si="0"/>
        <v>1544.5</v>
      </c>
      <c r="G12" s="68"/>
    </row>
    <row r="13" spans="1:9" ht="48" customHeight="1" x14ac:dyDescent="0.3">
      <c r="A13" s="63"/>
      <c r="B13" s="64" t="s">
        <v>15</v>
      </c>
      <c r="C13" s="64" t="s">
        <v>84</v>
      </c>
      <c r="D13" s="93" t="s">
        <v>105</v>
      </c>
      <c r="E13" s="66">
        <v>3.35</v>
      </c>
      <c r="F13" s="66">
        <f t="shared" si="0"/>
        <v>0</v>
      </c>
      <c r="G13" s="68"/>
    </row>
    <row r="14" spans="1:9" ht="48" customHeight="1" x14ac:dyDescent="0.3">
      <c r="A14" s="63"/>
      <c r="B14" s="64" t="s">
        <v>15</v>
      </c>
      <c r="C14" s="64" t="s">
        <v>85</v>
      </c>
      <c r="D14" s="93" t="s">
        <v>105</v>
      </c>
      <c r="E14" s="66">
        <v>3.76</v>
      </c>
      <c r="F14" s="66">
        <f t="shared" si="0"/>
        <v>0</v>
      </c>
      <c r="G14" s="68"/>
    </row>
    <row r="15" spans="1:9" ht="48" customHeight="1" x14ac:dyDescent="0.3">
      <c r="A15" s="63"/>
      <c r="B15" s="64" t="s">
        <v>15</v>
      </c>
      <c r="C15" s="64" t="s">
        <v>86</v>
      </c>
      <c r="D15" s="93" t="s">
        <v>105</v>
      </c>
      <c r="E15" s="66">
        <v>4.0199999999999996</v>
      </c>
      <c r="F15" s="66">
        <f t="shared" si="0"/>
        <v>0</v>
      </c>
      <c r="G15" s="68"/>
    </row>
    <row r="16" spans="1:9" ht="48" customHeight="1" x14ac:dyDescent="0.3">
      <c r="A16" s="63"/>
      <c r="B16" s="64" t="s">
        <v>15</v>
      </c>
      <c r="C16" s="64" t="s">
        <v>87</v>
      </c>
      <c r="D16" s="93" t="s">
        <v>105</v>
      </c>
      <c r="E16" s="66">
        <v>3.71</v>
      </c>
      <c r="F16" s="66">
        <f t="shared" si="0"/>
        <v>0</v>
      </c>
      <c r="G16" s="68"/>
    </row>
    <row r="17" spans="1:7" ht="48" customHeight="1" x14ac:dyDescent="0.3">
      <c r="A17" s="63"/>
      <c r="B17" s="64" t="s">
        <v>15</v>
      </c>
      <c r="C17" s="64" t="s">
        <v>88</v>
      </c>
      <c r="D17" s="93" t="s">
        <v>105</v>
      </c>
      <c r="E17" s="66">
        <v>8.34</v>
      </c>
      <c r="F17" s="66">
        <f t="shared" si="0"/>
        <v>0</v>
      </c>
      <c r="G17" s="68"/>
    </row>
    <row r="18" spans="1:7" ht="48" customHeight="1" x14ac:dyDescent="0.3">
      <c r="A18" s="63"/>
      <c r="B18" s="64" t="s">
        <v>15</v>
      </c>
      <c r="C18" s="64" t="s">
        <v>89</v>
      </c>
      <c r="D18" s="93" t="s">
        <v>105</v>
      </c>
      <c r="E18" s="66"/>
      <c r="F18" s="66">
        <f t="shared" si="0"/>
        <v>0</v>
      </c>
      <c r="G18" s="68"/>
    </row>
    <row r="19" spans="1:7" ht="48" customHeight="1" x14ac:dyDescent="0.3">
      <c r="A19" s="63"/>
      <c r="B19" s="64" t="s">
        <v>15</v>
      </c>
      <c r="C19" s="64" t="s">
        <v>90</v>
      </c>
      <c r="D19" s="93" t="s">
        <v>105</v>
      </c>
      <c r="E19" s="66">
        <v>12.89</v>
      </c>
      <c r="F19" s="66">
        <f t="shared" si="0"/>
        <v>0</v>
      </c>
      <c r="G19" s="68"/>
    </row>
    <row r="20" spans="1:7" ht="48" customHeight="1" x14ac:dyDescent="0.3">
      <c r="A20" s="63"/>
      <c r="B20" s="64" t="s">
        <v>15</v>
      </c>
      <c r="C20" s="64" t="s">
        <v>91</v>
      </c>
      <c r="D20" s="93" t="s">
        <v>105</v>
      </c>
      <c r="E20" s="66">
        <v>16.54</v>
      </c>
      <c r="F20" s="66">
        <f t="shared" si="0"/>
        <v>0</v>
      </c>
      <c r="G20" s="68"/>
    </row>
    <row r="21" spans="1:7" ht="48" customHeight="1" x14ac:dyDescent="0.3">
      <c r="A21" s="63"/>
      <c r="B21" s="64" t="s">
        <v>15</v>
      </c>
      <c r="C21" s="64" t="s">
        <v>92</v>
      </c>
      <c r="D21" s="93" t="s">
        <v>105</v>
      </c>
      <c r="E21" s="66">
        <v>21.57</v>
      </c>
      <c r="F21" s="66">
        <f t="shared" si="0"/>
        <v>0</v>
      </c>
      <c r="G21" s="68"/>
    </row>
    <row r="22" spans="1:7" ht="48" customHeight="1" x14ac:dyDescent="0.3">
      <c r="A22" s="63"/>
      <c r="B22" s="64" t="s">
        <v>15</v>
      </c>
      <c r="C22" s="64" t="s">
        <v>93</v>
      </c>
      <c r="D22" s="93" t="s">
        <v>105</v>
      </c>
      <c r="E22" s="66">
        <v>33.03</v>
      </c>
      <c r="F22" s="66">
        <f t="shared" si="0"/>
        <v>0</v>
      </c>
      <c r="G22" s="68"/>
    </row>
    <row r="23" spans="1:7" ht="48" customHeight="1" x14ac:dyDescent="0.3">
      <c r="A23" s="63"/>
      <c r="B23" s="64" t="s">
        <v>15</v>
      </c>
      <c r="C23" s="64" t="s">
        <v>94</v>
      </c>
      <c r="D23" s="93" t="s">
        <v>105</v>
      </c>
      <c r="E23" s="66">
        <v>7.97</v>
      </c>
      <c r="F23" s="66">
        <f t="shared" si="0"/>
        <v>0</v>
      </c>
      <c r="G23" s="68"/>
    </row>
    <row r="24" spans="1:7" ht="48" customHeight="1" x14ac:dyDescent="0.3">
      <c r="A24" s="63"/>
      <c r="B24" s="64" t="s">
        <v>15</v>
      </c>
      <c r="C24" s="64" t="s">
        <v>95</v>
      </c>
      <c r="D24" s="93" t="s">
        <v>105</v>
      </c>
      <c r="E24" s="66">
        <v>19.579999999999998</v>
      </c>
      <c r="F24" s="66">
        <f t="shared" si="0"/>
        <v>0</v>
      </c>
      <c r="G24" s="68"/>
    </row>
    <row r="25" spans="1:7" ht="48" customHeight="1" x14ac:dyDescent="0.3">
      <c r="A25" s="63"/>
      <c r="B25" s="64" t="s">
        <v>15</v>
      </c>
      <c r="C25" s="64" t="s">
        <v>96</v>
      </c>
      <c r="D25" s="93" t="s">
        <v>105</v>
      </c>
      <c r="E25" s="66"/>
      <c r="F25" s="66">
        <f t="shared" si="0"/>
        <v>0</v>
      </c>
      <c r="G25" s="68"/>
    </row>
    <row r="26" spans="1:7" ht="48" customHeight="1" x14ac:dyDescent="0.3">
      <c r="A26" s="63"/>
      <c r="B26" s="64" t="s">
        <v>15</v>
      </c>
      <c r="C26" s="64" t="s">
        <v>97</v>
      </c>
      <c r="D26" s="93" t="s">
        <v>105</v>
      </c>
      <c r="E26" s="66"/>
      <c r="F26" s="66">
        <f t="shared" si="0"/>
        <v>0</v>
      </c>
      <c r="G26" s="68"/>
    </row>
    <row r="27" spans="1:7" ht="48" customHeight="1" x14ac:dyDescent="0.3">
      <c r="A27" s="63"/>
      <c r="B27" s="64" t="s">
        <v>15</v>
      </c>
      <c r="C27" s="64" t="s">
        <v>98</v>
      </c>
      <c r="D27" s="93" t="s">
        <v>105</v>
      </c>
      <c r="E27" s="66">
        <v>11.41</v>
      </c>
      <c r="F27" s="66">
        <f t="shared" si="0"/>
        <v>0</v>
      </c>
      <c r="G27" s="68"/>
    </row>
    <row r="28" spans="1:7" ht="48" customHeight="1" x14ac:dyDescent="0.3">
      <c r="A28" s="63"/>
      <c r="B28" s="64" t="s">
        <v>15</v>
      </c>
      <c r="C28" s="64" t="s">
        <v>99</v>
      </c>
      <c r="D28" s="93" t="s">
        <v>105</v>
      </c>
      <c r="E28" s="66"/>
      <c r="F28" s="66">
        <f t="shared" si="0"/>
        <v>0</v>
      </c>
      <c r="G28" s="68"/>
    </row>
    <row r="29" spans="1:7" ht="48" customHeight="1" x14ac:dyDescent="0.3">
      <c r="A29" s="63"/>
      <c r="B29" s="64" t="s">
        <v>15</v>
      </c>
      <c r="C29" s="64" t="s">
        <v>100</v>
      </c>
      <c r="D29" s="93" t="s">
        <v>105</v>
      </c>
      <c r="E29" s="66">
        <v>2.1800000000000002</v>
      </c>
      <c r="F29" s="66">
        <f t="shared" si="0"/>
        <v>0</v>
      </c>
      <c r="G29" s="68"/>
    </row>
    <row r="30" spans="1:7" ht="48" customHeight="1" x14ac:dyDescent="0.3">
      <c r="A30" s="69"/>
      <c r="B30" s="64" t="s">
        <v>15</v>
      </c>
      <c r="C30" s="64" t="s">
        <v>101</v>
      </c>
      <c r="D30" s="93" t="s">
        <v>105</v>
      </c>
      <c r="E30" s="66">
        <v>8.0299999999999994</v>
      </c>
      <c r="F30" s="66">
        <f t="shared" si="0"/>
        <v>0</v>
      </c>
      <c r="G30" s="68"/>
    </row>
    <row r="31" spans="1:7" ht="48" customHeight="1" x14ac:dyDescent="0.3">
      <c r="A31" s="69"/>
      <c r="B31" s="64" t="s">
        <v>15</v>
      </c>
      <c r="C31" s="64" t="s">
        <v>102</v>
      </c>
      <c r="D31" s="93" t="s">
        <v>105</v>
      </c>
      <c r="E31" s="66">
        <v>4.34</v>
      </c>
      <c r="F31" s="66">
        <f t="shared" si="0"/>
        <v>0</v>
      </c>
      <c r="G31" s="68"/>
    </row>
    <row r="32" spans="1:7" ht="48" customHeight="1" x14ac:dyDescent="0.3">
      <c r="A32" s="69"/>
      <c r="B32" s="64" t="s">
        <v>15</v>
      </c>
      <c r="C32" s="64" t="s">
        <v>103</v>
      </c>
      <c r="D32" s="93" t="s">
        <v>105</v>
      </c>
      <c r="E32" s="66">
        <v>2.08</v>
      </c>
      <c r="F32" s="66">
        <f t="shared" si="0"/>
        <v>0</v>
      </c>
      <c r="G32" s="68"/>
    </row>
    <row r="33" spans="1:7" ht="48" customHeight="1" x14ac:dyDescent="0.3">
      <c r="A33" s="69"/>
      <c r="B33" s="64" t="s">
        <v>15</v>
      </c>
      <c r="C33" s="64" t="s">
        <v>104</v>
      </c>
      <c r="D33" s="93" t="s">
        <v>105</v>
      </c>
      <c r="E33" s="66">
        <v>2.54</v>
      </c>
      <c r="F33" s="66">
        <f t="shared" si="0"/>
        <v>0</v>
      </c>
      <c r="G33" s="68"/>
    </row>
    <row r="34" spans="1:7" ht="30" customHeight="1" x14ac:dyDescent="0.3">
      <c r="A34" s="69">
        <v>10</v>
      </c>
      <c r="B34" s="64" t="s">
        <v>15</v>
      </c>
      <c r="C34" s="64" t="s">
        <v>158</v>
      </c>
      <c r="D34" s="93" t="s">
        <v>105</v>
      </c>
      <c r="E34" s="66">
        <v>133.03</v>
      </c>
      <c r="F34" s="66">
        <f t="shared" si="0"/>
        <v>1330.3</v>
      </c>
      <c r="G34" s="68"/>
    </row>
    <row r="35" spans="1:7" ht="30" customHeight="1" x14ac:dyDescent="0.3">
      <c r="A35" s="70"/>
      <c r="B35" s="71"/>
      <c r="C35" s="71"/>
      <c r="D35" s="94"/>
      <c r="E35" s="73"/>
      <c r="F35" s="73">
        <f t="shared" si="0"/>
        <v>0</v>
      </c>
      <c r="G35" s="75"/>
    </row>
    <row r="36" spans="1:7" ht="30" customHeight="1" x14ac:dyDescent="0.3">
      <c r="A36" s="76"/>
      <c r="B36" s="77"/>
      <c r="C36" s="164" t="s">
        <v>27</v>
      </c>
      <c r="D36" s="164"/>
      <c r="E36" s="78"/>
      <c r="F36" s="79">
        <f>SUM(F9:F34)</f>
        <v>4017.3</v>
      </c>
      <c r="G36" s="80"/>
    </row>
    <row r="37" spans="1:7" ht="30" customHeight="1" x14ac:dyDescent="0.3">
      <c r="A37" s="81"/>
      <c r="B37" s="82"/>
      <c r="C37" s="165" t="s">
        <v>28</v>
      </c>
      <c r="D37" s="165"/>
      <c r="E37" s="83"/>
      <c r="F37" s="84">
        <f>F36*0.16</f>
        <v>642.76800000000003</v>
      </c>
      <c r="G37" s="85"/>
    </row>
    <row r="38" spans="1:7" ht="30" customHeight="1" x14ac:dyDescent="0.3">
      <c r="A38" s="81"/>
      <c r="B38" s="82"/>
      <c r="C38" s="166" t="s">
        <v>29</v>
      </c>
      <c r="D38" s="166"/>
      <c r="E38" s="86"/>
      <c r="F38" s="87">
        <f>F36+F37</f>
        <v>4660.0680000000002</v>
      </c>
      <c r="G38" s="88"/>
    </row>
    <row r="39" spans="1:7" ht="15.6" x14ac:dyDescent="0.3">
      <c r="A39" s="167" t="s">
        <v>30</v>
      </c>
      <c r="B39" s="168"/>
      <c r="C39" s="89" t="s">
        <v>31</v>
      </c>
      <c r="D39" s="89"/>
      <c r="E39" s="168" t="s">
        <v>32</v>
      </c>
      <c r="F39" s="168"/>
      <c r="G39" s="169"/>
    </row>
    <row r="40" spans="1:7" ht="15.6" x14ac:dyDescent="0.3">
      <c r="A40" s="170" t="s">
        <v>52</v>
      </c>
      <c r="B40" s="171"/>
      <c r="C40" s="90" t="s">
        <v>33</v>
      </c>
      <c r="D40" s="90"/>
      <c r="E40" s="171" t="s">
        <v>34</v>
      </c>
      <c r="F40" s="171"/>
      <c r="G40" s="172"/>
    </row>
    <row r="41" spans="1:7" x14ac:dyDescent="0.3">
      <c r="A41" s="91"/>
      <c r="B41" s="91"/>
      <c r="C41" s="91"/>
      <c r="D41" s="91"/>
      <c r="E41" s="91"/>
      <c r="F41" s="91"/>
      <c r="G41" s="91"/>
    </row>
    <row r="42" spans="1:7" x14ac:dyDescent="0.3">
      <c r="A42" s="91"/>
      <c r="B42" s="91"/>
      <c r="C42" s="91"/>
      <c r="D42" s="91"/>
      <c r="E42" s="91"/>
      <c r="F42" s="91"/>
      <c r="G42" s="91"/>
    </row>
  </sheetData>
  <mergeCells count="17">
    <mergeCell ref="C37:D37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36:D36"/>
    <mergeCell ref="C38:D38"/>
    <mergeCell ref="A39:B39"/>
    <mergeCell ref="E39:G39"/>
    <mergeCell ref="A40:B40"/>
    <mergeCell ref="E40:G40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43 A39" xr:uid="{A16D9D38-6B3C-4A52-852C-45531E3C88AB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D2220-083E-4F2A-BB97-526E09D86FA6}">
  <sheetPr>
    <pageSetUpPr fitToPage="1"/>
  </sheetPr>
  <dimension ref="A1:I25"/>
  <sheetViews>
    <sheetView zoomScale="70" zoomScaleNormal="70" workbookViewId="0">
      <selection activeCell="D1" sqref="A1:G25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203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205</v>
      </c>
      <c r="G3" s="181"/>
      <c r="H3" s="6"/>
      <c r="I3" s="6"/>
    </row>
    <row r="4" spans="1:9" ht="21" x14ac:dyDescent="0.4">
      <c r="A4" s="52" t="s">
        <v>39</v>
      </c>
      <c r="B4" s="53" t="s">
        <v>54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211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1</v>
      </c>
      <c r="B9" s="58" t="s">
        <v>15</v>
      </c>
      <c r="C9" s="58" t="s">
        <v>212</v>
      </c>
      <c r="D9" s="59">
        <v>171090</v>
      </c>
      <c r="E9" s="60">
        <v>613.41</v>
      </c>
      <c r="F9" s="61">
        <f t="shared" ref="F9:F18" si="0">A9*E9</f>
        <v>613.41</v>
      </c>
      <c r="G9" s="62"/>
    </row>
    <row r="10" spans="1:9" ht="48" customHeight="1" x14ac:dyDescent="0.3">
      <c r="A10" s="63"/>
      <c r="B10" s="64"/>
      <c r="C10" s="64"/>
      <c r="D10" s="65"/>
      <c r="E10" s="66"/>
      <c r="F10" s="67">
        <f t="shared" si="0"/>
        <v>0</v>
      </c>
      <c r="G10" s="68"/>
    </row>
    <row r="11" spans="1:9" ht="48" customHeight="1" x14ac:dyDescent="0.3">
      <c r="A11" s="63"/>
      <c r="B11" s="64"/>
      <c r="C11" s="64"/>
      <c r="D11" s="65"/>
      <c r="E11" s="66"/>
      <c r="F11" s="67">
        <f t="shared" si="0"/>
        <v>0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613.41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98.145600000000002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711.55559999999991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1:D21"/>
    <mergeCell ref="A22:B22"/>
    <mergeCell ref="E22:G22"/>
    <mergeCell ref="A23:B23"/>
    <mergeCell ref="E23:G23"/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A37E6604-2D4C-4640-878A-ADB78C0B8D0A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15FEE-3417-43F1-A23C-4D027E386C95}">
  <sheetPr>
    <pageSetUpPr fitToPage="1"/>
  </sheetPr>
  <dimension ref="A1:I69"/>
  <sheetViews>
    <sheetView zoomScale="70" zoomScaleNormal="70" workbookViewId="0">
      <selection activeCell="D36" sqref="D36:G36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203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204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202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 t="s">
        <v>106</v>
      </c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53" t="s">
        <v>77</v>
      </c>
      <c r="C7" s="54"/>
      <c r="D7" s="54"/>
      <c r="E7" s="54"/>
      <c r="F7" s="54"/>
      <c r="G7" s="98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30" customHeight="1" x14ac:dyDescent="0.3">
      <c r="A9" s="57">
        <v>10</v>
      </c>
      <c r="B9" s="58" t="s">
        <v>15</v>
      </c>
      <c r="C9" s="58" t="s">
        <v>189</v>
      </c>
      <c r="D9" s="92" t="s">
        <v>105</v>
      </c>
      <c r="E9" s="60">
        <v>14.19</v>
      </c>
      <c r="F9" s="60">
        <f>+A9*E9</f>
        <v>141.9</v>
      </c>
      <c r="G9" s="62"/>
    </row>
    <row r="10" spans="1:9" ht="30" customHeight="1" x14ac:dyDescent="0.3">
      <c r="A10" s="63">
        <v>10</v>
      </c>
      <c r="B10" s="64" t="s">
        <v>15</v>
      </c>
      <c r="C10" s="64" t="s">
        <v>94</v>
      </c>
      <c r="D10" s="93" t="s">
        <v>105</v>
      </c>
      <c r="E10" s="66">
        <v>8.77</v>
      </c>
      <c r="F10" s="66">
        <f t="shared" ref="F10:F25" si="0">+A10*E10</f>
        <v>87.699999999999989</v>
      </c>
      <c r="G10" s="68"/>
    </row>
    <row r="11" spans="1:9" ht="30" customHeight="1" x14ac:dyDescent="0.3">
      <c r="A11" s="63">
        <v>24</v>
      </c>
      <c r="B11" s="64" t="s">
        <v>15</v>
      </c>
      <c r="C11" s="64" t="s">
        <v>190</v>
      </c>
      <c r="D11" s="93"/>
      <c r="E11" s="66">
        <v>140.36000000000001</v>
      </c>
      <c r="F11" s="66">
        <f t="shared" si="0"/>
        <v>3368.6400000000003</v>
      </c>
      <c r="G11" s="68"/>
    </row>
    <row r="12" spans="1:9" ht="30" customHeight="1" x14ac:dyDescent="0.3">
      <c r="A12" s="63">
        <v>10</v>
      </c>
      <c r="B12" s="64" t="s">
        <v>15</v>
      </c>
      <c r="C12" s="64" t="s">
        <v>93</v>
      </c>
      <c r="D12" s="93" t="s">
        <v>105</v>
      </c>
      <c r="E12" s="66">
        <v>36.33</v>
      </c>
      <c r="F12" s="66">
        <f t="shared" si="0"/>
        <v>363.29999999999995</v>
      </c>
      <c r="G12" s="68"/>
    </row>
    <row r="13" spans="1:9" ht="30" customHeight="1" x14ac:dyDescent="0.3">
      <c r="A13" s="63">
        <v>10</v>
      </c>
      <c r="B13" s="64" t="s">
        <v>15</v>
      </c>
      <c r="C13" s="64" t="s">
        <v>191</v>
      </c>
      <c r="D13" s="93" t="s">
        <v>105</v>
      </c>
      <c r="E13" s="66">
        <v>21.54</v>
      </c>
      <c r="F13" s="66">
        <f t="shared" si="0"/>
        <v>215.39999999999998</v>
      </c>
      <c r="G13" s="68"/>
    </row>
    <row r="14" spans="1:9" ht="30" customHeight="1" x14ac:dyDescent="0.3">
      <c r="A14" s="63">
        <v>5</v>
      </c>
      <c r="B14" s="64" t="s">
        <v>15</v>
      </c>
      <c r="C14" s="64" t="s">
        <v>192</v>
      </c>
      <c r="D14" s="93" t="s">
        <v>105</v>
      </c>
      <c r="E14" s="66">
        <v>25.44</v>
      </c>
      <c r="F14" s="66">
        <f t="shared" si="0"/>
        <v>127.2</v>
      </c>
      <c r="G14" s="68"/>
    </row>
    <row r="15" spans="1:9" ht="30" customHeight="1" x14ac:dyDescent="0.3">
      <c r="A15" s="63">
        <v>5</v>
      </c>
      <c r="B15" s="64" t="s">
        <v>15</v>
      </c>
      <c r="C15" s="64" t="s">
        <v>99</v>
      </c>
      <c r="D15" s="93" t="s">
        <v>105</v>
      </c>
      <c r="E15" s="66">
        <v>4.47</v>
      </c>
      <c r="F15" s="66">
        <f t="shared" si="0"/>
        <v>22.349999999999998</v>
      </c>
      <c r="G15" s="68"/>
    </row>
    <row r="16" spans="1:9" ht="30" customHeight="1" x14ac:dyDescent="0.3">
      <c r="A16" s="63">
        <v>10</v>
      </c>
      <c r="B16" s="64" t="s">
        <v>15</v>
      </c>
      <c r="C16" s="64" t="s">
        <v>193</v>
      </c>
      <c r="D16" s="93" t="s">
        <v>105</v>
      </c>
      <c r="E16" s="66">
        <v>4.43</v>
      </c>
      <c r="F16" s="66">
        <f t="shared" si="0"/>
        <v>44.3</v>
      </c>
      <c r="G16" s="68"/>
    </row>
    <row r="17" spans="1:7" ht="30" customHeight="1" x14ac:dyDescent="0.3">
      <c r="A17" s="63">
        <v>10</v>
      </c>
      <c r="B17" s="64" t="s">
        <v>15</v>
      </c>
      <c r="C17" s="64" t="s">
        <v>85</v>
      </c>
      <c r="D17" s="93" t="s">
        <v>105</v>
      </c>
      <c r="E17" s="66">
        <v>4.1399999999999997</v>
      </c>
      <c r="F17" s="66">
        <f t="shared" si="0"/>
        <v>41.4</v>
      </c>
      <c r="G17" s="68"/>
    </row>
    <row r="18" spans="1:7" ht="30" customHeight="1" x14ac:dyDescent="0.3">
      <c r="A18" s="63">
        <v>10</v>
      </c>
      <c r="B18" s="64" t="s">
        <v>15</v>
      </c>
      <c r="C18" s="64" t="s">
        <v>84</v>
      </c>
      <c r="D18" s="93" t="s">
        <v>105</v>
      </c>
      <c r="E18" s="66">
        <v>4.43</v>
      </c>
      <c r="F18" s="66">
        <f t="shared" si="0"/>
        <v>44.3</v>
      </c>
      <c r="G18" s="68"/>
    </row>
    <row r="19" spans="1:7" ht="30" customHeight="1" x14ac:dyDescent="0.3">
      <c r="A19" s="63">
        <v>10</v>
      </c>
      <c r="B19" s="64" t="s">
        <v>15</v>
      </c>
      <c r="C19" s="64" t="s">
        <v>200</v>
      </c>
      <c r="D19" s="93" t="s">
        <v>105</v>
      </c>
      <c r="E19" s="66">
        <v>3.69</v>
      </c>
      <c r="F19" s="66">
        <f t="shared" si="0"/>
        <v>36.9</v>
      </c>
      <c r="G19" s="68"/>
    </row>
    <row r="20" spans="1:7" ht="30" customHeight="1" x14ac:dyDescent="0.3">
      <c r="A20" s="63">
        <v>5</v>
      </c>
      <c r="B20" s="64" t="s">
        <v>15</v>
      </c>
      <c r="C20" s="64" t="s">
        <v>201</v>
      </c>
      <c r="D20" s="93" t="s">
        <v>105</v>
      </c>
      <c r="E20" s="66">
        <v>26.01</v>
      </c>
      <c r="F20" s="66">
        <f>+A20*E20</f>
        <v>130.05000000000001</v>
      </c>
      <c r="G20" s="68"/>
    </row>
    <row r="21" spans="1:7" ht="30" customHeight="1" x14ac:dyDescent="0.3">
      <c r="A21" s="63">
        <v>4</v>
      </c>
      <c r="B21" s="64" t="s">
        <v>15</v>
      </c>
      <c r="C21" s="64" t="s">
        <v>194</v>
      </c>
      <c r="D21" s="93"/>
      <c r="E21" s="66">
        <v>64.2</v>
      </c>
      <c r="F21" s="66">
        <f>+A21*E21</f>
        <v>256.8</v>
      </c>
      <c r="G21" s="68"/>
    </row>
    <row r="22" spans="1:7" ht="30" customHeight="1" x14ac:dyDescent="0.3">
      <c r="A22" s="63">
        <v>2</v>
      </c>
      <c r="B22" s="64" t="s">
        <v>15</v>
      </c>
      <c r="C22" s="64" t="s">
        <v>195</v>
      </c>
      <c r="D22" s="93"/>
      <c r="E22" s="66">
        <v>255.94</v>
      </c>
      <c r="F22" s="66">
        <f t="shared" si="0"/>
        <v>511.88</v>
      </c>
      <c r="G22" s="68"/>
    </row>
    <row r="23" spans="1:7" ht="30" customHeight="1" x14ac:dyDescent="0.3">
      <c r="A23" s="63">
        <v>2</v>
      </c>
      <c r="B23" s="64" t="s">
        <v>15</v>
      </c>
      <c r="C23" s="64" t="s">
        <v>196</v>
      </c>
      <c r="D23" s="93"/>
      <c r="E23" s="66">
        <v>11.69</v>
      </c>
      <c r="F23" s="66">
        <f t="shared" si="0"/>
        <v>23.38</v>
      </c>
      <c r="G23" s="68"/>
    </row>
    <row r="24" spans="1:7" ht="30" customHeight="1" x14ac:dyDescent="0.3">
      <c r="A24" s="63">
        <v>4</v>
      </c>
      <c r="B24" s="64" t="s">
        <v>15</v>
      </c>
      <c r="C24" s="64" t="s">
        <v>197</v>
      </c>
      <c r="D24" s="93"/>
      <c r="E24" s="66">
        <v>4.6900000000000004</v>
      </c>
      <c r="F24" s="66">
        <f t="shared" si="0"/>
        <v>18.760000000000002</v>
      </c>
      <c r="G24" s="68"/>
    </row>
    <row r="25" spans="1:7" ht="30" customHeight="1" x14ac:dyDescent="0.3">
      <c r="A25" s="69">
        <v>2</v>
      </c>
      <c r="B25" s="64" t="s">
        <v>15</v>
      </c>
      <c r="C25" s="64" t="s">
        <v>198</v>
      </c>
      <c r="D25" s="93"/>
      <c r="E25" s="66">
        <v>9.1</v>
      </c>
      <c r="F25" s="66">
        <f t="shared" si="0"/>
        <v>18.2</v>
      </c>
      <c r="G25" s="68"/>
    </row>
    <row r="26" spans="1:7" ht="30" customHeight="1" x14ac:dyDescent="0.3">
      <c r="A26" s="69">
        <v>2</v>
      </c>
      <c r="B26" s="64" t="s">
        <v>15</v>
      </c>
      <c r="C26" s="64" t="s">
        <v>199</v>
      </c>
      <c r="D26" s="93"/>
      <c r="E26" s="66">
        <v>67.52</v>
      </c>
      <c r="F26" s="66">
        <f>A26*E26</f>
        <v>135.04</v>
      </c>
      <c r="G26" s="68"/>
    </row>
    <row r="27" spans="1:7" ht="30" customHeight="1" x14ac:dyDescent="0.3">
      <c r="A27" s="69"/>
      <c r="B27" s="64"/>
      <c r="C27" s="64"/>
      <c r="D27" s="93"/>
      <c r="E27" s="66"/>
      <c r="F27" s="66">
        <f>A27*E27</f>
        <v>0</v>
      </c>
      <c r="G27" s="68"/>
    </row>
    <row r="28" spans="1:7" ht="30" customHeight="1" x14ac:dyDescent="0.3">
      <c r="A28" s="70"/>
      <c r="B28" s="71"/>
      <c r="C28" s="71"/>
      <c r="D28" s="94"/>
      <c r="E28" s="73"/>
      <c r="F28" s="73">
        <f>A28*E28</f>
        <v>0</v>
      </c>
      <c r="G28" s="75"/>
    </row>
    <row r="29" spans="1:7" ht="30" customHeight="1" x14ac:dyDescent="0.3">
      <c r="A29" s="76"/>
      <c r="B29" s="77"/>
      <c r="C29" s="164" t="s">
        <v>27</v>
      </c>
      <c r="D29" s="164"/>
      <c r="E29" s="78"/>
      <c r="F29" s="79">
        <f>SUM(F9:F26)</f>
        <v>5587.5</v>
      </c>
      <c r="G29" s="80"/>
    </row>
    <row r="30" spans="1:7" ht="30" customHeight="1" x14ac:dyDescent="0.3">
      <c r="A30" s="81"/>
      <c r="B30" s="82"/>
      <c r="C30" s="165" t="s">
        <v>28</v>
      </c>
      <c r="D30" s="165"/>
      <c r="E30" s="83"/>
      <c r="F30" s="84">
        <f>F29*0.16</f>
        <v>894</v>
      </c>
      <c r="G30" s="85"/>
    </row>
    <row r="31" spans="1:7" ht="30" customHeight="1" x14ac:dyDescent="0.3">
      <c r="A31" s="81"/>
      <c r="B31" s="82"/>
      <c r="C31" s="166" t="s">
        <v>29</v>
      </c>
      <c r="D31" s="166"/>
      <c r="E31" s="86"/>
      <c r="F31" s="87">
        <f>F29+F30</f>
        <v>6481.5</v>
      </c>
      <c r="G31" s="88"/>
    </row>
    <row r="32" spans="1:7" ht="15.6" x14ac:dyDescent="0.3">
      <c r="A32" s="167" t="s">
        <v>30</v>
      </c>
      <c r="B32" s="168"/>
      <c r="C32" s="89" t="s">
        <v>31</v>
      </c>
      <c r="D32" s="89"/>
      <c r="E32" s="168" t="s">
        <v>32</v>
      </c>
      <c r="F32" s="168"/>
      <c r="G32" s="169"/>
    </row>
    <row r="33" spans="1:7" ht="15.6" x14ac:dyDescent="0.3">
      <c r="A33" s="170" t="s">
        <v>52</v>
      </c>
      <c r="B33" s="171"/>
      <c r="C33" s="90" t="s">
        <v>33</v>
      </c>
      <c r="D33" s="90"/>
      <c r="E33" s="171" t="s">
        <v>34</v>
      </c>
      <c r="F33" s="171"/>
      <c r="G33" s="172"/>
    </row>
    <row r="34" spans="1:7" x14ac:dyDescent="0.3">
      <c r="A34" s="91"/>
      <c r="B34" s="91"/>
      <c r="C34" s="91"/>
      <c r="D34" s="91"/>
      <c r="E34" s="91"/>
      <c r="F34" s="91"/>
      <c r="G34" s="91"/>
    </row>
    <row r="35" spans="1:7" x14ac:dyDescent="0.3">
      <c r="A35" s="91"/>
      <c r="B35" s="91"/>
      <c r="C35" s="91"/>
      <c r="D35" s="91"/>
      <c r="E35" s="91"/>
      <c r="F35" s="91"/>
      <c r="G35" s="91"/>
    </row>
    <row r="36" spans="1:7" ht="21" x14ac:dyDescent="0.4">
      <c r="A36" s="49"/>
      <c r="B36" s="184" t="s">
        <v>45</v>
      </c>
      <c r="C36" s="185"/>
      <c r="D36" s="190" t="s">
        <v>36</v>
      </c>
      <c r="E36" s="191"/>
      <c r="F36" s="191"/>
      <c r="G36" s="192"/>
    </row>
    <row r="37" spans="1:7" ht="30.6" customHeight="1" x14ac:dyDescent="0.4">
      <c r="A37" s="50"/>
      <c r="B37" s="186"/>
      <c r="C37" s="187"/>
      <c r="D37" s="193" t="s">
        <v>1</v>
      </c>
      <c r="E37" s="194"/>
      <c r="F37" s="195" t="s">
        <v>203</v>
      </c>
      <c r="G37" s="177"/>
    </row>
    <row r="38" spans="1:7" ht="38.4" customHeight="1" x14ac:dyDescent="0.4">
      <c r="A38" s="51"/>
      <c r="B38" s="188"/>
      <c r="C38" s="189"/>
      <c r="D38" s="178" t="s">
        <v>38</v>
      </c>
      <c r="E38" s="179"/>
      <c r="F38" s="180" t="s">
        <v>205</v>
      </c>
      <c r="G38" s="181"/>
    </row>
    <row r="39" spans="1:7" ht="20.399999999999999" x14ac:dyDescent="0.35">
      <c r="A39" s="52" t="s">
        <v>39</v>
      </c>
      <c r="B39" s="53" t="s">
        <v>49</v>
      </c>
      <c r="C39" s="54"/>
      <c r="D39" s="54"/>
      <c r="E39" s="182"/>
      <c r="F39" s="182"/>
      <c r="G39" s="183"/>
    </row>
    <row r="40" spans="1:7" ht="20.399999999999999" x14ac:dyDescent="0.35">
      <c r="A40" s="52" t="s">
        <v>40</v>
      </c>
      <c r="B40" s="173"/>
      <c r="C40" s="174"/>
      <c r="D40" s="174"/>
      <c r="E40" s="174"/>
      <c r="F40" s="174"/>
      <c r="G40" s="175"/>
    </row>
    <row r="41" spans="1:7" ht="20.399999999999999" x14ac:dyDescent="0.35">
      <c r="A41" s="52" t="s">
        <v>41</v>
      </c>
      <c r="B41" s="173" t="s">
        <v>106</v>
      </c>
      <c r="C41" s="174"/>
      <c r="D41" s="174"/>
      <c r="E41" s="174"/>
      <c r="F41" s="174"/>
      <c r="G41" s="175"/>
    </row>
    <row r="42" spans="1:7" ht="20.399999999999999" x14ac:dyDescent="0.35">
      <c r="A42" s="52" t="s">
        <v>42</v>
      </c>
      <c r="B42" s="53" t="s">
        <v>77</v>
      </c>
      <c r="C42" s="54"/>
      <c r="D42" s="54"/>
      <c r="E42" s="54"/>
      <c r="F42" s="54"/>
      <c r="G42" s="98"/>
    </row>
    <row r="43" spans="1:7" ht="31.2" x14ac:dyDescent="0.3">
      <c r="A43" s="55" t="s">
        <v>8</v>
      </c>
      <c r="B43" s="55" t="s">
        <v>9</v>
      </c>
      <c r="C43" s="55" t="s">
        <v>10</v>
      </c>
      <c r="D43" s="56" t="s">
        <v>43</v>
      </c>
      <c r="E43" s="55" t="s">
        <v>12</v>
      </c>
      <c r="F43" s="55" t="s">
        <v>13</v>
      </c>
      <c r="G43" s="55" t="s">
        <v>14</v>
      </c>
    </row>
    <row r="44" spans="1:7" ht="25.05" customHeight="1" x14ac:dyDescent="0.3">
      <c r="A44" s="57">
        <v>10</v>
      </c>
      <c r="B44" s="58" t="s">
        <v>15</v>
      </c>
      <c r="C44" s="58" t="s">
        <v>206</v>
      </c>
      <c r="D44" s="92" t="s">
        <v>111</v>
      </c>
      <c r="E44" s="60">
        <v>13.05</v>
      </c>
      <c r="F44" s="60">
        <f>+A44*E44</f>
        <v>130.5</v>
      </c>
      <c r="G44" s="62"/>
    </row>
    <row r="45" spans="1:7" ht="25.05" customHeight="1" x14ac:dyDescent="0.3">
      <c r="A45" s="63">
        <v>10</v>
      </c>
      <c r="B45" s="64" t="s">
        <v>15</v>
      </c>
      <c r="C45" s="64" t="s">
        <v>207</v>
      </c>
      <c r="D45" s="93" t="s">
        <v>111</v>
      </c>
      <c r="E45" s="66">
        <v>12.33</v>
      </c>
      <c r="F45" s="66">
        <f t="shared" ref="F45:F54" si="1">+A45*E45</f>
        <v>123.3</v>
      </c>
      <c r="G45" s="68"/>
    </row>
    <row r="46" spans="1:7" ht="25.05" customHeight="1" x14ac:dyDescent="0.3">
      <c r="A46" s="63">
        <v>50</v>
      </c>
      <c r="B46" s="64" t="s">
        <v>15</v>
      </c>
      <c r="C46" s="64" t="s">
        <v>208</v>
      </c>
      <c r="D46" s="93" t="s">
        <v>111</v>
      </c>
      <c r="E46" s="66">
        <v>34.08</v>
      </c>
      <c r="F46" s="66">
        <f t="shared" si="1"/>
        <v>1704</v>
      </c>
      <c r="G46" s="68"/>
    </row>
    <row r="47" spans="1:7" ht="25.05" customHeight="1" x14ac:dyDescent="0.3">
      <c r="A47" s="63">
        <v>50</v>
      </c>
      <c r="B47" s="64" t="s">
        <v>15</v>
      </c>
      <c r="C47" s="64" t="s">
        <v>209</v>
      </c>
      <c r="D47" s="93" t="s">
        <v>111</v>
      </c>
      <c r="E47" s="66">
        <v>31.18</v>
      </c>
      <c r="F47" s="66">
        <f t="shared" si="1"/>
        <v>1559</v>
      </c>
      <c r="G47" s="68"/>
    </row>
    <row r="48" spans="1:7" ht="25.05" customHeight="1" x14ac:dyDescent="0.3">
      <c r="A48" s="63">
        <v>30</v>
      </c>
      <c r="B48" s="64" t="s">
        <v>15</v>
      </c>
      <c r="C48" s="64" t="s">
        <v>210</v>
      </c>
      <c r="D48" s="93" t="s">
        <v>111</v>
      </c>
      <c r="E48" s="66">
        <v>10.88</v>
      </c>
      <c r="F48" s="66">
        <f t="shared" si="1"/>
        <v>326.40000000000003</v>
      </c>
      <c r="G48" s="68"/>
    </row>
    <row r="49" spans="1:7" ht="25.05" customHeight="1" x14ac:dyDescent="0.3">
      <c r="A49" s="63"/>
      <c r="B49" s="64"/>
      <c r="C49" s="64"/>
      <c r="D49" s="93"/>
      <c r="E49" s="66"/>
      <c r="F49" s="66">
        <f t="shared" si="1"/>
        <v>0</v>
      </c>
      <c r="G49" s="68"/>
    </row>
    <row r="50" spans="1:7" ht="25.05" customHeight="1" x14ac:dyDescent="0.3">
      <c r="A50" s="63"/>
      <c r="B50" s="64"/>
      <c r="C50" s="64"/>
      <c r="D50" s="93"/>
      <c r="E50" s="66"/>
      <c r="F50" s="66">
        <f t="shared" si="1"/>
        <v>0</v>
      </c>
      <c r="G50" s="68"/>
    </row>
    <row r="51" spans="1:7" ht="25.05" customHeight="1" x14ac:dyDescent="0.3">
      <c r="A51" s="63"/>
      <c r="B51" s="64"/>
      <c r="C51" s="64"/>
      <c r="D51" s="93"/>
      <c r="E51" s="66"/>
      <c r="F51" s="66">
        <f t="shared" si="1"/>
        <v>0</v>
      </c>
      <c r="G51" s="68"/>
    </row>
    <row r="52" spans="1:7" ht="25.05" customHeight="1" x14ac:dyDescent="0.3">
      <c r="A52" s="63"/>
      <c r="B52" s="64"/>
      <c r="C52" s="64"/>
      <c r="D52" s="93"/>
      <c r="E52" s="66"/>
      <c r="F52" s="66">
        <f t="shared" si="1"/>
        <v>0</v>
      </c>
      <c r="G52" s="68"/>
    </row>
    <row r="53" spans="1:7" ht="25.05" customHeight="1" x14ac:dyDescent="0.3">
      <c r="A53" s="63"/>
      <c r="B53" s="64"/>
      <c r="C53" s="64"/>
      <c r="D53" s="93"/>
      <c r="E53" s="66"/>
      <c r="F53" s="66">
        <f t="shared" si="1"/>
        <v>0</v>
      </c>
      <c r="G53" s="68"/>
    </row>
    <row r="54" spans="1:7" ht="25.05" customHeight="1" x14ac:dyDescent="0.3">
      <c r="A54" s="63"/>
      <c r="B54" s="64"/>
      <c r="C54" s="64"/>
      <c r="D54" s="93"/>
      <c r="E54" s="66"/>
      <c r="F54" s="66">
        <f t="shared" si="1"/>
        <v>0</v>
      </c>
      <c r="G54" s="68"/>
    </row>
    <row r="55" spans="1:7" ht="25.05" customHeight="1" x14ac:dyDescent="0.3">
      <c r="A55" s="63"/>
      <c r="B55" s="64"/>
      <c r="C55" s="64"/>
      <c r="D55" s="93"/>
      <c r="E55" s="66"/>
      <c r="F55" s="66">
        <f t="shared" ref="F55:F60" si="2">+A55*E55</f>
        <v>0</v>
      </c>
      <c r="G55" s="68"/>
    </row>
    <row r="56" spans="1:7" ht="25.05" customHeight="1" x14ac:dyDescent="0.3">
      <c r="A56" s="63"/>
      <c r="B56" s="64"/>
      <c r="C56" s="64"/>
      <c r="D56" s="93"/>
      <c r="E56" s="66"/>
      <c r="F56" s="66">
        <f t="shared" si="2"/>
        <v>0</v>
      </c>
      <c r="G56" s="68"/>
    </row>
    <row r="57" spans="1:7" ht="25.05" customHeight="1" x14ac:dyDescent="0.3">
      <c r="A57" s="63"/>
      <c r="B57" s="64"/>
      <c r="C57" s="64"/>
      <c r="D57" s="93"/>
      <c r="E57" s="66"/>
      <c r="F57" s="66">
        <f t="shared" si="2"/>
        <v>0</v>
      </c>
      <c r="G57" s="68"/>
    </row>
    <row r="58" spans="1:7" ht="25.05" customHeight="1" x14ac:dyDescent="0.3">
      <c r="A58" s="63"/>
      <c r="B58" s="64"/>
      <c r="C58" s="64"/>
      <c r="D58" s="93"/>
      <c r="E58" s="66"/>
      <c r="F58" s="66">
        <f t="shared" si="2"/>
        <v>0</v>
      </c>
      <c r="G58" s="68"/>
    </row>
    <row r="59" spans="1:7" ht="25.05" customHeight="1" x14ac:dyDescent="0.3">
      <c r="A59" s="63"/>
      <c r="B59" s="64"/>
      <c r="C59" s="64"/>
      <c r="D59" s="93"/>
      <c r="E59" s="66"/>
      <c r="F59" s="66">
        <f t="shared" si="2"/>
        <v>0</v>
      </c>
      <c r="G59" s="68"/>
    </row>
    <row r="60" spans="1:7" ht="25.05" customHeight="1" x14ac:dyDescent="0.3">
      <c r="A60" s="69"/>
      <c r="B60" s="64"/>
      <c r="C60" s="64"/>
      <c r="D60" s="93"/>
      <c r="E60" s="66"/>
      <c r="F60" s="66">
        <f t="shared" si="2"/>
        <v>0</v>
      </c>
      <c r="G60" s="68"/>
    </row>
    <row r="61" spans="1:7" ht="25.05" customHeight="1" x14ac:dyDescent="0.3">
      <c r="A61" s="69"/>
      <c r="B61" s="64"/>
      <c r="C61" s="64"/>
      <c r="D61" s="93"/>
      <c r="E61" s="66"/>
      <c r="F61" s="66">
        <f>A61*E61</f>
        <v>0</v>
      </c>
      <c r="G61" s="68"/>
    </row>
    <row r="62" spans="1:7" ht="15.6" x14ac:dyDescent="0.3">
      <c r="A62" s="69"/>
      <c r="B62" s="64"/>
      <c r="C62" s="64"/>
      <c r="D62" s="93"/>
      <c r="E62" s="66"/>
      <c r="F62" s="66">
        <f>A62*E62</f>
        <v>0</v>
      </c>
      <c r="G62" s="68"/>
    </row>
    <row r="63" spans="1:7" ht="15.6" x14ac:dyDescent="0.3">
      <c r="A63" s="70"/>
      <c r="B63" s="71"/>
      <c r="C63" s="71"/>
      <c r="D63" s="94"/>
      <c r="E63" s="73"/>
      <c r="F63" s="73">
        <f>A63*E63</f>
        <v>0</v>
      </c>
      <c r="G63" s="75"/>
    </row>
    <row r="64" spans="1:7" ht="17.399999999999999" x14ac:dyDescent="0.3">
      <c r="A64" s="76"/>
      <c r="B64" s="77"/>
      <c r="C64" s="164" t="s">
        <v>27</v>
      </c>
      <c r="D64" s="164"/>
      <c r="E64" s="78"/>
      <c r="F64" s="79">
        <f>SUM(F44:F61)</f>
        <v>3843.2000000000003</v>
      </c>
      <c r="G64" s="80"/>
    </row>
    <row r="65" spans="1:7" ht="17.399999999999999" x14ac:dyDescent="0.3">
      <c r="A65" s="81"/>
      <c r="B65" s="82"/>
      <c r="C65" s="165" t="s">
        <v>28</v>
      </c>
      <c r="D65" s="165"/>
      <c r="E65" s="83"/>
      <c r="F65" s="84">
        <f>F64*0.16</f>
        <v>614.91200000000003</v>
      </c>
      <c r="G65" s="85"/>
    </row>
    <row r="66" spans="1:7" ht="17.399999999999999" x14ac:dyDescent="0.3">
      <c r="A66" s="81"/>
      <c r="B66" s="82"/>
      <c r="C66" s="166" t="s">
        <v>29</v>
      </c>
      <c r="D66" s="166"/>
      <c r="E66" s="86"/>
      <c r="F66" s="87">
        <f>F64+F65</f>
        <v>4458.1120000000001</v>
      </c>
      <c r="G66" s="88"/>
    </row>
    <row r="67" spans="1:7" ht="15.6" x14ac:dyDescent="0.3">
      <c r="A67" s="167" t="s">
        <v>30</v>
      </c>
      <c r="B67" s="168"/>
      <c r="C67" s="89" t="s">
        <v>31</v>
      </c>
      <c r="D67" s="89"/>
      <c r="E67" s="168" t="s">
        <v>32</v>
      </c>
      <c r="F67" s="168"/>
      <c r="G67" s="169"/>
    </row>
    <row r="68" spans="1:7" ht="15.6" x14ac:dyDescent="0.3">
      <c r="A68" s="170" t="s">
        <v>52</v>
      </c>
      <c r="B68" s="171"/>
      <c r="C68" s="90" t="s">
        <v>33</v>
      </c>
      <c r="D68" s="90"/>
      <c r="E68" s="171" t="s">
        <v>34</v>
      </c>
      <c r="F68" s="171"/>
      <c r="G68" s="172"/>
    </row>
    <row r="69" spans="1:7" x14ac:dyDescent="0.3">
      <c r="A69" s="91"/>
      <c r="B69" s="91"/>
      <c r="C69" s="91"/>
      <c r="D69" s="91"/>
      <c r="E69" s="91"/>
      <c r="F69" s="91"/>
      <c r="G69" s="91"/>
    </row>
  </sheetData>
  <mergeCells count="32">
    <mergeCell ref="C66:D66"/>
    <mergeCell ref="A67:B67"/>
    <mergeCell ref="E67:G67"/>
    <mergeCell ref="A68:B68"/>
    <mergeCell ref="E68:G68"/>
    <mergeCell ref="E39:G39"/>
    <mergeCell ref="B40:G40"/>
    <mergeCell ref="B41:G41"/>
    <mergeCell ref="C64:D64"/>
    <mergeCell ref="C65:D65"/>
    <mergeCell ref="B36:C38"/>
    <mergeCell ref="D36:G36"/>
    <mergeCell ref="D37:E37"/>
    <mergeCell ref="F37:G37"/>
    <mergeCell ref="D38:E38"/>
    <mergeCell ref="F38:G38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C29:D29"/>
    <mergeCell ref="C30:D30"/>
    <mergeCell ref="C31:D31"/>
    <mergeCell ref="A32:B32"/>
    <mergeCell ref="E32:G32"/>
    <mergeCell ref="A33:B33"/>
    <mergeCell ref="E33:G33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32 A67" xr:uid="{8EA43D93-B35B-4CB1-9863-CA9E40FB48A3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AE66A-15DE-4E6A-AE08-81B717AFE720}">
  <sheetPr>
    <pageSetUpPr fitToPage="1"/>
  </sheetPr>
  <dimension ref="A1:I25"/>
  <sheetViews>
    <sheetView zoomScale="70" zoomScaleNormal="70" workbookViewId="0">
      <selection activeCell="D1" sqref="A1:G25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172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173</v>
      </c>
      <c r="G3" s="181"/>
      <c r="H3" s="6"/>
      <c r="I3" s="6"/>
    </row>
    <row r="4" spans="1:9" ht="21" x14ac:dyDescent="0.4">
      <c r="A4" s="52" t="s">
        <v>39</v>
      </c>
      <c r="B4" s="53" t="s">
        <v>54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174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175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4</v>
      </c>
      <c r="B9" s="58" t="s">
        <v>112</v>
      </c>
      <c r="C9" s="58" t="s">
        <v>176</v>
      </c>
      <c r="D9" s="95"/>
      <c r="E9" s="60">
        <v>283.5</v>
      </c>
      <c r="F9" s="61">
        <f t="shared" ref="F9:F18" si="0">A9*E9</f>
        <v>1134</v>
      </c>
      <c r="G9" s="62"/>
    </row>
    <row r="10" spans="1:9" ht="48" customHeight="1" x14ac:dyDescent="0.3">
      <c r="A10" s="63"/>
      <c r="B10" s="64"/>
      <c r="C10" s="64"/>
      <c r="D10" s="96"/>
      <c r="E10" s="66"/>
      <c r="F10" s="67">
        <f t="shared" si="0"/>
        <v>0</v>
      </c>
      <c r="G10" s="68"/>
    </row>
    <row r="11" spans="1:9" ht="48" customHeight="1" x14ac:dyDescent="0.3">
      <c r="A11" s="63"/>
      <c r="B11" s="64"/>
      <c r="C11" s="64"/>
      <c r="D11" s="96"/>
      <c r="E11" s="66"/>
      <c r="F11" s="67">
        <f t="shared" si="0"/>
        <v>0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1134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181.44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1315.44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1:D21"/>
    <mergeCell ref="A22:B22"/>
    <mergeCell ref="E22:G22"/>
    <mergeCell ref="A23:B23"/>
    <mergeCell ref="E23:G23"/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9D8BDF64-7125-4616-A658-D1887DCDA706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A1716-9D93-4E2F-95E5-0B02D1B65533}">
  <sheetPr>
    <pageSetUpPr fitToPage="1"/>
  </sheetPr>
  <dimension ref="A1:I25"/>
  <sheetViews>
    <sheetView zoomScale="70" zoomScaleNormal="70" workbookViewId="0">
      <selection activeCell="D1" sqref="A1:G24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159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166</v>
      </c>
      <c r="G3" s="181"/>
      <c r="H3" s="6"/>
      <c r="I3" s="6"/>
    </row>
    <row r="4" spans="1:9" ht="21" x14ac:dyDescent="0.4">
      <c r="A4" s="52" t="s">
        <v>39</v>
      </c>
      <c r="B4" s="53" t="s">
        <v>54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167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6</v>
      </c>
      <c r="B9" s="58" t="s">
        <v>168</v>
      </c>
      <c r="C9" s="58" t="s">
        <v>169</v>
      </c>
      <c r="D9" s="95"/>
      <c r="E9" s="60">
        <v>1822.47</v>
      </c>
      <c r="F9" s="61">
        <f t="shared" ref="F9:F18" si="0">A9*E9</f>
        <v>10934.82</v>
      </c>
      <c r="G9" s="62"/>
    </row>
    <row r="10" spans="1:9" ht="48" customHeight="1" x14ac:dyDescent="0.3">
      <c r="A10" s="63"/>
      <c r="B10" s="64"/>
      <c r="C10" s="64"/>
      <c r="D10" s="96"/>
      <c r="E10" s="66"/>
      <c r="F10" s="67">
        <f t="shared" si="0"/>
        <v>0</v>
      </c>
      <c r="G10" s="68"/>
    </row>
    <row r="11" spans="1:9" ht="48" customHeight="1" x14ac:dyDescent="0.3">
      <c r="A11" s="63"/>
      <c r="B11" s="64"/>
      <c r="C11" s="64"/>
      <c r="D11" s="96"/>
      <c r="E11" s="66"/>
      <c r="F11" s="67">
        <f t="shared" si="0"/>
        <v>0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10934.82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1749.5712000000001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12684.3912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  <mergeCell ref="C21:D21"/>
    <mergeCell ref="A22:B22"/>
    <mergeCell ref="E22:G22"/>
    <mergeCell ref="A23:B23"/>
    <mergeCell ref="E23:G23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86E743C2-B9C4-4338-A849-6928748EA006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E3364-E574-4ABE-B486-53D4B13F1657}">
  <sheetPr>
    <pageSetUpPr fitToPage="1"/>
  </sheetPr>
  <dimension ref="A1:I48"/>
  <sheetViews>
    <sheetView zoomScale="70" zoomScaleNormal="70" workbookViewId="0">
      <selection activeCell="D1" sqref="A1:G23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171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165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164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71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145</v>
      </c>
      <c r="B9" s="58" t="s">
        <v>15</v>
      </c>
      <c r="C9" s="58" t="s">
        <v>170</v>
      </c>
      <c r="D9" s="59"/>
      <c r="E9" s="60">
        <v>90</v>
      </c>
      <c r="F9" s="61">
        <f t="shared" ref="F9:F18" si="0">A9*E9</f>
        <v>13050</v>
      </c>
      <c r="G9" s="62"/>
    </row>
    <row r="10" spans="1:9" ht="48" customHeight="1" x14ac:dyDescent="0.3">
      <c r="A10" s="63"/>
      <c r="B10" s="64"/>
      <c r="C10" s="64"/>
      <c r="D10" s="65"/>
      <c r="E10" s="66"/>
      <c r="F10" s="67">
        <f t="shared" si="0"/>
        <v>0</v>
      </c>
      <c r="G10" s="68"/>
    </row>
    <row r="11" spans="1:9" ht="48" customHeight="1" x14ac:dyDescent="0.3">
      <c r="A11" s="63"/>
      <c r="B11" s="64"/>
      <c r="C11" s="64"/>
      <c r="D11" s="65"/>
      <c r="E11" s="66"/>
      <c r="F11" s="67">
        <f t="shared" si="0"/>
        <v>0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13050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2088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15138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ht="21" x14ac:dyDescent="0.4">
      <c r="A25" s="49"/>
      <c r="B25" s="184" t="s">
        <v>45</v>
      </c>
      <c r="C25" s="185"/>
      <c r="D25" s="190" t="s">
        <v>36</v>
      </c>
      <c r="E25" s="191"/>
      <c r="F25" s="191"/>
      <c r="G25" s="192"/>
    </row>
    <row r="26" spans="1:7" ht="21" x14ac:dyDescent="0.4">
      <c r="A26" s="50"/>
      <c r="B26" s="186"/>
      <c r="C26" s="187"/>
      <c r="D26" s="193" t="s">
        <v>1</v>
      </c>
      <c r="E26" s="194"/>
      <c r="F26" s="195" t="s">
        <v>147</v>
      </c>
      <c r="G26" s="177"/>
    </row>
    <row r="27" spans="1:7" ht="36.6" customHeight="1" x14ac:dyDescent="0.4">
      <c r="A27" s="51"/>
      <c r="B27" s="188"/>
      <c r="C27" s="189"/>
      <c r="D27" s="178" t="s">
        <v>38</v>
      </c>
      <c r="E27" s="179"/>
      <c r="F27" s="180" t="s">
        <v>151</v>
      </c>
      <c r="G27" s="181"/>
    </row>
    <row r="28" spans="1:7" ht="20.399999999999999" x14ac:dyDescent="0.35">
      <c r="A28" s="52" t="s">
        <v>39</v>
      </c>
      <c r="B28" s="53" t="s">
        <v>49</v>
      </c>
      <c r="C28" s="54"/>
      <c r="D28" s="54"/>
      <c r="E28" s="182"/>
      <c r="F28" s="182"/>
      <c r="G28" s="183"/>
    </row>
    <row r="29" spans="1:7" ht="20.399999999999999" x14ac:dyDescent="0.35">
      <c r="A29" s="52" t="s">
        <v>40</v>
      </c>
      <c r="B29" s="173" t="s">
        <v>67</v>
      </c>
      <c r="C29" s="174"/>
      <c r="D29" s="174"/>
      <c r="E29" s="174"/>
      <c r="F29" s="174"/>
      <c r="G29" s="175"/>
    </row>
    <row r="30" spans="1:7" ht="20.399999999999999" x14ac:dyDescent="0.35">
      <c r="A30" s="52" t="s">
        <v>41</v>
      </c>
      <c r="B30" s="173" t="s">
        <v>157</v>
      </c>
      <c r="C30" s="174"/>
      <c r="D30" s="174"/>
      <c r="E30" s="174"/>
      <c r="F30" s="174"/>
      <c r="G30" s="175"/>
    </row>
    <row r="31" spans="1:7" ht="20.399999999999999" x14ac:dyDescent="0.35">
      <c r="A31" s="52" t="s">
        <v>42</v>
      </c>
      <c r="B31" s="173" t="s">
        <v>71</v>
      </c>
      <c r="C31" s="174"/>
      <c r="D31" s="174"/>
      <c r="E31" s="174"/>
      <c r="F31" s="174"/>
      <c r="G31" s="175"/>
    </row>
    <row r="32" spans="1:7" ht="31.2" x14ac:dyDescent="0.3">
      <c r="A32" s="55" t="s">
        <v>8</v>
      </c>
      <c r="B32" s="55" t="s">
        <v>9</v>
      </c>
      <c r="C32" s="55" t="s">
        <v>10</v>
      </c>
      <c r="D32" s="56" t="s">
        <v>43</v>
      </c>
      <c r="E32" s="55" t="s">
        <v>12</v>
      </c>
      <c r="F32" s="55" t="s">
        <v>13</v>
      </c>
      <c r="G32" s="55" t="s">
        <v>14</v>
      </c>
    </row>
    <row r="33" spans="1:7" ht="25.2" customHeight="1" x14ac:dyDescent="0.3">
      <c r="A33" s="57">
        <v>20</v>
      </c>
      <c r="B33" s="58" t="s">
        <v>15</v>
      </c>
      <c r="C33" s="58" t="s">
        <v>149</v>
      </c>
      <c r="D33" s="59"/>
      <c r="E33" s="60">
        <v>110</v>
      </c>
      <c r="F33" s="61">
        <f t="shared" ref="F33:F42" si="1">A33*E33</f>
        <v>2200</v>
      </c>
      <c r="G33" s="62"/>
    </row>
    <row r="34" spans="1:7" ht="24" customHeight="1" x14ac:dyDescent="0.3">
      <c r="A34" s="63">
        <v>15</v>
      </c>
      <c r="B34" s="64" t="s">
        <v>15</v>
      </c>
      <c r="C34" s="64" t="s">
        <v>156</v>
      </c>
      <c r="D34" s="65"/>
      <c r="E34" s="66">
        <v>76</v>
      </c>
      <c r="F34" s="67">
        <f t="shared" si="1"/>
        <v>1140</v>
      </c>
      <c r="G34" s="68"/>
    </row>
    <row r="35" spans="1:7" ht="27" customHeight="1" x14ac:dyDescent="0.3">
      <c r="A35" s="63">
        <v>7</v>
      </c>
      <c r="B35" s="64" t="s">
        <v>15</v>
      </c>
      <c r="C35" s="64" t="s">
        <v>152</v>
      </c>
      <c r="D35" s="65"/>
      <c r="E35" s="66">
        <v>781.03</v>
      </c>
      <c r="F35" s="67">
        <f t="shared" si="1"/>
        <v>5467.21</v>
      </c>
      <c r="G35" s="68"/>
    </row>
    <row r="36" spans="1:7" ht="15.6" x14ac:dyDescent="0.3">
      <c r="A36" s="63">
        <v>15</v>
      </c>
      <c r="B36" s="64" t="s">
        <v>15</v>
      </c>
      <c r="C36" s="64" t="s">
        <v>155</v>
      </c>
      <c r="D36" s="65"/>
      <c r="E36" s="66">
        <v>40</v>
      </c>
      <c r="F36" s="67">
        <f t="shared" si="1"/>
        <v>600</v>
      </c>
      <c r="G36" s="68"/>
    </row>
    <row r="37" spans="1:7" ht="15.6" x14ac:dyDescent="0.3">
      <c r="A37" s="69"/>
      <c r="B37" s="64"/>
      <c r="C37" s="64"/>
      <c r="D37" s="65"/>
      <c r="E37" s="66"/>
      <c r="F37" s="67">
        <f t="shared" si="1"/>
        <v>0</v>
      </c>
      <c r="G37" s="68"/>
    </row>
    <row r="38" spans="1:7" ht="15.6" x14ac:dyDescent="0.3">
      <c r="A38" s="69"/>
      <c r="B38" s="64"/>
      <c r="C38" s="64"/>
      <c r="D38" s="65"/>
      <c r="E38" s="66"/>
      <c r="F38" s="67">
        <f t="shared" si="1"/>
        <v>0</v>
      </c>
      <c r="G38" s="68"/>
    </row>
    <row r="39" spans="1:7" ht="15.6" x14ac:dyDescent="0.3">
      <c r="A39" s="69"/>
      <c r="B39" s="64"/>
      <c r="C39" s="64"/>
      <c r="D39" s="65"/>
      <c r="E39" s="66"/>
      <c r="F39" s="67">
        <f t="shared" si="1"/>
        <v>0</v>
      </c>
      <c r="G39" s="68"/>
    </row>
    <row r="40" spans="1:7" ht="15.6" x14ac:dyDescent="0.3">
      <c r="A40" s="69"/>
      <c r="B40" s="64"/>
      <c r="C40" s="64"/>
      <c r="D40" s="65"/>
      <c r="E40" s="66"/>
      <c r="F40" s="67">
        <f t="shared" si="1"/>
        <v>0</v>
      </c>
      <c r="G40" s="68"/>
    </row>
    <row r="41" spans="1:7" ht="15.6" x14ac:dyDescent="0.3">
      <c r="A41" s="69"/>
      <c r="B41" s="64"/>
      <c r="C41" s="64"/>
      <c r="D41" s="65"/>
      <c r="E41" s="66"/>
      <c r="F41" s="67">
        <f t="shared" si="1"/>
        <v>0</v>
      </c>
      <c r="G41" s="68"/>
    </row>
    <row r="42" spans="1:7" ht="15.6" x14ac:dyDescent="0.3">
      <c r="A42" s="70"/>
      <c r="B42" s="71"/>
      <c r="C42" s="71"/>
      <c r="D42" s="72"/>
      <c r="E42" s="73"/>
      <c r="F42" s="74">
        <f t="shared" si="1"/>
        <v>0</v>
      </c>
      <c r="G42" s="75"/>
    </row>
    <row r="43" spans="1:7" ht="17.399999999999999" x14ac:dyDescent="0.3">
      <c r="A43" s="76"/>
      <c r="B43" s="77"/>
      <c r="C43" s="164" t="s">
        <v>27</v>
      </c>
      <c r="D43" s="164"/>
      <c r="E43" s="78"/>
      <c r="F43" s="79">
        <f>SUM(F33:F41)</f>
        <v>9407.2099999999991</v>
      </c>
      <c r="G43" s="80"/>
    </row>
    <row r="44" spans="1:7" ht="17.399999999999999" x14ac:dyDescent="0.3">
      <c r="A44" s="81"/>
      <c r="B44" s="82"/>
      <c r="C44" s="165" t="s">
        <v>28</v>
      </c>
      <c r="D44" s="165"/>
      <c r="E44" s="83"/>
      <c r="F44" s="84">
        <f>F43*0.16</f>
        <v>1505.1535999999999</v>
      </c>
      <c r="G44" s="85"/>
    </row>
    <row r="45" spans="1:7" ht="17.399999999999999" x14ac:dyDescent="0.3">
      <c r="A45" s="81"/>
      <c r="B45" s="82"/>
      <c r="C45" s="166" t="s">
        <v>29</v>
      </c>
      <c r="D45" s="166"/>
      <c r="E45" s="86"/>
      <c r="F45" s="87">
        <f>F43+F44</f>
        <v>10912.363599999999</v>
      </c>
      <c r="G45" s="88"/>
    </row>
    <row r="46" spans="1:7" ht="15.6" x14ac:dyDescent="0.3">
      <c r="A46" s="167" t="s">
        <v>30</v>
      </c>
      <c r="B46" s="168"/>
      <c r="C46" s="89" t="s">
        <v>31</v>
      </c>
      <c r="D46" s="89"/>
      <c r="E46" s="168" t="s">
        <v>32</v>
      </c>
      <c r="F46" s="168"/>
      <c r="G46" s="169"/>
    </row>
    <row r="47" spans="1:7" ht="15.6" x14ac:dyDescent="0.3">
      <c r="A47" s="170" t="s">
        <v>52</v>
      </c>
      <c r="B47" s="171"/>
      <c r="C47" s="90" t="s">
        <v>33</v>
      </c>
      <c r="D47" s="90"/>
      <c r="E47" s="171" t="s">
        <v>34</v>
      </c>
      <c r="F47" s="171"/>
      <c r="G47" s="172"/>
    </row>
    <row r="48" spans="1:7" x14ac:dyDescent="0.3">
      <c r="A48" s="91"/>
      <c r="B48" s="91"/>
      <c r="C48" s="91"/>
      <c r="D48" s="91"/>
      <c r="E48" s="91"/>
      <c r="F48" s="91"/>
      <c r="G48" s="91"/>
    </row>
  </sheetData>
  <mergeCells count="34"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  <mergeCell ref="C43:D43"/>
    <mergeCell ref="C21:D21"/>
    <mergeCell ref="A22:B22"/>
    <mergeCell ref="E22:G22"/>
    <mergeCell ref="A23:B23"/>
    <mergeCell ref="E23:G23"/>
    <mergeCell ref="B25:C27"/>
    <mergeCell ref="D25:G25"/>
    <mergeCell ref="D26:E26"/>
    <mergeCell ref="F26:G26"/>
    <mergeCell ref="D27:E27"/>
    <mergeCell ref="F27:G27"/>
    <mergeCell ref="E28:G28"/>
    <mergeCell ref="B29:G29"/>
    <mergeCell ref="B30:G30"/>
    <mergeCell ref="B31:G31"/>
    <mergeCell ref="C44:D44"/>
    <mergeCell ref="C45:D45"/>
    <mergeCell ref="A46:B46"/>
    <mergeCell ref="E46:G46"/>
    <mergeCell ref="A47:B47"/>
    <mergeCell ref="E47:G47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2 A46" xr:uid="{386BBC98-5A3C-476B-A8D4-D95472190203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F4542-BEA3-4DA2-9F91-D5EFDA6BB20A}">
  <sheetPr>
    <pageSetUpPr fitToPage="1"/>
  </sheetPr>
  <dimension ref="A1:I48"/>
  <sheetViews>
    <sheetView zoomScale="70" zoomScaleNormal="70" workbookViewId="0">
      <selection activeCell="C9" sqref="C9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159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151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162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163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80</v>
      </c>
      <c r="B9" s="58" t="s">
        <v>160</v>
      </c>
      <c r="C9" s="58" t="s">
        <v>161</v>
      </c>
      <c r="D9" s="59"/>
      <c r="E9" s="60">
        <v>185.345</v>
      </c>
      <c r="F9" s="61">
        <f t="shared" ref="F9:F18" si="0">A9*E9</f>
        <v>14827.6</v>
      </c>
      <c r="G9" s="62"/>
    </row>
    <row r="10" spans="1:9" ht="48" customHeight="1" x14ac:dyDescent="0.3">
      <c r="A10" s="63"/>
      <c r="B10" s="64"/>
      <c r="C10" s="64"/>
      <c r="D10" s="65"/>
      <c r="E10" s="66"/>
      <c r="F10" s="67">
        <f t="shared" si="0"/>
        <v>0</v>
      </c>
      <c r="G10" s="68"/>
    </row>
    <row r="11" spans="1:9" ht="48" customHeight="1" x14ac:dyDescent="0.3">
      <c r="A11" s="63"/>
      <c r="B11" s="64"/>
      <c r="C11" s="64"/>
      <c r="D11" s="65"/>
      <c r="E11" s="66"/>
      <c r="F11" s="67">
        <f t="shared" si="0"/>
        <v>0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14827.6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2372.4160000000002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17200.016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ht="21" x14ac:dyDescent="0.4">
      <c r="A25" s="49"/>
      <c r="B25" s="184" t="s">
        <v>45</v>
      </c>
      <c r="C25" s="185"/>
      <c r="D25" s="190" t="s">
        <v>36</v>
      </c>
      <c r="E25" s="191"/>
      <c r="F25" s="191"/>
      <c r="G25" s="192"/>
    </row>
    <row r="26" spans="1:7" ht="21" x14ac:dyDescent="0.4">
      <c r="A26" s="50"/>
      <c r="B26" s="186"/>
      <c r="C26" s="187"/>
      <c r="D26" s="193" t="s">
        <v>1</v>
      </c>
      <c r="E26" s="194"/>
      <c r="F26" s="195" t="s">
        <v>147</v>
      </c>
      <c r="G26" s="177"/>
    </row>
    <row r="27" spans="1:7" ht="36.6" customHeight="1" x14ac:dyDescent="0.4">
      <c r="A27" s="51"/>
      <c r="B27" s="188"/>
      <c r="C27" s="189"/>
      <c r="D27" s="178" t="s">
        <v>38</v>
      </c>
      <c r="E27" s="179"/>
      <c r="F27" s="180" t="s">
        <v>151</v>
      </c>
      <c r="G27" s="181"/>
    </row>
    <row r="28" spans="1:7" ht="20.399999999999999" x14ac:dyDescent="0.35">
      <c r="A28" s="52" t="s">
        <v>39</v>
      </c>
      <c r="B28" s="53" t="s">
        <v>49</v>
      </c>
      <c r="C28" s="54"/>
      <c r="D28" s="54"/>
      <c r="E28" s="182"/>
      <c r="F28" s="182"/>
      <c r="G28" s="183"/>
    </row>
    <row r="29" spans="1:7" ht="20.399999999999999" x14ac:dyDescent="0.35">
      <c r="A29" s="52" t="s">
        <v>40</v>
      </c>
      <c r="B29" s="173" t="s">
        <v>67</v>
      </c>
      <c r="C29" s="174"/>
      <c r="D29" s="174"/>
      <c r="E29" s="174"/>
      <c r="F29" s="174"/>
      <c r="G29" s="175"/>
    </row>
    <row r="30" spans="1:7" ht="20.399999999999999" x14ac:dyDescent="0.35">
      <c r="A30" s="52" t="s">
        <v>41</v>
      </c>
      <c r="B30" s="173" t="s">
        <v>157</v>
      </c>
      <c r="C30" s="174"/>
      <c r="D30" s="174"/>
      <c r="E30" s="174"/>
      <c r="F30" s="174"/>
      <c r="G30" s="175"/>
    </row>
    <row r="31" spans="1:7" ht="20.399999999999999" x14ac:dyDescent="0.35">
      <c r="A31" s="52" t="s">
        <v>42</v>
      </c>
      <c r="B31" s="173" t="s">
        <v>71</v>
      </c>
      <c r="C31" s="174"/>
      <c r="D31" s="174"/>
      <c r="E31" s="174"/>
      <c r="F31" s="174"/>
      <c r="G31" s="175"/>
    </row>
    <row r="32" spans="1:7" ht="31.2" x14ac:dyDescent="0.3">
      <c r="A32" s="55" t="s">
        <v>8</v>
      </c>
      <c r="B32" s="55" t="s">
        <v>9</v>
      </c>
      <c r="C32" s="55" t="s">
        <v>10</v>
      </c>
      <c r="D32" s="56" t="s">
        <v>43</v>
      </c>
      <c r="E32" s="55" t="s">
        <v>12</v>
      </c>
      <c r="F32" s="55" t="s">
        <v>13</v>
      </c>
      <c r="G32" s="55" t="s">
        <v>14</v>
      </c>
    </row>
    <row r="33" spans="1:7" ht="25.2" customHeight="1" x14ac:dyDescent="0.3">
      <c r="A33" s="57">
        <v>20</v>
      </c>
      <c r="B33" s="58" t="s">
        <v>15</v>
      </c>
      <c r="C33" s="58" t="s">
        <v>149</v>
      </c>
      <c r="D33" s="59"/>
      <c r="E33" s="60">
        <v>110</v>
      </c>
      <c r="F33" s="61">
        <f t="shared" ref="F33:F42" si="1">A33*E33</f>
        <v>2200</v>
      </c>
      <c r="G33" s="62"/>
    </row>
    <row r="34" spans="1:7" ht="24" customHeight="1" x14ac:dyDescent="0.3">
      <c r="A34" s="63">
        <v>15</v>
      </c>
      <c r="B34" s="64" t="s">
        <v>15</v>
      </c>
      <c r="C34" s="64" t="s">
        <v>156</v>
      </c>
      <c r="D34" s="65"/>
      <c r="E34" s="66">
        <v>76</v>
      </c>
      <c r="F34" s="67">
        <f t="shared" si="1"/>
        <v>1140</v>
      </c>
      <c r="G34" s="68"/>
    </row>
    <row r="35" spans="1:7" ht="27" customHeight="1" x14ac:dyDescent="0.3">
      <c r="A35" s="63">
        <v>7</v>
      </c>
      <c r="B35" s="64" t="s">
        <v>15</v>
      </c>
      <c r="C35" s="64" t="s">
        <v>152</v>
      </c>
      <c r="D35" s="65"/>
      <c r="E35" s="66">
        <v>781.03</v>
      </c>
      <c r="F35" s="67">
        <f t="shared" si="1"/>
        <v>5467.21</v>
      </c>
      <c r="G35" s="68"/>
    </row>
    <row r="36" spans="1:7" ht="15.6" x14ac:dyDescent="0.3">
      <c r="A36" s="63">
        <v>15</v>
      </c>
      <c r="B36" s="64" t="s">
        <v>15</v>
      </c>
      <c r="C36" s="64" t="s">
        <v>155</v>
      </c>
      <c r="D36" s="65"/>
      <c r="E36" s="66">
        <v>40</v>
      </c>
      <c r="F36" s="67">
        <f t="shared" si="1"/>
        <v>600</v>
      </c>
      <c r="G36" s="68"/>
    </row>
    <row r="37" spans="1:7" ht="15.6" x14ac:dyDescent="0.3">
      <c r="A37" s="69"/>
      <c r="B37" s="64"/>
      <c r="C37" s="64"/>
      <c r="D37" s="65"/>
      <c r="E37" s="66"/>
      <c r="F37" s="67">
        <f t="shared" si="1"/>
        <v>0</v>
      </c>
      <c r="G37" s="68"/>
    </row>
    <row r="38" spans="1:7" ht="15.6" x14ac:dyDescent="0.3">
      <c r="A38" s="69"/>
      <c r="B38" s="64"/>
      <c r="C38" s="64"/>
      <c r="D38" s="65"/>
      <c r="E38" s="66"/>
      <c r="F38" s="67">
        <f t="shared" si="1"/>
        <v>0</v>
      </c>
      <c r="G38" s="68"/>
    </row>
    <row r="39" spans="1:7" ht="15.6" x14ac:dyDescent="0.3">
      <c r="A39" s="69"/>
      <c r="B39" s="64"/>
      <c r="C39" s="64"/>
      <c r="D39" s="65"/>
      <c r="E39" s="66"/>
      <c r="F39" s="67">
        <f t="shared" si="1"/>
        <v>0</v>
      </c>
      <c r="G39" s="68"/>
    </row>
    <row r="40" spans="1:7" ht="15.6" x14ac:dyDescent="0.3">
      <c r="A40" s="69"/>
      <c r="B40" s="64"/>
      <c r="C40" s="64"/>
      <c r="D40" s="65"/>
      <c r="E40" s="66"/>
      <c r="F40" s="67">
        <f t="shared" si="1"/>
        <v>0</v>
      </c>
      <c r="G40" s="68"/>
    </row>
    <row r="41" spans="1:7" ht="15.6" x14ac:dyDescent="0.3">
      <c r="A41" s="69"/>
      <c r="B41" s="64"/>
      <c r="C41" s="64"/>
      <c r="D41" s="65"/>
      <c r="E41" s="66"/>
      <c r="F41" s="67">
        <f t="shared" si="1"/>
        <v>0</v>
      </c>
      <c r="G41" s="68"/>
    </row>
    <row r="42" spans="1:7" ht="15.6" x14ac:dyDescent="0.3">
      <c r="A42" s="70"/>
      <c r="B42" s="71"/>
      <c r="C42" s="71"/>
      <c r="D42" s="72"/>
      <c r="E42" s="73"/>
      <c r="F42" s="74">
        <f t="shared" si="1"/>
        <v>0</v>
      </c>
      <c r="G42" s="75"/>
    </row>
    <row r="43" spans="1:7" ht="17.399999999999999" x14ac:dyDescent="0.3">
      <c r="A43" s="76"/>
      <c r="B43" s="77"/>
      <c r="C43" s="164" t="s">
        <v>27</v>
      </c>
      <c r="D43" s="164"/>
      <c r="E43" s="78"/>
      <c r="F43" s="79">
        <f>SUM(F33:F41)</f>
        <v>9407.2099999999991</v>
      </c>
      <c r="G43" s="80"/>
    </row>
    <row r="44" spans="1:7" ht="17.399999999999999" x14ac:dyDescent="0.3">
      <c r="A44" s="81"/>
      <c r="B44" s="82"/>
      <c r="C44" s="165" t="s">
        <v>28</v>
      </c>
      <c r="D44" s="165"/>
      <c r="E44" s="83"/>
      <c r="F44" s="84">
        <f>F43*0.16</f>
        <v>1505.1535999999999</v>
      </c>
      <c r="G44" s="85"/>
    </row>
    <row r="45" spans="1:7" ht="17.399999999999999" x14ac:dyDescent="0.3">
      <c r="A45" s="81"/>
      <c r="B45" s="82"/>
      <c r="C45" s="166" t="s">
        <v>29</v>
      </c>
      <c r="D45" s="166"/>
      <c r="E45" s="86"/>
      <c r="F45" s="87">
        <f>F43+F44</f>
        <v>10912.363599999999</v>
      </c>
      <c r="G45" s="88"/>
    </row>
    <row r="46" spans="1:7" ht="15.6" x14ac:dyDescent="0.3">
      <c r="A46" s="167" t="s">
        <v>30</v>
      </c>
      <c r="B46" s="168"/>
      <c r="C46" s="89" t="s">
        <v>31</v>
      </c>
      <c r="D46" s="89"/>
      <c r="E46" s="168" t="s">
        <v>32</v>
      </c>
      <c r="F46" s="168"/>
      <c r="G46" s="169"/>
    </row>
    <row r="47" spans="1:7" ht="15.6" x14ac:dyDescent="0.3">
      <c r="A47" s="170" t="s">
        <v>52</v>
      </c>
      <c r="B47" s="171"/>
      <c r="C47" s="90" t="s">
        <v>33</v>
      </c>
      <c r="D47" s="90"/>
      <c r="E47" s="171" t="s">
        <v>34</v>
      </c>
      <c r="F47" s="171"/>
      <c r="G47" s="172"/>
    </row>
    <row r="48" spans="1:7" x14ac:dyDescent="0.3">
      <c r="A48" s="91"/>
      <c r="B48" s="91"/>
      <c r="C48" s="91"/>
      <c r="D48" s="91"/>
      <c r="E48" s="91"/>
      <c r="F48" s="91"/>
      <c r="G48" s="91"/>
    </row>
  </sheetData>
  <mergeCells count="34"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  <mergeCell ref="C43:D43"/>
    <mergeCell ref="C21:D21"/>
    <mergeCell ref="A22:B22"/>
    <mergeCell ref="E22:G22"/>
    <mergeCell ref="A23:B23"/>
    <mergeCell ref="E23:G23"/>
    <mergeCell ref="B25:C27"/>
    <mergeCell ref="D25:G25"/>
    <mergeCell ref="D26:E26"/>
    <mergeCell ref="F26:G26"/>
    <mergeCell ref="D27:E27"/>
    <mergeCell ref="F27:G27"/>
    <mergeCell ref="E28:G28"/>
    <mergeCell ref="B29:G29"/>
    <mergeCell ref="B30:G30"/>
    <mergeCell ref="B31:G31"/>
    <mergeCell ref="C44:D44"/>
    <mergeCell ref="C45:D45"/>
    <mergeCell ref="A46:B46"/>
    <mergeCell ref="E46:G46"/>
    <mergeCell ref="A47:B47"/>
    <mergeCell ref="E47:G47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2 A46" xr:uid="{C8B41012-21C8-418E-8058-83D6E6F584FA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B553-D2FD-438A-9273-1DD47A7B6E86}">
  <sheetPr>
    <pageSetUpPr fitToPage="1"/>
  </sheetPr>
  <dimension ref="A1:I48"/>
  <sheetViews>
    <sheetView zoomScale="70" zoomScaleNormal="70" workbookViewId="0">
      <selection activeCell="D1" sqref="A1:G24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147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148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154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 t="s">
        <v>153</v>
      </c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71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70</v>
      </c>
      <c r="B9" s="58" t="s">
        <v>15</v>
      </c>
      <c r="C9" s="58" t="s">
        <v>149</v>
      </c>
      <c r="D9" s="59"/>
      <c r="E9" s="60">
        <v>110</v>
      </c>
      <c r="F9" s="61">
        <f t="shared" ref="F9:F18" si="0">A9*E9</f>
        <v>7700</v>
      </c>
      <c r="G9" s="62"/>
    </row>
    <row r="10" spans="1:9" ht="48" customHeight="1" x14ac:dyDescent="0.3">
      <c r="A10" s="63">
        <v>60</v>
      </c>
      <c r="B10" s="64" t="s">
        <v>15</v>
      </c>
      <c r="C10" s="64" t="s">
        <v>150</v>
      </c>
      <c r="D10" s="65"/>
      <c r="E10" s="66">
        <v>220</v>
      </c>
      <c r="F10" s="67">
        <f t="shared" si="0"/>
        <v>13200</v>
      </c>
      <c r="G10" s="68"/>
    </row>
    <row r="11" spans="1:9" ht="48" customHeight="1" x14ac:dyDescent="0.3">
      <c r="A11" s="63">
        <v>20</v>
      </c>
      <c r="B11" s="64" t="s">
        <v>15</v>
      </c>
      <c r="C11" s="64" t="s">
        <v>152</v>
      </c>
      <c r="D11" s="65"/>
      <c r="E11" s="66">
        <v>781.03</v>
      </c>
      <c r="F11" s="67">
        <f t="shared" si="0"/>
        <v>15620.599999999999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36520.6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5843.2960000000003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42363.896000000001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ht="21" x14ac:dyDescent="0.4">
      <c r="A25" s="49"/>
      <c r="B25" s="184" t="s">
        <v>45</v>
      </c>
      <c r="C25" s="185"/>
      <c r="D25" s="190" t="s">
        <v>36</v>
      </c>
      <c r="E25" s="191"/>
      <c r="F25" s="191"/>
      <c r="G25" s="192"/>
    </row>
    <row r="26" spans="1:7" ht="21" x14ac:dyDescent="0.4">
      <c r="A26" s="50"/>
      <c r="B26" s="186"/>
      <c r="C26" s="187"/>
      <c r="D26" s="193" t="s">
        <v>1</v>
      </c>
      <c r="E26" s="194"/>
      <c r="F26" s="195" t="s">
        <v>147</v>
      </c>
      <c r="G26" s="177"/>
    </row>
    <row r="27" spans="1:7" ht="36.6" customHeight="1" x14ac:dyDescent="0.4">
      <c r="A27" s="51"/>
      <c r="B27" s="188"/>
      <c r="C27" s="189"/>
      <c r="D27" s="178" t="s">
        <v>38</v>
      </c>
      <c r="E27" s="179"/>
      <c r="F27" s="180" t="s">
        <v>151</v>
      </c>
      <c r="G27" s="181"/>
    </row>
    <row r="28" spans="1:7" ht="20.399999999999999" x14ac:dyDescent="0.35">
      <c r="A28" s="52" t="s">
        <v>39</v>
      </c>
      <c r="B28" s="53" t="s">
        <v>49</v>
      </c>
      <c r="C28" s="54"/>
      <c r="D28" s="54"/>
      <c r="E28" s="182"/>
      <c r="F28" s="182"/>
      <c r="G28" s="183"/>
    </row>
    <row r="29" spans="1:7" ht="20.399999999999999" x14ac:dyDescent="0.35">
      <c r="A29" s="52" t="s">
        <v>40</v>
      </c>
      <c r="B29" s="173" t="s">
        <v>67</v>
      </c>
      <c r="C29" s="174"/>
      <c r="D29" s="174"/>
      <c r="E29" s="174"/>
      <c r="F29" s="174"/>
      <c r="G29" s="175"/>
    </row>
    <row r="30" spans="1:7" ht="20.399999999999999" x14ac:dyDescent="0.35">
      <c r="A30" s="52" t="s">
        <v>41</v>
      </c>
      <c r="B30" s="173" t="s">
        <v>157</v>
      </c>
      <c r="C30" s="174"/>
      <c r="D30" s="174"/>
      <c r="E30" s="174"/>
      <c r="F30" s="174"/>
      <c r="G30" s="175"/>
    </row>
    <row r="31" spans="1:7" ht="20.399999999999999" x14ac:dyDescent="0.35">
      <c r="A31" s="52" t="s">
        <v>42</v>
      </c>
      <c r="B31" s="173" t="s">
        <v>71</v>
      </c>
      <c r="C31" s="174"/>
      <c r="D31" s="174"/>
      <c r="E31" s="174"/>
      <c r="F31" s="174"/>
      <c r="G31" s="175"/>
    </row>
    <row r="32" spans="1:7" ht="31.2" x14ac:dyDescent="0.3">
      <c r="A32" s="55" t="s">
        <v>8</v>
      </c>
      <c r="B32" s="55" t="s">
        <v>9</v>
      </c>
      <c r="C32" s="55" t="s">
        <v>10</v>
      </c>
      <c r="D32" s="56" t="s">
        <v>43</v>
      </c>
      <c r="E32" s="55" t="s">
        <v>12</v>
      </c>
      <c r="F32" s="55" t="s">
        <v>13</v>
      </c>
      <c r="G32" s="55" t="s">
        <v>14</v>
      </c>
    </row>
    <row r="33" spans="1:7" ht="25.2" customHeight="1" x14ac:dyDescent="0.3">
      <c r="A33" s="57">
        <v>20</v>
      </c>
      <c r="B33" s="58" t="s">
        <v>15</v>
      </c>
      <c r="C33" s="58" t="s">
        <v>149</v>
      </c>
      <c r="D33" s="59"/>
      <c r="E33" s="60">
        <v>110</v>
      </c>
      <c r="F33" s="61">
        <f t="shared" ref="F33:F42" si="1">A33*E33</f>
        <v>2200</v>
      </c>
      <c r="G33" s="62"/>
    </row>
    <row r="34" spans="1:7" ht="24" customHeight="1" x14ac:dyDescent="0.3">
      <c r="A34" s="63">
        <v>15</v>
      </c>
      <c r="B34" s="64" t="s">
        <v>15</v>
      </c>
      <c r="C34" s="64" t="s">
        <v>156</v>
      </c>
      <c r="D34" s="65"/>
      <c r="E34" s="66">
        <v>76</v>
      </c>
      <c r="F34" s="67">
        <f t="shared" si="1"/>
        <v>1140</v>
      </c>
      <c r="G34" s="68"/>
    </row>
    <row r="35" spans="1:7" ht="27" customHeight="1" x14ac:dyDescent="0.3">
      <c r="A35" s="63">
        <v>7</v>
      </c>
      <c r="B35" s="64" t="s">
        <v>15</v>
      </c>
      <c r="C35" s="64" t="s">
        <v>152</v>
      </c>
      <c r="D35" s="65"/>
      <c r="E35" s="66">
        <v>781.03</v>
      </c>
      <c r="F35" s="67">
        <f t="shared" si="1"/>
        <v>5467.21</v>
      </c>
      <c r="G35" s="68"/>
    </row>
    <row r="36" spans="1:7" ht="15.6" x14ac:dyDescent="0.3">
      <c r="A36" s="63">
        <v>15</v>
      </c>
      <c r="B36" s="64" t="s">
        <v>15</v>
      </c>
      <c r="C36" s="64" t="s">
        <v>155</v>
      </c>
      <c r="D36" s="65"/>
      <c r="E36" s="66">
        <v>40</v>
      </c>
      <c r="F36" s="67">
        <f t="shared" si="1"/>
        <v>600</v>
      </c>
      <c r="G36" s="68"/>
    </row>
    <row r="37" spans="1:7" ht="15.6" x14ac:dyDescent="0.3">
      <c r="A37" s="69"/>
      <c r="B37" s="64"/>
      <c r="C37" s="64"/>
      <c r="D37" s="65"/>
      <c r="E37" s="66"/>
      <c r="F37" s="67">
        <f t="shared" si="1"/>
        <v>0</v>
      </c>
      <c r="G37" s="68"/>
    </row>
    <row r="38" spans="1:7" ht="15.6" x14ac:dyDescent="0.3">
      <c r="A38" s="69"/>
      <c r="B38" s="64"/>
      <c r="C38" s="64"/>
      <c r="D38" s="65"/>
      <c r="E38" s="66"/>
      <c r="F38" s="67">
        <f t="shared" si="1"/>
        <v>0</v>
      </c>
      <c r="G38" s="68"/>
    </row>
    <row r="39" spans="1:7" ht="15.6" x14ac:dyDescent="0.3">
      <c r="A39" s="69"/>
      <c r="B39" s="64"/>
      <c r="C39" s="64"/>
      <c r="D39" s="65"/>
      <c r="E39" s="66"/>
      <c r="F39" s="67">
        <f t="shared" si="1"/>
        <v>0</v>
      </c>
      <c r="G39" s="68"/>
    </row>
    <row r="40" spans="1:7" ht="15.6" x14ac:dyDescent="0.3">
      <c r="A40" s="69"/>
      <c r="B40" s="64"/>
      <c r="C40" s="64"/>
      <c r="D40" s="65"/>
      <c r="E40" s="66"/>
      <c r="F40" s="67">
        <f t="shared" si="1"/>
        <v>0</v>
      </c>
      <c r="G40" s="68"/>
    </row>
    <row r="41" spans="1:7" ht="15.6" x14ac:dyDescent="0.3">
      <c r="A41" s="69"/>
      <c r="B41" s="64"/>
      <c r="C41" s="64"/>
      <c r="D41" s="65"/>
      <c r="E41" s="66"/>
      <c r="F41" s="67">
        <f t="shared" si="1"/>
        <v>0</v>
      </c>
      <c r="G41" s="68"/>
    </row>
    <row r="42" spans="1:7" ht="15.6" x14ac:dyDescent="0.3">
      <c r="A42" s="70"/>
      <c r="B42" s="71"/>
      <c r="C42" s="71"/>
      <c r="D42" s="72"/>
      <c r="E42" s="73"/>
      <c r="F42" s="74">
        <f t="shared" si="1"/>
        <v>0</v>
      </c>
      <c r="G42" s="75"/>
    </row>
    <row r="43" spans="1:7" ht="17.399999999999999" x14ac:dyDescent="0.3">
      <c r="A43" s="76"/>
      <c r="B43" s="77"/>
      <c r="C43" s="164" t="s">
        <v>27</v>
      </c>
      <c r="D43" s="164"/>
      <c r="E43" s="78"/>
      <c r="F43" s="79">
        <f>SUM(F33:F41)</f>
        <v>9407.2099999999991</v>
      </c>
      <c r="G43" s="80"/>
    </row>
    <row r="44" spans="1:7" ht="17.399999999999999" x14ac:dyDescent="0.3">
      <c r="A44" s="81"/>
      <c r="B44" s="82"/>
      <c r="C44" s="165" t="s">
        <v>28</v>
      </c>
      <c r="D44" s="165"/>
      <c r="E44" s="83"/>
      <c r="F44" s="84">
        <f>F43*0.16</f>
        <v>1505.1535999999999</v>
      </c>
      <c r="G44" s="85"/>
    </row>
    <row r="45" spans="1:7" ht="17.399999999999999" x14ac:dyDescent="0.3">
      <c r="A45" s="81"/>
      <c r="B45" s="82"/>
      <c r="C45" s="166" t="s">
        <v>29</v>
      </c>
      <c r="D45" s="166"/>
      <c r="E45" s="86"/>
      <c r="F45" s="87">
        <f>F43+F44</f>
        <v>10912.363599999999</v>
      </c>
      <c r="G45" s="88"/>
    </row>
    <row r="46" spans="1:7" ht="15.6" x14ac:dyDescent="0.3">
      <c r="A46" s="167" t="s">
        <v>30</v>
      </c>
      <c r="B46" s="168"/>
      <c r="C46" s="89" t="s">
        <v>31</v>
      </c>
      <c r="D46" s="89"/>
      <c r="E46" s="168" t="s">
        <v>32</v>
      </c>
      <c r="F46" s="168"/>
      <c r="G46" s="169"/>
    </row>
    <row r="47" spans="1:7" ht="15.6" x14ac:dyDescent="0.3">
      <c r="A47" s="170" t="s">
        <v>52</v>
      </c>
      <c r="B47" s="171"/>
      <c r="C47" s="90" t="s">
        <v>33</v>
      </c>
      <c r="D47" s="90"/>
      <c r="E47" s="171" t="s">
        <v>34</v>
      </c>
      <c r="F47" s="171"/>
      <c r="G47" s="172"/>
    </row>
    <row r="48" spans="1:7" x14ac:dyDescent="0.3">
      <c r="A48" s="91"/>
      <c r="B48" s="91"/>
      <c r="C48" s="91"/>
      <c r="D48" s="91"/>
      <c r="E48" s="91"/>
      <c r="F48" s="91"/>
      <c r="G48" s="91"/>
    </row>
  </sheetData>
  <mergeCells count="34"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  <mergeCell ref="C43:D43"/>
    <mergeCell ref="C21:D21"/>
    <mergeCell ref="A22:B22"/>
    <mergeCell ref="E22:G22"/>
    <mergeCell ref="A23:B23"/>
    <mergeCell ref="E23:G23"/>
    <mergeCell ref="B25:C27"/>
    <mergeCell ref="D25:G25"/>
    <mergeCell ref="D26:E26"/>
    <mergeCell ref="F26:G26"/>
    <mergeCell ref="D27:E27"/>
    <mergeCell ref="F27:G27"/>
    <mergeCell ref="E28:G28"/>
    <mergeCell ref="B29:G29"/>
    <mergeCell ref="B30:G30"/>
    <mergeCell ref="B31:G31"/>
    <mergeCell ref="C44:D44"/>
    <mergeCell ref="C45:D45"/>
    <mergeCell ref="A46:B46"/>
    <mergeCell ref="E46:G46"/>
    <mergeCell ref="A47:B47"/>
    <mergeCell ref="E47:G47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2 A46" xr:uid="{A482F125-EF00-41CE-9820-3EC7C4157CD7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9EEAE-1899-4E83-A42C-D10B223ABD3A}">
  <sheetPr>
    <pageSetUpPr fitToPage="1"/>
  </sheetPr>
  <dimension ref="A1:L25"/>
  <sheetViews>
    <sheetView zoomScale="70" zoomScaleNormal="70" workbookViewId="0">
      <selection activeCell="L11" sqref="L11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12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12" ht="20.25" customHeight="1" x14ac:dyDescent="0.4">
      <c r="A2" s="50"/>
      <c r="B2" s="186"/>
      <c r="C2" s="187"/>
      <c r="D2" s="193" t="s">
        <v>1</v>
      </c>
      <c r="E2" s="194"/>
      <c r="F2" s="195" t="s">
        <v>146</v>
      </c>
      <c r="G2" s="177"/>
      <c r="H2" s="6"/>
      <c r="I2" s="6"/>
    </row>
    <row r="3" spans="1:12" ht="30" customHeight="1" x14ac:dyDescent="0.4">
      <c r="A3" s="51"/>
      <c r="B3" s="188"/>
      <c r="C3" s="189"/>
      <c r="D3" s="178" t="s">
        <v>38</v>
      </c>
      <c r="E3" s="179"/>
      <c r="F3" s="180" t="s">
        <v>142</v>
      </c>
      <c r="G3" s="181"/>
      <c r="H3" s="6"/>
      <c r="I3" s="6"/>
    </row>
    <row r="4" spans="1:12" ht="21" x14ac:dyDescent="0.4">
      <c r="A4" s="52" t="s">
        <v>39</v>
      </c>
      <c r="B4" s="53" t="s">
        <v>54</v>
      </c>
      <c r="C4" s="54"/>
      <c r="D4" s="54"/>
      <c r="E4" s="182"/>
      <c r="F4" s="182"/>
      <c r="G4" s="183"/>
      <c r="H4" s="6"/>
      <c r="I4" s="6"/>
    </row>
    <row r="5" spans="1:12" ht="21" x14ac:dyDescent="0.4">
      <c r="A5" s="52" t="s">
        <v>40</v>
      </c>
      <c r="B5" s="173" t="s">
        <v>70</v>
      </c>
      <c r="C5" s="174"/>
      <c r="D5" s="174"/>
      <c r="E5" s="174"/>
      <c r="F5" s="174"/>
      <c r="G5" s="175"/>
      <c r="H5" s="6"/>
      <c r="I5" s="6"/>
    </row>
    <row r="6" spans="1:12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12" ht="21" x14ac:dyDescent="0.4">
      <c r="A7" s="52" t="s">
        <v>42</v>
      </c>
      <c r="B7" s="173" t="s">
        <v>7</v>
      </c>
      <c r="C7" s="174"/>
      <c r="D7" s="174"/>
      <c r="E7" s="174"/>
      <c r="F7" s="174"/>
      <c r="G7" s="175"/>
      <c r="H7" s="6"/>
      <c r="I7" s="6"/>
    </row>
    <row r="8" spans="1:12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12" ht="46.2" customHeight="1" x14ac:dyDescent="0.3">
      <c r="A9" s="57">
        <v>10</v>
      </c>
      <c r="B9" s="58" t="s">
        <v>15</v>
      </c>
      <c r="C9" s="58" t="s">
        <v>143</v>
      </c>
      <c r="D9" s="95">
        <v>165128</v>
      </c>
      <c r="E9" s="60">
        <v>57.7</v>
      </c>
      <c r="F9" s="61">
        <f t="shared" ref="F9:F18" si="0">A9*E9</f>
        <v>577</v>
      </c>
      <c r="G9" s="62"/>
    </row>
    <row r="10" spans="1:12" ht="48" customHeight="1" x14ac:dyDescent="0.3">
      <c r="A10" s="63">
        <v>10</v>
      </c>
      <c r="B10" s="64" t="s">
        <v>15</v>
      </c>
      <c r="C10" s="64" t="s">
        <v>144</v>
      </c>
      <c r="D10" s="96">
        <v>165175</v>
      </c>
      <c r="E10" s="66">
        <v>33.619999999999997</v>
      </c>
      <c r="F10" s="67">
        <f t="shared" si="0"/>
        <v>336.2</v>
      </c>
      <c r="G10" s="68"/>
      <c r="L10">
        <f>180*1.16</f>
        <v>208.79999999999998</v>
      </c>
    </row>
    <row r="11" spans="1:12" ht="48" customHeight="1" x14ac:dyDescent="0.3">
      <c r="A11" s="63">
        <v>2</v>
      </c>
      <c r="B11" s="64" t="s">
        <v>15</v>
      </c>
      <c r="C11" s="64" t="s">
        <v>145</v>
      </c>
      <c r="D11" s="96">
        <v>420860</v>
      </c>
      <c r="E11" s="66">
        <v>303.52</v>
      </c>
      <c r="F11" s="67">
        <f t="shared" si="0"/>
        <v>607.04</v>
      </c>
      <c r="G11" s="68"/>
    </row>
    <row r="12" spans="1:12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12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12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12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12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1520.24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243.23840000000001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1763.4784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1:D21"/>
    <mergeCell ref="A22:B22"/>
    <mergeCell ref="E22:G22"/>
    <mergeCell ref="A23:B23"/>
    <mergeCell ref="E23:G23"/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10610B06-167B-43A0-BE0B-DF14176A3DBD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4BF93-DAE0-4C8F-8C18-12D35E5B57D1}">
  <sheetPr>
    <pageSetUpPr fitToPage="1"/>
  </sheetPr>
  <dimension ref="A1:I29"/>
  <sheetViews>
    <sheetView zoomScale="70" zoomScaleNormal="70" workbookViewId="0">
      <selection activeCell="C11" sqref="C11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107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136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141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 t="s">
        <v>106</v>
      </c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140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30" customHeight="1" x14ac:dyDescent="0.3">
      <c r="A9" s="57">
        <v>1000</v>
      </c>
      <c r="B9" s="58" t="s">
        <v>24</v>
      </c>
      <c r="C9" s="58" t="s">
        <v>137</v>
      </c>
      <c r="D9" s="92"/>
      <c r="E9" s="60">
        <v>3.6</v>
      </c>
      <c r="F9" s="60">
        <f>+A9*E9</f>
        <v>3600</v>
      </c>
      <c r="G9" s="62"/>
    </row>
    <row r="10" spans="1:9" ht="30" customHeight="1" x14ac:dyDescent="0.3">
      <c r="A10" s="63">
        <v>500</v>
      </c>
      <c r="B10" s="64" t="s">
        <v>24</v>
      </c>
      <c r="C10" s="64" t="s">
        <v>138</v>
      </c>
      <c r="D10" s="93"/>
      <c r="E10" s="66">
        <f>480.8/100</f>
        <v>4.8079999999999998</v>
      </c>
      <c r="F10" s="66">
        <f t="shared" ref="F10:F17" si="0">+A10*E10</f>
        <v>2404</v>
      </c>
      <c r="G10" s="68"/>
    </row>
    <row r="11" spans="1:9" ht="30" customHeight="1" x14ac:dyDescent="0.3">
      <c r="A11" s="63">
        <v>100</v>
      </c>
      <c r="B11" s="64" t="s">
        <v>24</v>
      </c>
      <c r="C11" s="64" t="s">
        <v>139</v>
      </c>
      <c r="D11" s="93"/>
      <c r="E11" s="66">
        <f>1568.7/100</f>
        <v>15.687000000000001</v>
      </c>
      <c r="F11" s="66">
        <f t="shared" si="0"/>
        <v>1568.7</v>
      </c>
      <c r="G11" s="68"/>
    </row>
    <row r="12" spans="1:9" ht="30" customHeight="1" x14ac:dyDescent="0.3">
      <c r="A12" s="63"/>
      <c r="B12" s="64"/>
      <c r="C12" s="64"/>
      <c r="D12" s="93"/>
      <c r="E12" s="66"/>
      <c r="F12" s="66">
        <f t="shared" si="0"/>
        <v>0</v>
      </c>
      <c r="G12" s="68"/>
    </row>
    <row r="13" spans="1:9" ht="30" customHeight="1" x14ac:dyDescent="0.3">
      <c r="A13" s="63"/>
      <c r="B13" s="64"/>
      <c r="C13" s="64"/>
      <c r="D13" s="93"/>
      <c r="E13" s="66"/>
      <c r="F13" s="66">
        <f t="shared" si="0"/>
        <v>0</v>
      </c>
      <c r="G13" s="68"/>
    </row>
    <row r="14" spans="1:9" ht="30" customHeight="1" x14ac:dyDescent="0.3">
      <c r="A14" s="63"/>
      <c r="B14" s="64"/>
      <c r="C14" s="64"/>
      <c r="D14" s="93"/>
      <c r="E14" s="66"/>
      <c r="F14" s="66">
        <f t="shared" si="0"/>
        <v>0</v>
      </c>
      <c r="G14" s="68"/>
    </row>
    <row r="15" spans="1:9" ht="30" customHeight="1" x14ac:dyDescent="0.3">
      <c r="A15" s="63"/>
      <c r="B15" s="64"/>
      <c r="C15" s="64"/>
      <c r="D15" s="93"/>
      <c r="E15" s="66"/>
      <c r="F15" s="66">
        <f t="shared" si="0"/>
        <v>0</v>
      </c>
      <c r="G15" s="68"/>
    </row>
    <row r="16" spans="1:9" ht="30" customHeight="1" x14ac:dyDescent="0.3">
      <c r="A16" s="63"/>
      <c r="B16" s="64"/>
      <c r="C16" s="64"/>
      <c r="D16" s="93"/>
      <c r="E16" s="66"/>
      <c r="F16" s="66">
        <f t="shared" si="0"/>
        <v>0</v>
      </c>
      <c r="G16" s="68"/>
    </row>
    <row r="17" spans="1:7" ht="30" customHeight="1" x14ac:dyDescent="0.3">
      <c r="A17" s="63"/>
      <c r="B17" s="64"/>
      <c r="C17" s="64"/>
      <c r="D17" s="93"/>
      <c r="E17" s="66"/>
      <c r="F17" s="66">
        <f t="shared" si="0"/>
        <v>0</v>
      </c>
      <c r="G17" s="68"/>
    </row>
    <row r="18" spans="1:7" ht="30" customHeight="1" x14ac:dyDescent="0.3">
      <c r="A18" s="63"/>
      <c r="B18" s="64"/>
      <c r="C18" s="64"/>
      <c r="D18" s="93"/>
      <c r="E18" s="66"/>
      <c r="F18" s="66"/>
      <c r="G18" s="68"/>
    </row>
    <row r="19" spans="1:7" ht="30" customHeight="1" x14ac:dyDescent="0.3">
      <c r="A19" s="63"/>
      <c r="B19" s="64"/>
      <c r="C19" s="64"/>
      <c r="D19" s="93"/>
      <c r="E19" s="66"/>
      <c r="F19" s="66"/>
      <c r="G19" s="68"/>
    </row>
    <row r="20" spans="1:7" ht="30" customHeight="1" x14ac:dyDescent="0.3">
      <c r="A20" s="69"/>
      <c r="B20" s="64"/>
      <c r="C20" s="64"/>
      <c r="D20" s="93"/>
      <c r="E20" s="66"/>
      <c r="F20" s="66"/>
      <c r="G20" s="68"/>
    </row>
    <row r="21" spans="1:7" ht="30" customHeight="1" x14ac:dyDescent="0.3">
      <c r="A21" s="69"/>
      <c r="B21" s="64"/>
      <c r="C21" s="64"/>
      <c r="D21" s="93"/>
      <c r="E21" s="66"/>
      <c r="F21" s="66"/>
      <c r="G21" s="68"/>
    </row>
    <row r="22" spans="1:7" ht="30" customHeight="1" x14ac:dyDescent="0.3">
      <c r="A22" s="70"/>
      <c r="B22" s="71"/>
      <c r="C22" s="71"/>
      <c r="D22" s="94"/>
      <c r="E22" s="73"/>
      <c r="F22" s="73"/>
      <c r="G22" s="75"/>
    </row>
    <row r="23" spans="1:7" ht="30" customHeight="1" x14ac:dyDescent="0.3">
      <c r="A23" s="76"/>
      <c r="B23" s="77"/>
      <c r="C23" s="164" t="s">
        <v>27</v>
      </c>
      <c r="D23" s="164"/>
      <c r="E23" s="78"/>
      <c r="F23" s="79">
        <f>SUM(F9:F21)</f>
        <v>7572.7</v>
      </c>
      <c r="G23" s="80"/>
    </row>
    <row r="24" spans="1:7" ht="30" customHeight="1" x14ac:dyDescent="0.3">
      <c r="A24" s="81"/>
      <c r="B24" s="82"/>
      <c r="C24" s="165" t="s">
        <v>28</v>
      </c>
      <c r="D24" s="165"/>
      <c r="E24" s="83"/>
      <c r="F24" s="84">
        <f>F23*0.16</f>
        <v>1211.6320000000001</v>
      </c>
      <c r="G24" s="85"/>
    </row>
    <row r="25" spans="1:7" ht="30" customHeight="1" x14ac:dyDescent="0.3">
      <c r="A25" s="81"/>
      <c r="B25" s="82"/>
      <c r="C25" s="166" t="s">
        <v>29</v>
      </c>
      <c r="D25" s="166"/>
      <c r="E25" s="86"/>
      <c r="F25" s="87">
        <f>F23+F24</f>
        <v>8784.3320000000003</v>
      </c>
      <c r="G25" s="88"/>
    </row>
    <row r="26" spans="1:7" ht="15.6" x14ac:dyDescent="0.3">
      <c r="A26" s="167" t="s">
        <v>30</v>
      </c>
      <c r="B26" s="168"/>
      <c r="C26" s="89" t="s">
        <v>31</v>
      </c>
      <c r="D26" s="89"/>
      <c r="E26" s="168" t="s">
        <v>32</v>
      </c>
      <c r="F26" s="168"/>
      <c r="G26" s="169"/>
    </row>
    <row r="27" spans="1:7" ht="15.6" x14ac:dyDescent="0.3">
      <c r="A27" s="170" t="s">
        <v>52</v>
      </c>
      <c r="B27" s="171"/>
      <c r="C27" s="90" t="s">
        <v>33</v>
      </c>
      <c r="D27" s="90"/>
      <c r="E27" s="171" t="s">
        <v>34</v>
      </c>
      <c r="F27" s="171"/>
      <c r="G27" s="172"/>
    </row>
    <row r="28" spans="1:7" x14ac:dyDescent="0.3">
      <c r="A28" s="91"/>
      <c r="B28" s="91"/>
      <c r="C28" s="91"/>
      <c r="D28" s="91"/>
      <c r="E28" s="91"/>
      <c r="F28" s="91"/>
      <c r="G28" s="91"/>
    </row>
    <row r="29" spans="1:7" x14ac:dyDescent="0.3">
      <c r="A29" s="91"/>
      <c r="B29" s="91"/>
      <c r="C29" s="91"/>
      <c r="D29" s="91"/>
      <c r="E29" s="91"/>
      <c r="F29" s="91"/>
      <c r="G29" s="91"/>
    </row>
  </sheetData>
  <mergeCells count="17">
    <mergeCell ref="C24:D24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23:D23"/>
    <mergeCell ref="C25:D25"/>
    <mergeCell ref="A26:B26"/>
    <mergeCell ref="E26:G26"/>
    <mergeCell ref="A27:B27"/>
    <mergeCell ref="E27:G27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30 A26" xr:uid="{8214802E-727C-4867-B989-2A75DE2FC7A2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C4A9E-686F-490F-ABEA-A0CBFC551BE6}">
  <sheetPr>
    <pageSetUpPr fitToPage="1"/>
  </sheetPr>
  <dimension ref="A1:I32"/>
  <sheetViews>
    <sheetView zoomScale="70" zoomScaleNormal="70" workbookViewId="0">
      <selection activeCell="E19" sqref="E19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107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108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109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 t="s">
        <v>106</v>
      </c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30" customHeight="1" x14ac:dyDescent="0.3">
      <c r="A9" s="57">
        <v>45</v>
      </c>
      <c r="B9" s="58" t="s">
        <v>112</v>
      </c>
      <c r="C9" s="58" t="s">
        <v>110</v>
      </c>
      <c r="D9" s="92" t="s">
        <v>130</v>
      </c>
      <c r="E9" s="60">
        <v>8.6</v>
      </c>
      <c r="F9" s="60">
        <f>+A9*E9</f>
        <v>387</v>
      </c>
      <c r="G9" s="62"/>
    </row>
    <row r="10" spans="1:9" ht="30" customHeight="1" x14ac:dyDescent="0.3">
      <c r="A10" s="63">
        <v>10</v>
      </c>
      <c r="B10" s="64" t="s">
        <v>112</v>
      </c>
      <c r="C10" s="64" t="s">
        <v>117</v>
      </c>
      <c r="D10" s="93" t="s">
        <v>130</v>
      </c>
      <c r="E10" s="66">
        <v>16.09</v>
      </c>
      <c r="F10" s="66">
        <f t="shared" ref="F10:F21" si="0">+A10*E10</f>
        <v>160.9</v>
      </c>
      <c r="G10" s="68"/>
    </row>
    <row r="11" spans="1:9" ht="30" customHeight="1" x14ac:dyDescent="0.3">
      <c r="A11" s="63">
        <v>15</v>
      </c>
      <c r="B11" s="64" t="s">
        <v>112</v>
      </c>
      <c r="C11" s="64" t="s">
        <v>116</v>
      </c>
      <c r="D11" s="93" t="s">
        <v>130</v>
      </c>
      <c r="E11" s="66">
        <v>12.69</v>
      </c>
      <c r="F11" s="66">
        <f t="shared" si="0"/>
        <v>190.35</v>
      </c>
      <c r="G11" s="68"/>
    </row>
    <row r="12" spans="1:9" ht="30" customHeight="1" x14ac:dyDescent="0.3">
      <c r="A12" s="63">
        <v>15</v>
      </c>
      <c r="B12" s="64" t="s">
        <v>112</v>
      </c>
      <c r="C12" s="64" t="s">
        <v>131</v>
      </c>
      <c r="D12" s="93" t="s">
        <v>130</v>
      </c>
      <c r="E12" s="66">
        <v>9.66</v>
      </c>
      <c r="F12" s="66">
        <f t="shared" si="0"/>
        <v>144.9</v>
      </c>
      <c r="G12" s="68"/>
    </row>
    <row r="13" spans="1:9" ht="30" customHeight="1" x14ac:dyDescent="0.3">
      <c r="A13" s="63">
        <v>15</v>
      </c>
      <c r="B13" s="64" t="s">
        <v>112</v>
      </c>
      <c r="C13" s="64" t="s">
        <v>132</v>
      </c>
      <c r="D13" s="93" t="s">
        <v>130</v>
      </c>
      <c r="E13" s="66">
        <v>7.68</v>
      </c>
      <c r="F13" s="66">
        <f t="shared" si="0"/>
        <v>115.19999999999999</v>
      </c>
      <c r="G13" s="68"/>
    </row>
    <row r="14" spans="1:9" ht="30" customHeight="1" x14ac:dyDescent="0.3">
      <c r="A14" s="63">
        <v>5</v>
      </c>
      <c r="B14" s="64" t="s">
        <v>112</v>
      </c>
      <c r="C14" s="64" t="s">
        <v>133</v>
      </c>
      <c r="D14" s="93" t="s">
        <v>130</v>
      </c>
      <c r="E14" s="66">
        <v>10.32</v>
      </c>
      <c r="F14" s="66">
        <f t="shared" si="0"/>
        <v>51.6</v>
      </c>
      <c r="G14" s="68"/>
    </row>
    <row r="15" spans="1:9" ht="30" customHeight="1" x14ac:dyDescent="0.3">
      <c r="A15" s="63">
        <v>15</v>
      </c>
      <c r="B15" s="64" t="s">
        <v>112</v>
      </c>
      <c r="C15" s="64" t="s">
        <v>134</v>
      </c>
      <c r="D15" s="93" t="s">
        <v>130</v>
      </c>
      <c r="E15" s="66">
        <v>5.81</v>
      </c>
      <c r="F15" s="66">
        <f t="shared" si="0"/>
        <v>87.149999999999991</v>
      </c>
      <c r="G15" s="68"/>
    </row>
    <row r="16" spans="1:9" ht="30" customHeight="1" x14ac:dyDescent="0.3">
      <c r="A16" s="63">
        <v>4</v>
      </c>
      <c r="B16" s="64" t="s">
        <v>79</v>
      </c>
      <c r="C16" s="64" t="s">
        <v>127</v>
      </c>
      <c r="D16" s="93" t="s">
        <v>130</v>
      </c>
      <c r="E16" s="66">
        <v>318.38</v>
      </c>
      <c r="F16" s="66">
        <f t="shared" si="0"/>
        <v>1273.52</v>
      </c>
      <c r="G16" s="68"/>
    </row>
    <row r="17" spans="1:7" ht="30" customHeight="1" x14ac:dyDescent="0.3">
      <c r="A17" s="63">
        <v>10</v>
      </c>
      <c r="B17" s="64" t="s">
        <v>79</v>
      </c>
      <c r="C17" s="64" t="s">
        <v>128</v>
      </c>
      <c r="D17" s="93" t="s">
        <v>130</v>
      </c>
      <c r="E17" s="66">
        <v>396.1</v>
      </c>
      <c r="F17" s="66">
        <f t="shared" si="0"/>
        <v>3961</v>
      </c>
      <c r="G17" s="68"/>
    </row>
    <row r="18" spans="1:7" ht="30" customHeight="1" x14ac:dyDescent="0.3">
      <c r="A18" s="63">
        <v>10</v>
      </c>
      <c r="B18" s="64" t="s">
        <v>112</v>
      </c>
      <c r="C18" s="64" t="s">
        <v>135</v>
      </c>
      <c r="D18" s="93"/>
      <c r="E18" s="66">
        <v>53.44</v>
      </c>
      <c r="F18" s="66">
        <f t="shared" si="0"/>
        <v>534.4</v>
      </c>
      <c r="G18" s="68"/>
    </row>
    <row r="19" spans="1:7" ht="30" customHeight="1" x14ac:dyDescent="0.3">
      <c r="A19" s="63"/>
      <c r="B19" s="64"/>
      <c r="C19" s="64"/>
      <c r="D19" s="93"/>
      <c r="E19" s="66"/>
      <c r="F19" s="66">
        <f t="shared" si="0"/>
        <v>0</v>
      </c>
      <c r="G19" s="68"/>
    </row>
    <row r="20" spans="1:7" ht="30" customHeight="1" x14ac:dyDescent="0.3">
      <c r="A20" s="63"/>
      <c r="B20" s="64"/>
      <c r="C20" s="64"/>
      <c r="D20" s="93"/>
      <c r="E20" s="66"/>
      <c r="F20" s="66">
        <f t="shared" si="0"/>
        <v>0</v>
      </c>
      <c r="G20" s="68"/>
    </row>
    <row r="21" spans="1:7" ht="30" customHeight="1" x14ac:dyDescent="0.3">
      <c r="A21" s="63"/>
      <c r="B21" s="64"/>
      <c r="C21" s="64"/>
      <c r="D21" s="93"/>
      <c r="E21" s="66"/>
      <c r="F21" s="66">
        <f t="shared" si="0"/>
        <v>0</v>
      </c>
      <c r="G21" s="68"/>
    </row>
    <row r="22" spans="1:7" ht="30" customHeight="1" x14ac:dyDescent="0.3">
      <c r="A22" s="63"/>
      <c r="B22" s="64"/>
      <c r="C22" s="64"/>
      <c r="D22" s="93"/>
      <c r="E22" s="66"/>
      <c r="F22" s="66"/>
      <c r="G22" s="68"/>
    </row>
    <row r="23" spans="1:7" ht="30" customHeight="1" x14ac:dyDescent="0.3">
      <c r="A23" s="69"/>
      <c r="B23" s="64"/>
      <c r="C23" s="64"/>
      <c r="D23" s="93"/>
      <c r="E23" s="66"/>
      <c r="F23" s="66"/>
      <c r="G23" s="68"/>
    </row>
    <row r="24" spans="1:7" ht="30" customHeight="1" x14ac:dyDescent="0.3">
      <c r="A24" s="69"/>
      <c r="B24" s="64"/>
      <c r="C24" s="64"/>
      <c r="D24" s="93"/>
      <c r="E24" s="66"/>
      <c r="F24" s="66">
        <f>A24*E24</f>
        <v>0</v>
      </c>
      <c r="G24" s="68"/>
    </row>
    <row r="25" spans="1:7" ht="30" customHeight="1" x14ac:dyDescent="0.3">
      <c r="A25" s="70"/>
      <c r="B25" s="71"/>
      <c r="C25" s="71"/>
      <c r="D25" s="94"/>
      <c r="E25" s="73"/>
      <c r="F25" s="73">
        <f>A25*E25</f>
        <v>0</v>
      </c>
      <c r="G25" s="75"/>
    </row>
    <row r="26" spans="1:7" ht="30" customHeight="1" x14ac:dyDescent="0.3">
      <c r="A26" s="76"/>
      <c r="B26" s="77"/>
      <c r="C26" s="164" t="s">
        <v>27</v>
      </c>
      <c r="D26" s="164"/>
      <c r="E26" s="78"/>
      <c r="F26" s="79">
        <f>SUM(F9:F24)</f>
        <v>6906.0199999999995</v>
      </c>
      <c r="G26" s="80"/>
    </row>
    <row r="27" spans="1:7" ht="30" customHeight="1" x14ac:dyDescent="0.3">
      <c r="A27" s="81"/>
      <c r="B27" s="82"/>
      <c r="C27" s="165" t="s">
        <v>28</v>
      </c>
      <c r="D27" s="165"/>
      <c r="E27" s="83"/>
      <c r="F27" s="84">
        <f>F26*0.16</f>
        <v>1104.9631999999999</v>
      </c>
      <c r="G27" s="85"/>
    </row>
    <row r="28" spans="1:7" ht="30" customHeight="1" x14ac:dyDescent="0.3">
      <c r="A28" s="81"/>
      <c r="B28" s="82"/>
      <c r="C28" s="166" t="s">
        <v>29</v>
      </c>
      <c r="D28" s="166"/>
      <c r="E28" s="86"/>
      <c r="F28" s="87">
        <f>F26+F27</f>
        <v>8010.9831999999997</v>
      </c>
      <c r="G28" s="88"/>
    </row>
    <row r="29" spans="1:7" ht="15.6" x14ac:dyDescent="0.3">
      <c r="A29" s="167" t="s">
        <v>30</v>
      </c>
      <c r="B29" s="168"/>
      <c r="C29" s="89" t="s">
        <v>31</v>
      </c>
      <c r="D29" s="89"/>
      <c r="E29" s="168" t="s">
        <v>32</v>
      </c>
      <c r="F29" s="168"/>
      <c r="G29" s="169"/>
    </row>
    <row r="30" spans="1:7" ht="15.6" x14ac:dyDescent="0.3">
      <c r="A30" s="170" t="s">
        <v>52</v>
      </c>
      <c r="B30" s="171"/>
      <c r="C30" s="90" t="s">
        <v>33</v>
      </c>
      <c r="D30" s="90"/>
      <c r="E30" s="171" t="s">
        <v>34</v>
      </c>
      <c r="F30" s="171"/>
      <c r="G30" s="172"/>
    </row>
    <row r="31" spans="1:7" x14ac:dyDescent="0.3">
      <c r="A31" s="91"/>
      <c r="B31" s="91"/>
      <c r="C31" s="91"/>
      <c r="D31" s="91"/>
      <c r="E31" s="91"/>
      <c r="F31" s="91"/>
      <c r="G31" s="91"/>
    </row>
    <row r="32" spans="1:7" x14ac:dyDescent="0.3">
      <c r="A32" s="91"/>
      <c r="B32" s="91"/>
      <c r="C32" s="91"/>
      <c r="D32" s="91"/>
      <c r="E32" s="91"/>
      <c r="F32" s="91"/>
      <c r="G32" s="91"/>
    </row>
  </sheetData>
  <mergeCells count="17">
    <mergeCell ref="C27:D27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26:D26"/>
    <mergeCell ref="C28:D28"/>
    <mergeCell ref="A29:B29"/>
    <mergeCell ref="E29:G29"/>
    <mergeCell ref="A30:B30"/>
    <mergeCell ref="E30:G30"/>
  </mergeCells>
  <dataValidations disablePrompts="1"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33 A29" xr:uid="{A50C16C6-999A-4513-B740-A170DFCE3E3A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273CB-943E-41CC-9D08-9E55E39331F3}">
  <sheetPr>
    <pageSetUpPr fitToPage="1"/>
  </sheetPr>
  <dimension ref="A1:I38"/>
  <sheetViews>
    <sheetView zoomScale="70" zoomScaleNormal="70" workbookViewId="0">
      <selection activeCell="C9" sqref="C9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107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108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109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 t="s">
        <v>106</v>
      </c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30" customHeight="1" x14ac:dyDescent="0.3">
      <c r="A9" s="57">
        <v>75</v>
      </c>
      <c r="B9" s="58" t="s">
        <v>112</v>
      </c>
      <c r="C9" s="58" t="s">
        <v>110</v>
      </c>
      <c r="D9" s="92" t="s">
        <v>111</v>
      </c>
      <c r="E9" s="60">
        <v>2.13</v>
      </c>
      <c r="F9" s="60">
        <f>+A9*E9</f>
        <v>159.75</v>
      </c>
      <c r="G9" s="62"/>
    </row>
    <row r="10" spans="1:9" ht="30" customHeight="1" x14ac:dyDescent="0.3">
      <c r="A10" s="63">
        <v>100</v>
      </c>
      <c r="B10" s="64" t="s">
        <v>112</v>
      </c>
      <c r="C10" s="64" t="s">
        <v>113</v>
      </c>
      <c r="D10" s="93" t="s">
        <v>111</v>
      </c>
      <c r="E10" s="66">
        <v>2.86</v>
      </c>
      <c r="F10" s="66">
        <f t="shared" ref="F10:F26" si="0">+A10*E10</f>
        <v>286</v>
      </c>
      <c r="G10" s="68"/>
    </row>
    <row r="11" spans="1:9" ht="30" customHeight="1" x14ac:dyDescent="0.3">
      <c r="A11" s="63">
        <v>50</v>
      </c>
      <c r="B11" s="64" t="s">
        <v>112</v>
      </c>
      <c r="C11" s="64" t="s">
        <v>114</v>
      </c>
      <c r="D11" s="93" t="s">
        <v>111</v>
      </c>
      <c r="E11" s="66">
        <v>1.82</v>
      </c>
      <c r="F11" s="66">
        <f t="shared" si="0"/>
        <v>91</v>
      </c>
      <c r="G11" s="68"/>
    </row>
    <row r="12" spans="1:9" ht="30" customHeight="1" x14ac:dyDescent="0.3">
      <c r="A12" s="63">
        <v>50</v>
      </c>
      <c r="B12" s="64" t="s">
        <v>112</v>
      </c>
      <c r="C12" s="64" t="s">
        <v>115</v>
      </c>
      <c r="D12" s="93" t="s">
        <v>111</v>
      </c>
      <c r="E12" s="66">
        <v>2.0470000000000002</v>
      </c>
      <c r="F12" s="66">
        <f t="shared" si="0"/>
        <v>102.35000000000001</v>
      </c>
      <c r="G12" s="68"/>
    </row>
    <row r="13" spans="1:9" ht="30" customHeight="1" x14ac:dyDescent="0.3">
      <c r="A13" s="63">
        <v>75</v>
      </c>
      <c r="B13" s="64" t="s">
        <v>112</v>
      </c>
      <c r="C13" s="64" t="s">
        <v>116</v>
      </c>
      <c r="D13" s="93" t="s">
        <v>111</v>
      </c>
      <c r="E13" s="66">
        <v>3.17</v>
      </c>
      <c r="F13" s="66">
        <f t="shared" si="0"/>
        <v>237.75</v>
      </c>
      <c r="G13" s="68"/>
    </row>
    <row r="14" spans="1:9" ht="30" customHeight="1" x14ac:dyDescent="0.3">
      <c r="A14" s="63">
        <v>50</v>
      </c>
      <c r="B14" s="64" t="s">
        <v>112</v>
      </c>
      <c r="C14" s="64" t="s">
        <v>117</v>
      </c>
      <c r="D14" s="93" t="s">
        <v>111</v>
      </c>
      <c r="E14" s="66">
        <v>4.0999999999999996</v>
      </c>
      <c r="F14" s="66">
        <f t="shared" si="0"/>
        <v>204.99999999999997</v>
      </c>
      <c r="G14" s="68"/>
    </row>
    <row r="15" spans="1:9" ht="30" customHeight="1" x14ac:dyDescent="0.3">
      <c r="A15" s="63">
        <v>50</v>
      </c>
      <c r="B15" s="64" t="s">
        <v>112</v>
      </c>
      <c r="C15" s="64" t="s">
        <v>118</v>
      </c>
      <c r="D15" s="93" t="s">
        <v>111</v>
      </c>
      <c r="E15" s="66">
        <v>2.58</v>
      </c>
      <c r="F15" s="66">
        <f t="shared" si="0"/>
        <v>129</v>
      </c>
      <c r="G15" s="68"/>
    </row>
    <row r="16" spans="1:9" ht="30" customHeight="1" x14ac:dyDescent="0.3">
      <c r="A16" s="63">
        <v>25</v>
      </c>
      <c r="B16" s="64" t="s">
        <v>112</v>
      </c>
      <c r="C16" s="64" t="s">
        <v>119</v>
      </c>
      <c r="D16" s="93" t="s">
        <v>111</v>
      </c>
      <c r="E16" s="66">
        <v>5.47</v>
      </c>
      <c r="F16" s="66">
        <f t="shared" si="0"/>
        <v>136.75</v>
      </c>
      <c r="G16" s="68"/>
    </row>
    <row r="17" spans="1:7" ht="30" customHeight="1" x14ac:dyDescent="0.3">
      <c r="A17" s="63">
        <v>50</v>
      </c>
      <c r="B17" s="64" t="s">
        <v>112</v>
      </c>
      <c r="C17" s="64" t="s">
        <v>120</v>
      </c>
      <c r="D17" s="93" t="s">
        <v>111</v>
      </c>
      <c r="E17" s="66">
        <v>4.07</v>
      </c>
      <c r="F17" s="66">
        <f t="shared" si="0"/>
        <v>203.5</v>
      </c>
      <c r="G17" s="68"/>
    </row>
    <row r="18" spans="1:7" ht="30" customHeight="1" x14ac:dyDescent="0.3">
      <c r="A18" s="63">
        <v>50</v>
      </c>
      <c r="B18" s="64" t="s">
        <v>112</v>
      </c>
      <c r="C18" s="64" t="s">
        <v>121</v>
      </c>
      <c r="D18" s="93" t="s">
        <v>111</v>
      </c>
      <c r="E18" s="66"/>
      <c r="F18" s="66">
        <f t="shared" si="0"/>
        <v>0</v>
      </c>
      <c r="G18" s="68"/>
    </row>
    <row r="19" spans="1:7" ht="30" customHeight="1" x14ac:dyDescent="0.3">
      <c r="A19" s="63">
        <v>175</v>
      </c>
      <c r="B19" s="64" t="s">
        <v>112</v>
      </c>
      <c r="C19" s="64" t="s">
        <v>122</v>
      </c>
      <c r="D19" s="93" t="s">
        <v>111</v>
      </c>
      <c r="E19" s="66">
        <v>1.96</v>
      </c>
      <c r="F19" s="66">
        <f t="shared" si="0"/>
        <v>343</v>
      </c>
      <c r="G19" s="68"/>
    </row>
    <row r="20" spans="1:7" ht="30" customHeight="1" x14ac:dyDescent="0.3">
      <c r="A20" s="63">
        <v>60</v>
      </c>
      <c r="B20" s="64" t="s">
        <v>112</v>
      </c>
      <c r="C20" s="64" t="s">
        <v>123</v>
      </c>
      <c r="D20" s="93" t="s">
        <v>111</v>
      </c>
      <c r="E20" s="66">
        <v>6.89</v>
      </c>
      <c r="F20" s="66">
        <f t="shared" si="0"/>
        <v>413.4</v>
      </c>
      <c r="G20" s="68"/>
    </row>
    <row r="21" spans="1:7" ht="30" customHeight="1" x14ac:dyDescent="0.3">
      <c r="A21" s="63">
        <v>50</v>
      </c>
      <c r="B21" s="64" t="s">
        <v>112</v>
      </c>
      <c r="C21" s="64" t="s">
        <v>124</v>
      </c>
      <c r="D21" s="93" t="s">
        <v>111</v>
      </c>
      <c r="E21" s="66">
        <v>5.83</v>
      </c>
      <c r="F21" s="66">
        <f t="shared" si="0"/>
        <v>291.5</v>
      </c>
      <c r="G21" s="68"/>
    </row>
    <row r="22" spans="1:7" ht="30" customHeight="1" x14ac:dyDescent="0.3">
      <c r="A22" s="63">
        <v>40</v>
      </c>
      <c r="B22" s="64" t="s">
        <v>112</v>
      </c>
      <c r="C22" s="64" t="s">
        <v>125</v>
      </c>
      <c r="D22" s="93" t="s">
        <v>111</v>
      </c>
      <c r="E22" s="66">
        <v>5.96</v>
      </c>
      <c r="F22" s="66">
        <f t="shared" si="0"/>
        <v>238.4</v>
      </c>
      <c r="G22" s="68"/>
    </row>
    <row r="23" spans="1:7" ht="30" customHeight="1" x14ac:dyDescent="0.3">
      <c r="A23" s="63">
        <v>100</v>
      </c>
      <c r="B23" s="64" t="s">
        <v>112</v>
      </c>
      <c r="C23" s="64" t="s">
        <v>126</v>
      </c>
      <c r="D23" s="93" t="s">
        <v>111</v>
      </c>
      <c r="E23" s="66">
        <v>17.670000000000002</v>
      </c>
      <c r="F23" s="66">
        <f t="shared" si="0"/>
        <v>1767.0000000000002</v>
      </c>
      <c r="G23" s="68"/>
    </row>
    <row r="24" spans="1:7" ht="30" customHeight="1" x14ac:dyDescent="0.3">
      <c r="A24" s="63">
        <v>50</v>
      </c>
      <c r="B24" s="64" t="s">
        <v>79</v>
      </c>
      <c r="C24" s="64" t="s">
        <v>127</v>
      </c>
      <c r="D24" s="93" t="s">
        <v>111</v>
      </c>
      <c r="E24" s="66">
        <v>45.76</v>
      </c>
      <c r="F24" s="66">
        <f t="shared" si="0"/>
        <v>2288</v>
      </c>
      <c r="G24" s="68"/>
    </row>
    <row r="25" spans="1:7" ht="30" customHeight="1" x14ac:dyDescent="0.3">
      <c r="A25" s="63">
        <v>50</v>
      </c>
      <c r="B25" s="64" t="s">
        <v>79</v>
      </c>
      <c r="C25" s="64" t="s">
        <v>128</v>
      </c>
      <c r="D25" s="93" t="s">
        <v>111</v>
      </c>
      <c r="E25" s="66">
        <v>73.599999999999994</v>
      </c>
      <c r="F25" s="66">
        <f t="shared" si="0"/>
        <v>3679.9999999999995</v>
      </c>
      <c r="G25" s="68"/>
    </row>
    <row r="26" spans="1:7" ht="30" customHeight="1" x14ac:dyDescent="0.3">
      <c r="A26" s="63">
        <v>40</v>
      </c>
      <c r="B26" s="64" t="s">
        <v>79</v>
      </c>
      <c r="C26" s="64" t="s">
        <v>129</v>
      </c>
      <c r="D26" s="93" t="s">
        <v>111</v>
      </c>
      <c r="E26" s="66">
        <v>116.76</v>
      </c>
      <c r="F26" s="66">
        <f t="shared" si="0"/>
        <v>4670.4000000000005</v>
      </c>
      <c r="G26" s="68"/>
    </row>
    <row r="27" spans="1:7" ht="30" customHeight="1" x14ac:dyDescent="0.3">
      <c r="A27" s="63"/>
      <c r="B27" s="64"/>
      <c r="C27" s="64"/>
      <c r="D27" s="93"/>
      <c r="E27" s="66"/>
      <c r="F27" s="66"/>
      <c r="G27" s="68"/>
    </row>
    <row r="28" spans="1:7" ht="30" customHeight="1" x14ac:dyDescent="0.3">
      <c r="A28" s="63"/>
      <c r="B28" s="64"/>
      <c r="C28" s="64"/>
      <c r="D28" s="93"/>
      <c r="E28" s="66"/>
      <c r="F28" s="66"/>
      <c r="G28" s="68"/>
    </row>
    <row r="29" spans="1:7" ht="30" customHeight="1" x14ac:dyDescent="0.3">
      <c r="A29" s="69"/>
      <c r="B29" s="64"/>
      <c r="C29" s="64"/>
      <c r="D29" s="93"/>
      <c r="E29" s="66"/>
      <c r="F29" s="66"/>
      <c r="G29" s="68"/>
    </row>
    <row r="30" spans="1:7" ht="30" customHeight="1" x14ac:dyDescent="0.3">
      <c r="A30" s="69"/>
      <c r="B30" s="64"/>
      <c r="C30" s="64"/>
      <c r="D30" s="93"/>
      <c r="E30" s="66"/>
      <c r="F30" s="66">
        <f>A30*E30</f>
        <v>0</v>
      </c>
      <c r="G30" s="68"/>
    </row>
    <row r="31" spans="1:7" ht="30" customHeight="1" x14ac:dyDescent="0.3">
      <c r="A31" s="70"/>
      <c r="B31" s="71"/>
      <c r="C31" s="71"/>
      <c r="D31" s="94"/>
      <c r="E31" s="73"/>
      <c r="F31" s="73">
        <f>A31*E31</f>
        <v>0</v>
      </c>
      <c r="G31" s="75"/>
    </row>
    <row r="32" spans="1:7" ht="30" customHeight="1" x14ac:dyDescent="0.3">
      <c r="A32" s="76"/>
      <c r="B32" s="77"/>
      <c r="C32" s="164" t="s">
        <v>27</v>
      </c>
      <c r="D32" s="164"/>
      <c r="E32" s="78"/>
      <c r="F32" s="79">
        <f>SUM(F9:F30)</f>
        <v>15242.8</v>
      </c>
      <c r="G32" s="80"/>
    </row>
    <row r="33" spans="1:7" ht="30" customHeight="1" x14ac:dyDescent="0.3">
      <c r="A33" s="81"/>
      <c r="B33" s="82"/>
      <c r="C33" s="165" t="s">
        <v>28</v>
      </c>
      <c r="D33" s="165"/>
      <c r="E33" s="83"/>
      <c r="F33" s="84">
        <f>F32*0.16</f>
        <v>2438.848</v>
      </c>
      <c r="G33" s="85"/>
    </row>
    <row r="34" spans="1:7" ht="30" customHeight="1" x14ac:dyDescent="0.3">
      <c r="A34" s="81"/>
      <c r="B34" s="82"/>
      <c r="C34" s="166" t="s">
        <v>29</v>
      </c>
      <c r="D34" s="166"/>
      <c r="E34" s="86"/>
      <c r="F34" s="87">
        <f>F32+F33</f>
        <v>17681.648000000001</v>
      </c>
      <c r="G34" s="88"/>
    </row>
    <row r="35" spans="1:7" ht="15.6" x14ac:dyDescent="0.3">
      <c r="A35" s="167" t="s">
        <v>30</v>
      </c>
      <c r="B35" s="168"/>
      <c r="C35" s="89" t="s">
        <v>31</v>
      </c>
      <c r="D35" s="89"/>
      <c r="E35" s="168" t="s">
        <v>32</v>
      </c>
      <c r="F35" s="168"/>
      <c r="G35" s="169"/>
    </row>
    <row r="36" spans="1:7" ht="15.6" x14ac:dyDescent="0.3">
      <c r="A36" s="170" t="s">
        <v>52</v>
      </c>
      <c r="B36" s="171"/>
      <c r="C36" s="90" t="s">
        <v>33</v>
      </c>
      <c r="D36" s="90"/>
      <c r="E36" s="171" t="s">
        <v>34</v>
      </c>
      <c r="F36" s="171"/>
      <c r="G36" s="172"/>
    </row>
    <row r="37" spans="1:7" x14ac:dyDescent="0.3">
      <c r="A37" s="91"/>
      <c r="B37" s="91"/>
      <c r="C37" s="91"/>
      <c r="D37" s="91"/>
      <c r="E37" s="91"/>
      <c r="F37" s="91"/>
      <c r="G37" s="91"/>
    </row>
    <row r="38" spans="1:7" x14ac:dyDescent="0.3">
      <c r="A38" s="91"/>
      <c r="B38" s="91"/>
      <c r="C38" s="91"/>
      <c r="D38" s="91"/>
      <c r="E38" s="91"/>
      <c r="F38" s="91"/>
      <c r="G38" s="91"/>
    </row>
  </sheetData>
  <mergeCells count="17">
    <mergeCell ref="C33:D33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32:D32"/>
    <mergeCell ref="C34:D34"/>
    <mergeCell ref="A35:B35"/>
    <mergeCell ref="E35:G35"/>
    <mergeCell ref="A36:B36"/>
    <mergeCell ref="E36:G36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39 A35" xr:uid="{724DDDAC-0A82-4AA7-BAE7-2D5EDD1F7DB3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B7DF4-A590-4661-9E7F-B8F60EE95DEC}">
  <sheetPr>
    <pageSetUpPr fitToPage="1"/>
  </sheetPr>
  <dimension ref="A1:I42"/>
  <sheetViews>
    <sheetView zoomScale="70" zoomScaleNormal="70" workbookViewId="0">
      <selection activeCell="D15" sqref="D15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62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78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76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 t="s">
        <v>106</v>
      </c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30</v>
      </c>
      <c r="B9" s="58" t="s">
        <v>79</v>
      </c>
      <c r="C9" s="58" t="s">
        <v>80</v>
      </c>
      <c r="D9" s="92" t="s">
        <v>105</v>
      </c>
      <c r="E9" s="60">
        <v>57.8</v>
      </c>
      <c r="F9" s="60">
        <f t="shared" ref="F9:F34" si="0">A9*E9</f>
        <v>1734</v>
      </c>
      <c r="G9" s="62"/>
    </row>
    <row r="10" spans="1:9" ht="48" customHeight="1" x14ac:dyDescent="0.3">
      <c r="A10" s="63">
        <v>12.5</v>
      </c>
      <c r="B10" s="64" t="s">
        <v>79</v>
      </c>
      <c r="C10" s="64" t="s">
        <v>81</v>
      </c>
      <c r="D10" s="93" t="s">
        <v>105</v>
      </c>
      <c r="E10" s="66">
        <v>60.5</v>
      </c>
      <c r="F10" s="66">
        <f t="shared" si="0"/>
        <v>756.25</v>
      </c>
      <c r="G10" s="68"/>
    </row>
    <row r="11" spans="1:9" ht="48" customHeight="1" x14ac:dyDescent="0.3">
      <c r="A11" s="63">
        <v>12.5</v>
      </c>
      <c r="B11" s="64" t="s">
        <v>79</v>
      </c>
      <c r="C11" s="64" t="s">
        <v>82</v>
      </c>
      <c r="D11" s="93" t="s">
        <v>105</v>
      </c>
      <c r="E11" s="66">
        <v>107.5</v>
      </c>
      <c r="F11" s="66">
        <f t="shared" si="0"/>
        <v>1343.75</v>
      </c>
      <c r="G11" s="68"/>
    </row>
    <row r="12" spans="1:9" ht="48" customHeight="1" x14ac:dyDescent="0.3">
      <c r="A12" s="63">
        <v>45</v>
      </c>
      <c r="B12" s="64" t="s">
        <v>79</v>
      </c>
      <c r="C12" s="64" t="s">
        <v>83</v>
      </c>
      <c r="D12" s="93" t="s">
        <v>105</v>
      </c>
      <c r="E12" s="66">
        <v>154.44999999999999</v>
      </c>
      <c r="F12" s="66">
        <f t="shared" si="0"/>
        <v>6950.2499999999991</v>
      </c>
      <c r="G12" s="68"/>
    </row>
    <row r="13" spans="1:9" ht="48" customHeight="1" x14ac:dyDescent="0.3">
      <c r="A13" s="63">
        <v>15</v>
      </c>
      <c r="B13" s="64" t="s">
        <v>15</v>
      </c>
      <c r="C13" s="64" t="s">
        <v>84</v>
      </c>
      <c r="D13" s="93" t="s">
        <v>105</v>
      </c>
      <c r="E13" s="66">
        <v>3.35</v>
      </c>
      <c r="F13" s="66">
        <f t="shared" si="0"/>
        <v>50.25</v>
      </c>
      <c r="G13" s="68"/>
    </row>
    <row r="14" spans="1:9" ht="48" customHeight="1" x14ac:dyDescent="0.3">
      <c r="A14" s="63">
        <v>30</v>
      </c>
      <c r="B14" s="64" t="s">
        <v>15</v>
      </c>
      <c r="C14" s="64" t="s">
        <v>85</v>
      </c>
      <c r="D14" s="93" t="s">
        <v>105</v>
      </c>
      <c r="E14" s="66">
        <v>3.76</v>
      </c>
      <c r="F14" s="66">
        <f t="shared" si="0"/>
        <v>112.8</v>
      </c>
      <c r="G14" s="68"/>
    </row>
    <row r="15" spans="1:9" ht="48" customHeight="1" x14ac:dyDescent="0.3">
      <c r="A15" s="63">
        <v>30</v>
      </c>
      <c r="B15" s="64" t="s">
        <v>15</v>
      </c>
      <c r="C15" s="64" t="s">
        <v>86</v>
      </c>
      <c r="D15" s="93" t="s">
        <v>105</v>
      </c>
      <c r="E15" s="66">
        <v>4.0199999999999996</v>
      </c>
      <c r="F15" s="66">
        <f t="shared" si="0"/>
        <v>120.6</v>
      </c>
      <c r="G15" s="68"/>
    </row>
    <row r="16" spans="1:9" ht="48" customHeight="1" x14ac:dyDescent="0.3">
      <c r="A16" s="63">
        <v>25</v>
      </c>
      <c r="B16" s="64" t="s">
        <v>15</v>
      </c>
      <c r="C16" s="64" t="s">
        <v>87</v>
      </c>
      <c r="D16" s="93" t="s">
        <v>105</v>
      </c>
      <c r="E16" s="66">
        <v>3.71</v>
      </c>
      <c r="F16" s="66">
        <f t="shared" si="0"/>
        <v>92.75</v>
      </c>
      <c r="G16" s="68"/>
    </row>
    <row r="17" spans="1:7" ht="48" customHeight="1" x14ac:dyDescent="0.3">
      <c r="A17" s="63">
        <v>10</v>
      </c>
      <c r="B17" s="64" t="s">
        <v>15</v>
      </c>
      <c r="C17" s="64" t="s">
        <v>88</v>
      </c>
      <c r="D17" s="93" t="s">
        <v>105</v>
      </c>
      <c r="E17" s="66">
        <v>8.34</v>
      </c>
      <c r="F17" s="66">
        <f t="shared" si="0"/>
        <v>83.4</v>
      </c>
      <c r="G17" s="68"/>
    </row>
    <row r="18" spans="1:7" ht="48" customHeight="1" x14ac:dyDescent="0.3">
      <c r="A18" s="63">
        <v>5</v>
      </c>
      <c r="B18" s="64" t="s">
        <v>15</v>
      </c>
      <c r="C18" s="64" t="s">
        <v>89</v>
      </c>
      <c r="D18" s="93" t="s">
        <v>105</v>
      </c>
      <c r="E18" s="66"/>
      <c r="F18" s="66">
        <f t="shared" si="0"/>
        <v>0</v>
      </c>
      <c r="G18" s="68"/>
    </row>
    <row r="19" spans="1:7" ht="48" customHeight="1" x14ac:dyDescent="0.3">
      <c r="A19" s="63">
        <v>25</v>
      </c>
      <c r="B19" s="64" t="s">
        <v>15</v>
      </c>
      <c r="C19" s="64" t="s">
        <v>90</v>
      </c>
      <c r="D19" s="93" t="s">
        <v>105</v>
      </c>
      <c r="E19" s="66">
        <v>12.89</v>
      </c>
      <c r="F19" s="66">
        <f t="shared" si="0"/>
        <v>322.25</v>
      </c>
      <c r="G19" s="68"/>
    </row>
    <row r="20" spans="1:7" ht="48" customHeight="1" x14ac:dyDescent="0.3">
      <c r="A20" s="63">
        <v>30</v>
      </c>
      <c r="B20" s="64" t="s">
        <v>15</v>
      </c>
      <c r="C20" s="64" t="s">
        <v>91</v>
      </c>
      <c r="D20" s="93" t="s">
        <v>105</v>
      </c>
      <c r="E20" s="66">
        <v>16.54</v>
      </c>
      <c r="F20" s="66">
        <f t="shared" si="0"/>
        <v>496.2</v>
      </c>
      <c r="G20" s="68"/>
    </row>
    <row r="21" spans="1:7" ht="48" customHeight="1" x14ac:dyDescent="0.3">
      <c r="A21" s="63">
        <v>10</v>
      </c>
      <c r="B21" s="64" t="s">
        <v>15</v>
      </c>
      <c r="C21" s="64" t="s">
        <v>92</v>
      </c>
      <c r="D21" s="93" t="s">
        <v>105</v>
      </c>
      <c r="E21" s="66">
        <v>21.57</v>
      </c>
      <c r="F21" s="66">
        <f t="shared" si="0"/>
        <v>215.7</v>
      </c>
      <c r="G21" s="68"/>
    </row>
    <row r="22" spans="1:7" ht="48" customHeight="1" x14ac:dyDescent="0.3">
      <c r="A22" s="63">
        <v>25</v>
      </c>
      <c r="B22" s="64" t="s">
        <v>15</v>
      </c>
      <c r="C22" s="64" t="s">
        <v>93</v>
      </c>
      <c r="D22" s="93" t="s">
        <v>105</v>
      </c>
      <c r="E22" s="66">
        <v>33.03</v>
      </c>
      <c r="F22" s="66">
        <f t="shared" si="0"/>
        <v>825.75</v>
      </c>
      <c r="G22" s="68"/>
    </row>
    <row r="23" spans="1:7" ht="48" customHeight="1" x14ac:dyDescent="0.3">
      <c r="A23" s="63">
        <v>5</v>
      </c>
      <c r="B23" s="64" t="s">
        <v>15</v>
      </c>
      <c r="C23" s="64" t="s">
        <v>94</v>
      </c>
      <c r="D23" s="93" t="s">
        <v>105</v>
      </c>
      <c r="E23" s="66">
        <v>7.97</v>
      </c>
      <c r="F23" s="66">
        <f t="shared" si="0"/>
        <v>39.85</v>
      </c>
      <c r="G23" s="68"/>
    </row>
    <row r="24" spans="1:7" ht="48" customHeight="1" x14ac:dyDescent="0.3">
      <c r="A24" s="63">
        <v>25</v>
      </c>
      <c r="B24" s="64" t="s">
        <v>15</v>
      </c>
      <c r="C24" s="64" t="s">
        <v>95</v>
      </c>
      <c r="D24" s="93" t="s">
        <v>105</v>
      </c>
      <c r="E24" s="66">
        <v>19.579999999999998</v>
      </c>
      <c r="F24" s="66">
        <f t="shared" si="0"/>
        <v>489.49999999999994</v>
      </c>
      <c r="G24" s="68"/>
    </row>
    <row r="25" spans="1:7" ht="48" customHeight="1" x14ac:dyDescent="0.3">
      <c r="A25" s="63">
        <v>20</v>
      </c>
      <c r="B25" s="64" t="s">
        <v>15</v>
      </c>
      <c r="C25" s="64" t="s">
        <v>96</v>
      </c>
      <c r="D25" s="93" t="s">
        <v>105</v>
      </c>
      <c r="E25" s="66"/>
      <c r="F25" s="66">
        <f t="shared" si="0"/>
        <v>0</v>
      </c>
      <c r="G25" s="68"/>
    </row>
    <row r="26" spans="1:7" ht="48" customHeight="1" x14ac:dyDescent="0.3">
      <c r="A26" s="63">
        <v>5</v>
      </c>
      <c r="B26" s="64" t="s">
        <v>15</v>
      </c>
      <c r="C26" s="64" t="s">
        <v>97</v>
      </c>
      <c r="D26" s="93" t="s">
        <v>105</v>
      </c>
      <c r="E26" s="66"/>
      <c r="F26" s="66">
        <f t="shared" si="0"/>
        <v>0</v>
      </c>
      <c r="G26" s="68"/>
    </row>
    <row r="27" spans="1:7" ht="48" customHeight="1" x14ac:dyDescent="0.3">
      <c r="A27" s="63">
        <v>10</v>
      </c>
      <c r="B27" s="64" t="s">
        <v>15</v>
      </c>
      <c r="C27" s="64" t="s">
        <v>98</v>
      </c>
      <c r="D27" s="93" t="s">
        <v>105</v>
      </c>
      <c r="E27" s="66">
        <v>11.41</v>
      </c>
      <c r="F27" s="66">
        <f t="shared" si="0"/>
        <v>114.1</v>
      </c>
      <c r="G27" s="68"/>
    </row>
    <row r="28" spans="1:7" ht="48" customHeight="1" x14ac:dyDescent="0.3">
      <c r="A28" s="63">
        <v>5</v>
      </c>
      <c r="B28" s="64" t="s">
        <v>15</v>
      </c>
      <c r="C28" s="64" t="s">
        <v>99</v>
      </c>
      <c r="D28" s="93" t="s">
        <v>105</v>
      </c>
      <c r="E28" s="66"/>
      <c r="F28" s="66">
        <f t="shared" si="0"/>
        <v>0</v>
      </c>
      <c r="G28" s="68"/>
    </row>
    <row r="29" spans="1:7" ht="48" customHeight="1" x14ac:dyDescent="0.3">
      <c r="A29" s="63">
        <v>30</v>
      </c>
      <c r="B29" s="64" t="s">
        <v>15</v>
      </c>
      <c r="C29" s="64" t="s">
        <v>100</v>
      </c>
      <c r="D29" s="93" t="s">
        <v>105</v>
      </c>
      <c r="E29" s="66">
        <v>2.1800000000000002</v>
      </c>
      <c r="F29" s="66">
        <f t="shared" si="0"/>
        <v>65.400000000000006</v>
      </c>
      <c r="G29" s="68"/>
    </row>
    <row r="30" spans="1:7" ht="48" customHeight="1" x14ac:dyDescent="0.3">
      <c r="A30" s="69">
        <v>10</v>
      </c>
      <c r="B30" s="64" t="s">
        <v>15</v>
      </c>
      <c r="C30" s="64" t="s">
        <v>101</v>
      </c>
      <c r="D30" s="93" t="s">
        <v>105</v>
      </c>
      <c r="E30" s="66">
        <v>8.0299999999999994</v>
      </c>
      <c r="F30" s="66">
        <f t="shared" si="0"/>
        <v>80.3</v>
      </c>
      <c r="G30" s="68"/>
    </row>
    <row r="31" spans="1:7" ht="48" customHeight="1" x14ac:dyDescent="0.3">
      <c r="A31" s="69">
        <v>5</v>
      </c>
      <c r="B31" s="64" t="s">
        <v>15</v>
      </c>
      <c r="C31" s="64" t="s">
        <v>102</v>
      </c>
      <c r="D31" s="93" t="s">
        <v>105</v>
      </c>
      <c r="E31" s="66">
        <v>4.34</v>
      </c>
      <c r="F31" s="66">
        <f t="shared" si="0"/>
        <v>21.7</v>
      </c>
      <c r="G31" s="68"/>
    </row>
    <row r="32" spans="1:7" ht="48" customHeight="1" x14ac:dyDescent="0.3">
      <c r="A32" s="69">
        <v>5</v>
      </c>
      <c r="B32" s="64" t="s">
        <v>15</v>
      </c>
      <c r="C32" s="64" t="s">
        <v>103</v>
      </c>
      <c r="D32" s="93" t="s">
        <v>105</v>
      </c>
      <c r="E32" s="66">
        <v>2.08</v>
      </c>
      <c r="F32" s="66">
        <f t="shared" si="0"/>
        <v>10.4</v>
      </c>
      <c r="G32" s="68"/>
    </row>
    <row r="33" spans="1:7" ht="48" customHeight="1" x14ac:dyDescent="0.3">
      <c r="A33" s="69">
        <v>20</v>
      </c>
      <c r="B33" s="64" t="s">
        <v>15</v>
      </c>
      <c r="C33" s="64" t="s">
        <v>104</v>
      </c>
      <c r="D33" s="93" t="s">
        <v>105</v>
      </c>
      <c r="E33" s="66">
        <v>2.54</v>
      </c>
      <c r="F33" s="66">
        <f t="shared" si="0"/>
        <v>50.8</v>
      </c>
      <c r="G33" s="68"/>
    </row>
    <row r="34" spans="1:7" ht="30" customHeight="1" x14ac:dyDescent="0.3">
      <c r="A34" s="69">
        <v>10</v>
      </c>
      <c r="B34" s="64" t="s">
        <v>15</v>
      </c>
      <c r="C34" s="64" t="s">
        <v>158</v>
      </c>
      <c r="D34" s="93" t="s">
        <v>105</v>
      </c>
      <c r="E34" s="66">
        <v>133.03</v>
      </c>
      <c r="F34" s="66">
        <f t="shared" si="0"/>
        <v>1330.3</v>
      </c>
      <c r="G34" s="68"/>
    </row>
    <row r="35" spans="1:7" ht="30" customHeight="1" x14ac:dyDescent="0.3">
      <c r="A35" s="70"/>
      <c r="B35" s="71"/>
      <c r="C35" s="71"/>
      <c r="D35" s="94"/>
      <c r="E35" s="73"/>
      <c r="F35" s="73">
        <f>A35*E35</f>
        <v>0</v>
      </c>
      <c r="G35" s="75"/>
    </row>
    <row r="36" spans="1:7" ht="30" customHeight="1" x14ac:dyDescent="0.3">
      <c r="A36" s="76"/>
      <c r="B36" s="77"/>
      <c r="C36" s="164" t="s">
        <v>27</v>
      </c>
      <c r="D36" s="164"/>
      <c r="E36" s="78"/>
      <c r="F36" s="79">
        <f>SUM(F9:F34)</f>
        <v>15306.3</v>
      </c>
      <c r="G36" s="80"/>
    </row>
    <row r="37" spans="1:7" ht="30" customHeight="1" x14ac:dyDescent="0.3">
      <c r="A37" s="81"/>
      <c r="B37" s="82"/>
      <c r="C37" s="165" t="s">
        <v>28</v>
      </c>
      <c r="D37" s="165"/>
      <c r="E37" s="83"/>
      <c r="F37" s="84">
        <f>F36*0.16</f>
        <v>2449.0079999999998</v>
      </c>
      <c r="G37" s="85"/>
    </row>
    <row r="38" spans="1:7" ht="30" customHeight="1" x14ac:dyDescent="0.3">
      <c r="A38" s="81"/>
      <c r="B38" s="82"/>
      <c r="C38" s="166" t="s">
        <v>29</v>
      </c>
      <c r="D38" s="166"/>
      <c r="E38" s="86"/>
      <c r="F38" s="87">
        <f>F36+F37</f>
        <v>17755.307999999997</v>
      </c>
      <c r="G38" s="88"/>
    </row>
    <row r="39" spans="1:7" ht="15.6" x14ac:dyDescent="0.3">
      <c r="A39" s="167" t="s">
        <v>30</v>
      </c>
      <c r="B39" s="168"/>
      <c r="C39" s="89" t="s">
        <v>31</v>
      </c>
      <c r="D39" s="89"/>
      <c r="E39" s="168" t="s">
        <v>32</v>
      </c>
      <c r="F39" s="168"/>
      <c r="G39" s="169"/>
    </row>
    <row r="40" spans="1:7" ht="15.6" x14ac:dyDescent="0.3">
      <c r="A40" s="170" t="s">
        <v>52</v>
      </c>
      <c r="B40" s="171"/>
      <c r="C40" s="90" t="s">
        <v>33</v>
      </c>
      <c r="D40" s="90"/>
      <c r="E40" s="171" t="s">
        <v>34</v>
      </c>
      <c r="F40" s="171"/>
      <c r="G40" s="172"/>
    </row>
    <row r="41" spans="1:7" x14ac:dyDescent="0.3">
      <c r="A41" s="91"/>
      <c r="B41" s="91"/>
      <c r="C41" s="91"/>
      <c r="D41" s="91"/>
      <c r="E41" s="91"/>
      <c r="F41" s="91"/>
      <c r="G41" s="91"/>
    </row>
    <row r="42" spans="1:7" x14ac:dyDescent="0.3">
      <c r="A42" s="91"/>
      <c r="B42" s="91"/>
      <c r="C42" s="91"/>
      <c r="D42" s="91"/>
      <c r="E42" s="91"/>
      <c r="F42" s="91"/>
      <c r="G42" s="91"/>
    </row>
  </sheetData>
  <mergeCells count="17">
    <mergeCell ref="C38:D38"/>
    <mergeCell ref="A39:B39"/>
    <mergeCell ref="E39:G39"/>
    <mergeCell ref="A40:B40"/>
    <mergeCell ref="E40:G40"/>
    <mergeCell ref="C37:D37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36:D36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43 A39" xr:uid="{59344A6A-F50C-4C9E-BF2F-2F547D61B7B7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BDCC3-A615-4D06-A100-B551F7F3AC38}">
  <sheetPr>
    <pageSetUpPr fitToPage="1"/>
  </sheetPr>
  <dimension ref="A1:I25"/>
  <sheetViews>
    <sheetView zoomScale="70" zoomScaleNormal="70" workbookViewId="0">
      <selection activeCell="D1" sqref="A1:G24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62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72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67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71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6</v>
      </c>
      <c r="B9" s="58" t="s">
        <v>15</v>
      </c>
      <c r="C9" s="58" t="s">
        <v>73</v>
      </c>
      <c r="D9" s="59"/>
      <c r="E9" s="60">
        <v>110</v>
      </c>
      <c r="F9" s="61">
        <f t="shared" ref="F9:F18" si="0">A9*E9</f>
        <v>660</v>
      </c>
      <c r="G9" s="62"/>
    </row>
    <row r="10" spans="1:9" ht="48" customHeight="1" x14ac:dyDescent="0.3">
      <c r="A10" s="63">
        <v>7</v>
      </c>
      <c r="B10" s="64" t="s">
        <v>15</v>
      </c>
      <c r="C10" s="64" t="s">
        <v>74</v>
      </c>
      <c r="D10" s="65"/>
      <c r="E10" s="66">
        <v>220</v>
      </c>
      <c r="F10" s="67">
        <f t="shared" si="0"/>
        <v>1540</v>
      </c>
      <c r="G10" s="68"/>
    </row>
    <row r="11" spans="1:9" ht="48" customHeight="1" x14ac:dyDescent="0.3">
      <c r="A11" s="63">
        <v>2</v>
      </c>
      <c r="B11" s="64" t="s">
        <v>15</v>
      </c>
      <c r="C11" s="64" t="s">
        <v>75</v>
      </c>
      <c r="D11" s="65"/>
      <c r="E11" s="66">
        <v>500</v>
      </c>
      <c r="F11" s="67">
        <f t="shared" si="0"/>
        <v>1000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3200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512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3712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1:D21"/>
    <mergeCell ref="A22:B22"/>
    <mergeCell ref="E22:G22"/>
    <mergeCell ref="A23:B23"/>
    <mergeCell ref="E23:G23"/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92B9EA43-6E2D-4E2D-B26A-C175F83129A6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BB950-0330-4E9F-8822-BFED0D32E295}">
  <sheetPr>
    <pageSetUpPr fitToPage="1"/>
  </sheetPr>
  <dimension ref="A1:I25"/>
  <sheetViews>
    <sheetView zoomScale="70" zoomScaleNormal="70" workbookViewId="0">
      <selection activeCell="D13" sqref="C13:J35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62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66</v>
      </c>
      <c r="G3" s="181"/>
      <c r="H3" s="6"/>
      <c r="I3" s="6"/>
    </row>
    <row r="4" spans="1:9" ht="21" x14ac:dyDescent="0.4">
      <c r="A4" s="52" t="s">
        <v>39</v>
      </c>
      <c r="B4" s="53" t="s">
        <v>54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70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25</v>
      </c>
      <c r="B9" s="58" t="s">
        <v>15</v>
      </c>
      <c r="C9" s="58" t="s">
        <v>68</v>
      </c>
      <c r="D9" s="59">
        <v>436890</v>
      </c>
      <c r="E9" s="60">
        <v>47.19</v>
      </c>
      <c r="F9" s="61">
        <f t="shared" ref="F9:F18" si="0">A9*E9</f>
        <v>1179.75</v>
      </c>
      <c r="G9" s="62"/>
    </row>
    <row r="10" spans="1:9" ht="48" customHeight="1" x14ac:dyDescent="0.3">
      <c r="A10" s="63">
        <v>1</v>
      </c>
      <c r="B10" s="64" t="s">
        <v>15</v>
      </c>
      <c r="C10" s="64" t="s">
        <v>69</v>
      </c>
      <c r="D10" s="65">
        <v>687641</v>
      </c>
      <c r="E10" s="66">
        <v>2933.69</v>
      </c>
      <c r="F10" s="67">
        <f t="shared" si="0"/>
        <v>2933.69</v>
      </c>
      <c r="G10" s="68"/>
    </row>
    <row r="11" spans="1:9" ht="48" customHeight="1" x14ac:dyDescent="0.3">
      <c r="A11" s="63"/>
      <c r="B11" s="64"/>
      <c r="C11" s="64"/>
      <c r="D11" s="65"/>
      <c r="E11" s="66"/>
      <c r="F11" s="67">
        <f t="shared" si="0"/>
        <v>0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4113.4400000000005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658.1504000000001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4771.590400000001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1:D21"/>
    <mergeCell ref="A22:B22"/>
    <mergeCell ref="E22:G22"/>
    <mergeCell ref="A23:B23"/>
    <mergeCell ref="E23:G23"/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</mergeCells>
  <dataValidations disablePrompts="1"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A90E867A-9AD5-4846-867D-239AE1C6CEE6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627D2-50B7-4F1C-AD25-179989C66228}">
  <sheetPr>
    <pageSetUpPr fitToPage="1"/>
  </sheetPr>
  <dimension ref="A1:I25"/>
  <sheetViews>
    <sheetView zoomScale="70" zoomScaleNormal="70" workbookViewId="0">
      <selection activeCell="D1" sqref="A1:G25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62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63</v>
      </c>
      <c r="G3" s="181"/>
      <c r="H3" s="6"/>
      <c r="I3" s="6"/>
    </row>
    <row r="4" spans="1:9" ht="21" x14ac:dyDescent="0.4">
      <c r="A4" s="52" t="s">
        <v>39</v>
      </c>
      <c r="B4" s="53" t="s">
        <v>54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64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20</v>
      </c>
      <c r="B9" s="58" t="s">
        <v>65</v>
      </c>
      <c r="C9" s="58" t="s">
        <v>64</v>
      </c>
      <c r="D9" s="59"/>
      <c r="E9" s="60">
        <v>193</v>
      </c>
      <c r="F9" s="61">
        <f t="shared" ref="F9:F18" si="0">A9*E9</f>
        <v>3860</v>
      </c>
      <c r="G9" s="62"/>
    </row>
    <row r="10" spans="1:9" ht="48" customHeight="1" x14ac:dyDescent="0.3">
      <c r="A10" s="63"/>
      <c r="B10" s="64"/>
      <c r="C10" s="64"/>
      <c r="D10" s="65"/>
      <c r="E10" s="66"/>
      <c r="F10" s="67">
        <f t="shared" si="0"/>
        <v>0</v>
      </c>
      <c r="G10" s="68"/>
    </row>
    <row r="11" spans="1:9" ht="48" customHeight="1" x14ac:dyDescent="0.3">
      <c r="A11" s="63"/>
      <c r="B11" s="64"/>
      <c r="C11" s="64"/>
      <c r="D11" s="65"/>
      <c r="E11" s="66"/>
      <c r="F11" s="67">
        <f t="shared" si="0"/>
        <v>0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3860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617.6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4477.6000000000004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1:D21"/>
    <mergeCell ref="A22:B22"/>
    <mergeCell ref="E22:G22"/>
    <mergeCell ref="A23:B23"/>
    <mergeCell ref="E23:G23"/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361FB115-79A4-43B7-91AD-D99C5730F5AF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8CDE0-F2E2-4D4C-9A6D-FAA55210426F}">
  <sheetPr>
    <pageSetUpPr fitToPage="1"/>
  </sheetPr>
  <dimension ref="A1:I25"/>
  <sheetViews>
    <sheetView zoomScale="70" zoomScaleNormal="70" workbookViewId="0">
      <selection activeCell="C9" sqref="C9:C10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60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61</v>
      </c>
      <c r="G3" s="181"/>
      <c r="H3" s="6"/>
      <c r="I3" s="6"/>
    </row>
    <row r="4" spans="1:9" ht="21" x14ac:dyDescent="0.4">
      <c r="A4" s="52" t="s">
        <v>39</v>
      </c>
      <c r="B4" s="53" t="s">
        <v>54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58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1</v>
      </c>
      <c r="B9" s="58" t="s">
        <v>15</v>
      </c>
      <c r="C9" s="58" t="s">
        <v>59</v>
      </c>
      <c r="D9" s="59">
        <v>148756</v>
      </c>
      <c r="E9" s="60">
        <v>3447.41</v>
      </c>
      <c r="F9" s="61">
        <f t="shared" ref="F9:F18" si="0">A9*E9</f>
        <v>3447.41</v>
      </c>
      <c r="G9" s="62"/>
    </row>
    <row r="10" spans="1:9" ht="48" customHeight="1" x14ac:dyDescent="0.3">
      <c r="A10" s="63"/>
      <c r="B10" s="64"/>
      <c r="C10" s="64"/>
      <c r="D10" s="65"/>
      <c r="E10" s="66"/>
      <c r="F10" s="67">
        <f t="shared" si="0"/>
        <v>0</v>
      </c>
      <c r="G10" s="68"/>
    </row>
    <row r="11" spans="1:9" ht="48" customHeight="1" x14ac:dyDescent="0.3">
      <c r="A11" s="63"/>
      <c r="B11" s="64"/>
      <c r="C11" s="64"/>
      <c r="D11" s="65"/>
      <c r="E11" s="66"/>
      <c r="F11" s="67">
        <f t="shared" si="0"/>
        <v>0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3447.41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551.5856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3998.9955999999997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  <mergeCell ref="C21:D21"/>
    <mergeCell ref="A22:B22"/>
    <mergeCell ref="E22:G22"/>
    <mergeCell ref="A23:B23"/>
    <mergeCell ref="E23:G23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D5A34F7A-0B93-42A0-AA67-D22436671E9D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780F7-3F6B-4F9E-9B64-388CA1E603BD}">
  <sheetPr>
    <pageSetUpPr fitToPage="1"/>
  </sheetPr>
  <dimension ref="A1:I25"/>
  <sheetViews>
    <sheetView zoomScale="70" zoomScaleNormal="70" workbookViewId="0">
      <selection activeCell="D1" sqref="A1:G24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48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46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53</v>
      </c>
      <c r="G3" s="181"/>
      <c r="H3" s="6"/>
      <c r="I3" s="6"/>
    </row>
    <row r="4" spans="1:9" ht="21" x14ac:dyDescent="0.4">
      <c r="A4" s="52" t="s">
        <v>39</v>
      </c>
      <c r="B4" s="53" t="s">
        <v>49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50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51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10</v>
      </c>
      <c r="B9" s="58" t="s">
        <v>15</v>
      </c>
      <c r="C9" s="58" t="s">
        <v>47</v>
      </c>
      <c r="D9" s="59"/>
      <c r="E9" s="60">
        <v>637.92999999999995</v>
      </c>
      <c r="F9" s="61">
        <f t="shared" ref="F9:F18" si="0">A9*E9</f>
        <v>6379.2999999999993</v>
      </c>
      <c r="G9" s="62"/>
    </row>
    <row r="10" spans="1:9" ht="48" customHeight="1" x14ac:dyDescent="0.3">
      <c r="A10" s="63"/>
      <c r="B10" s="64"/>
      <c r="C10" s="64"/>
      <c r="D10" s="65"/>
      <c r="E10" s="66"/>
      <c r="F10" s="67">
        <f t="shared" si="0"/>
        <v>0</v>
      </c>
      <c r="G10" s="68"/>
    </row>
    <row r="11" spans="1:9" ht="48" customHeight="1" x14ac:dyDescent="0.3">
      <c r="A11" s="63"/>
      <c r="B11" s="64"/>
      <c r="C11" s="64"/>
      <c r="D11" s="65"/>
      <c r="E11" s="66"/>
      <c r="F11" s="67">
        <f t="shared" si="0"/>
        <v>0</v>
      </c>
      <c r="G11" s="68"/>
    </row>
    <row r="12" spans="1:9" ht="48" customHeight="1" x14ac:dyDescent="0.3">
      <c r="A12" s="63"/>
      <c r="B12" s="64"/>
      <c r="C12" s="64"/>
      <c r="D12" s="65"/>
      <c r="E12" s="66"/>
      <c r="F12" s="67">
        <f t="shared" si="0"/>
        <v>0</v>
      </c>
      <c r="G12" s="68"/>
    </row>
    <row r="13" spans="1:9" ht="48" customHeight="1" x14ac:dyDescent="0.3">
      <c r="A13" s="69"/>
      <c r="B13" s="64"/>
      <c r="C13" s="64"/>
      <c r="D13" s="65"/>
      <c r="E13" s="66"/>
      <c r="F13" s="67">
        <f t="shared" si="0"/>
        <v>0</v>
      </c>
      <c r="G13" s="68"/>
    </row>
    <row r="14" spans="1:9" ht="48" customHeight="1" x14ac:dyDescent="0.3">
      <c r="A14" s="69"/>
      <c r="B14" s="64"/>
      <c r="C14" s="64"/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6379.2999999999993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1020.6879999999999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7399.9879999999994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1:D21"/>
    <mergeCell ref="A22:B22"/>
    <mergeCell ref="E22:G22"/>
    <mergeCell ref="A23:B23"/>
    <mergeCell ref="E23:G23"/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10277965-5D8F-4C77-B091-5CFB1F2DD79B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4B06C-1CB5-4CFE-B0DC-FC1AF5AC1744}">
  <sheetPr>
    <pageSetUpPr fitToPage="1"/>
  </sheetPr>
  <dimension ref="A1:I25"/>
  <sheetViews>
    <sheetView zoomScale="70" zoomScaleNormal="70" workbookViewId="0">
      <selection activeCell="D1" sqref="A1:G23"/>
    </sheetView>
  </sheetViews>
  <sheetFormatPr baseColWidth="10" defaultRowHeight="14.4" x14ac:dyDescent="0.3"/>
  <cols>
    <col min="1" max="1" width="21.44140625" customWidth="1"/>
    <col min="2" max="2" width="13.77734375" customWidth="1"/>
    <col min="3" max="3" width="39.109375" customWidth="1"/>
    <col min="4" max="4" width="18.88671875" customWidth="1"/>
    <col min="5" max="5" width="16" customWidth="1"/>
    <col min="6" max="6" width="17.88671875" customWidth="1"/>
    <col min="7" max="7" width="19.6640625" customWidth="1"/>
    <col min="8" max="8" width="16" customWidth="1"/>
    <col min="9" max="9" width="10.33203125" customWidth="1"/>
    <col min="10" max="10" width="9.5546875" customWidth="1"/>
  </cols>
  <sheetData>
    <row r="1" spans="1:9" ht="20.25" customHeight="1" x14ac:dyDescent="0.4">
      <c r="A1" s="49"/>
      <c r="B1" s="184" t="s">
        <v>45</v>
      </c>
      <c r="C1" s="185"/>
      <c r="D1" s="190" t="s">
        <v>36</v>
      </c>
      <c r="E1" s="191"/>
      <c r="F1" s="191"/>
      <c r="G1" s="192"/>
      <c r="H1" s="6"/>
      <c r="I1" s="6"/>
    </row>
    <row r="2" spans="1:9" ht="20.25" customHeight="1" x14ac:dyDescent="0.4">
      <c r="A2" s="50"/>
      <c r="B2" s="186"/>
      <c r="C2" s="187"/>
      <c r="D2" s="193" t="s">
        <v>1</v>
      </c>
      <c r="E2" s="194"/>
      <c r="F2" s="195" t="s">
        <v>46</v>
      </c>
      <c r="G2" s="177"/>
      <c r="H2" s="6"/>
      <c r="I2" s="6"/>
    </row>
    <row r="3" spans="1:9" ht="30" customHeight="1" x14ac:dyDescent="0.4">
      <c r="A3" s="51"/>
      <c r="B3" s="188"/>
      <c r="C3" s="189"/>
      <c r="D3" s="178" t="s">
        <v>38</v>
      </c>
      <c r="E3" s="179"/>
      <c r="F3" s="180" t="s">
        <v>56</v>
      </c>
      <c r="G3" s="181"/>
      <c r="H3" s="6"/>
      <c r="I3" s="6"/>
    </row>
    <row r="4" spans="1:9" ht="21" x14ac:dyDescent="0.4">
      <c r="A4" s="52" t="s">
        <v>39</v>
      </c>
      <c r="B4" s="53" t="s">
        <v>54</v>
      </c>
      <c r="C4" s="54"/>
      <c r="D4" s="54"/>
      <c r="E4" s="182"/>
      <c r="F4" s="182"/>
      <c r="G4" s="183"/>
      <c r="H4" s="6"/>
      <c r="I4" s="6"/>
    </row>
    <row r="5" spans="1:9" ht="21" x14ac:dyDescent="0.4">
      <c r="A5" s="52" t="s">
        <v>40</v>
      </c>
      <c r="B5" s="173" t="s">
        <v>55</v>
      </c>
      <c r="C5" s="174"/>
      <c r="D5" s="174"/>
      <c r="E5" s="174"/>
      <c r="F5" s="174"/>
      <c r="G5" s="175"/>
      <c r="H5" s="6"/>
      <c r="I5" s="6"/>
    </row>
    <row r="6" spans="1:9" ht="26.4" customHeight="1" x14ac:dyDescent="0.4">
      <c r="A6" s="52" t="s">
        <v>41</v>
      </c>
      <c r="B6" s="173"/>
      <c r="C6" s="174"/>
      <c r="D6" s="174"/>
      <c r="E6" s="174"/>
      <c r="F6" s="174"/>
      <c r="G6" s="175"/>
      <c r="H6" s="6"/>
      <c r="I6" s="6"/>
    </row>
    <row r="7" spans="1:9" ht="21" x14ac:dyDescent="0.4">
      <c r="A7" s="52" t="s">
        <v>42</v>
      </c>
      <c r="B7" s="173" t="s">
        <v>7</v>
      </c>
      <c r="C7" s="174"/>
      <c r="D7" s="174"/>
      <c r="E7" s="174"/>
      <c r="F7" s="174"/>
      <c r="G7" s="175"/>
      <c r="H7" s="6"/>
      <c r="I7" s="6"/>
    </row>
    <row r="8" spans="1:9" ht="31.8" customHeight="1" x14ac:dyDescent="0.3">
      <c r="A8" s="55" t="s">
        <v>8</v>
      </c>
      <c r="B8" s="55" t="s">
        <v>9</v>
      </c>
      <c r="C8" s="55" t="s">
        <v>10</v>
      </c>
      <c r="D8" s="56" t="s">
        <v>43</v>
      </c>
      <c r="E8" s="55" t="s">
        <v>12</v>
      </c>
      <c r="F8" s="55" t="s">
        <v>13</v>
      </c>
      <c r="G8" s="55" t="s">
        <v>14</v>
      </c>
    </row>
    <row r="9" spans="1:9" ht="46.2" customHeight="1" x14ac:dyDescent="0.3">
      <c r="A9" s="57">
        <v>3</v>
      </c>
      <c r="B9" s="58" t="s">
        <v>15</v>
      </c>
      <c r="C9" s="58" t="s">
        <v>16</v>
      </c>
      <c r="D9" s="59" t="s">
        <v>17</v>
      </c>
      <c r="E9" s="60">
        <v>1284.96</v>
      </c>
      <c r="F9" s="61">
        <f t="shared" ref="F9:F18" si="0">A9*E9</f>
        <v>3854.88</v>
      </c>
      <c r="G9" s="62"/>
    </row>
    <row r="10" spans="1:9" ht="48" customHeight="1" x14ac:dyDescent="0.3">
      <c r="A10" s="63">
        <v>8</v>
      </c>
      <c r="B10" s="64" t="s">
        <v>15</v>
      </c>
      <c r="C10" s="64" t="s">
        <v>18</v>
      </c>
      <c r="D10" s="65" t="s">
        <v>19</v>
      </c>
      <c r="E10" s="66">
        <v>16.21</v>
      </c>
      <c r="F10" s="67">
        <f t="shared" si="0"/>
        <v>129.68</v>
      </c>
      <c r="G10" s="68"/>
    </row>
    <row r="11" spans="1:9" ht="48" customHeight="1" x14ac:dyDescent="0.3">
      <c r="A11" s="63">
        <v>4</v>
      </c>
      <c r="B11" s="64" t="s">
        <v>15</v>
      </c>
      <c r="C11" s="64" t="s">
        <v>20</v>
      </c>
      <c r="D11" s="65" t="s">
        <v>21</v>
      </c>
      <c r="E11" s="66">
        <v>214.74</v>
      </c>
      <c r="F11" s="67">
        <f t="shared" si="0"/>
        <v>858.96</v>
      </c>
      <c r="G11" s="68"/>
    </row>
    <row r="12" spans="1:9" ht="48" customHeight="1" x14ac:dyDescent="0.3">
      <c r="A12" s="63">
        <v>4</v>
      </c>
      <c r="B12" s="64" t="s">
        <v>15</v>
      </c>
      <c r="C12" s="64" t="s">
        <v>22</v>
      </c>
      <c r="D12" s="65" t="s">
        <v>23</v>
      </c>
      <c r="E12" s="66">
        <v>76.17</v>
      </c>
      <c r="F12" s="67">
        <f t="shared" si="0"/>
        <v>304.68</v>
      </c>
      <c r="G12" s="68"/>
    </row>
    <row r="13" spans="1:9" ht="48" customHeight="1" x14ac:dyDescent="0.3">
      <c r="A13" s="69">
        <v>36</v>
      </c>
      <c r="B13" s="64" t="s">
        <v>24</v>
      </c>
      <c r="C13" s="64" t="s">
        <v>25</v>
      </c>
      <c r="D13" s="65" t="s">
        <v>26</v>
      </c>
      <c r="E13" s="66">
        <v>32.409999999999997</v>
      </c>
      <c r="F13" s="67">
        <f t="shared" si="0"/>
        <v>1166.7599999999998</v>
      </c>
      <c r="G13" s="68"/>
    </row>
    <row r="14" spans="1:9" ht="48" customHeight="1" x14ac:dyDescent="0.3">
      <c r="A14" s="69"/>
      <c r="B14" s="64"/>
      <c r="C14" s="64" t="s">
        <v>57</v>
      </c>
      <c r="D14" s="65"/>
      <c r="E14" s="66"/>
      <c r="F14" s="67">
        <f t="shared" si="0"/>
        <v>0</v>
      </c>
      <c r="G14" s="68"/>
    </row>
    <row r="15" spans="1:9" ht="48" customHeight="1" x14ac:dyDescent="0.3">
      <c r="A15" s="69"/>
      <c r="B15" s="64"/>
      <c r="C15" s="64"/>
      <c r="D15" s="65"/>
      <c r="E15" s="66"/>
      <c r="F15" s="67">
        <f t="shared" si="0"/>
        <v>0</v>
      </c>
      <c r="G15" s="68"/>
    </row>
    <row r="16" spans="1:9" ht="48" customHeight="1" x14ac:dyDescent="0.3">
      <c r="A16" s="69"/>
      <c r="B16" s="64"/>
      <c r="C16" s="64"/>
      <c r="D16" s="65"/>
      <c r="E16" s="66"/>
      <c r="F16" s="67">
        <f t="shared" si="0"/>
        <v>0</v>
      </c>
      <c r="G16" s="68"/>
    </row>
    <row r="17" spans="1:7" ht="30" customHeight="1" x14ac:dyDescent="0.3">
      <c r="A17" s="69"/>
      <c r="B17" s="64"/>
      <c r="C17" s="64"/>
      <c r="D17" s="65"/>
      <c r="E17" s="66"/>
      <c r="F17" s="67">
        <f t="shared" si="0"/>
        <v>0</v>
      </c>
      <c r="G17" s="68"/>
    </row>
    <row r="18" spans="1:7" ht="30" customHeight="1" x14ac:dyDescent="0.3">
      <c r="A18" s="70"/>
      <c r="B18" s="71"/>
      <c r="C18" s="71"/>
      <c r="D18" s="72"/>
      <c r="E18" s="73"/>
      <c r="F18" s="74">
        <f t="shared" si="0"/>
        <v>0</v>
      </c>
      <c r="G18" s="75"/>
    </row>
    <row r="19" spans="1:7" ht="30" customHeight="1" x14ac:dyDescent="0.3">
      <c r="A19" s="76"/>
      <c r="B19" s="77"/>
      <c r="C19" s="164" t="s">
        <v>27</v>
      </c>
      <c r="D19" s="164"/>
      <c r="E19" s="78"/>
      <c r="F19" s="79">
        <f>SUM(F9:F17)</f>
        <v>6314.9600000000009</v>
      </c>
      <c r="G19" s="80"/>
    </row>
    <row r="20" spans="1:7" ht="30" customHeight="1" x14ac:dyDescent="0.3">
      <c r="A20" s="81"/>
      <c r="B20" s="82"/>
      <c r="C20" s="165" t="s">
        <v>28</v>
      </c>
      <c r="D20" s="165"/>
      <c r="E20" s="83"/>
      <c r="F20" s="84">
        <f>F19*0.16</f>
        <v>1010.3936000000002</v>
      </c>
      <c r="G20" s="85"/>
    </row>
    <row r="21" spans="1:7" ht="30" customHeight="1" x14ac:dyDescent="0.3">
      <c r="A21" s="81"/>
      <c r="B21" s="82"/>
      <c r="C21" s="166" t="s">
        <v>29</v>
      </c>
      <c r="D21" s="166"/>
      <c r="E21" s="86"/>
      <c r="F21" s="87">
        <f>F19+F20</f>
        <v>7325.3536000000013</v>
      </c>
      <c r="G21" s="88"/>
    </row>
    <row r="22" spans="1:7" ht="15.6" x14ac:dyDescent="0.3">
      <c r="A22" s="167" t="s">
        <v>30</v>
      </c>
      <c r="B22" s="168"/>
      <c r="C22" s="89" t="s">
        <v>31</v>
      </c>
      <c r="D22" s="89"/>
      <c r="E22" s="168" t="s">
        <v>32</v>
      </c>
      <c r="F22" s="168"/>
      <c r="G22" s="169"/>
    </row>
    <row r="23" spans="1:7" ht="15.6" x14ac:dyDescent="0.3">
      <c r="A23" s="170" t="s">
        <v>52</v>
      </c>
      <c r="B23" s="171"/>
      <c r="C23" s="90" t="s">
        <v>33</v>
      </c>
      <c r="D23" s="90"/>
      <c r="E23" s="171" t="s">
        <v>34</v>
      </c>
      <c r="F23" s="171"/>
      <c r="G23" s="172"/>
    </row>
    <row r="24" spans="1:7" x14ac:dyDescent="0.3">
      <c r="A24" s="91"/>
      <c r="B24" s="91"/>
      <c r="C24" s="91"/>
      <c r="D24" s="91"/>
      <c r="E24" s="91"/>
      <c r="F24" s="91"/>
      <c r="G24" s="91"/>
    </row>
    <row r="25" spans="1:7" x14ac:dyDescent="0.3">
      <c r="A25" s="91"/>
      <c r="B25" s="91"/>
      <c r="C25" s="91"/>
      <c r="D25" s="91"/>
      <c r="E25" s="91"/>
      <c r="F25" s="91"/>
      <c r="G25" s="91"/>
    </row>
  </sheetData>
  <mergeCells count="17">
    <mergeCell ref="C21:D21"/>
    <mergeCell ref="A22:B22"/>
    <mergeCell ref="E22:G22"/>
    <mergeCell ref="A23:B23"/>
    <mergeCell ref="E23:G23"/>
    <mergeCell ref="C20:D20"/>
    <mergeCell ref="B1:C3"/>
    <mergeCell ref="D1:G1"/>
    <mergeCell ref="D2:E2"/>
    <mergeCell ref="F2:G2"/>
    <mergeCell ref="D3:E3"/>
    <mergeCell ref="F3:G3"/>
    <mergeCell ref="E4:G4"/>
    <mergeCell ref="B5:G5"/>
    <mergeCell ref="B6:G6"/>
    <mergeCell ref="B7:G7"/>
    <mergeCell ref="C19:D19"/>
  </mergeCells>
  <dataValidations disablePrompts="1"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A26 A22" xr:uid="{42CF039F-AF30-41BB-8724-1834E3311AB6}">
      <formula1>0</formula1>
      <formula2>256</formula2>
    </dataValidation>
  </dataValidations>
  <pageMargins left="1.1023622047244095" right="0.70866141732283472" top="0.74803149606299213" bottom="0.74803149606299213" header="0.31496062992125984" footer="0.31496062992125984"/>
  <pageSetup scale="58" fitToHeight="0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C8EF5-8721-437E-AED5-46EB9318A8E3}">
  <sheetPr>
    <pageSetUpPr fitToPage="1"/>
  </sheetPr>
  <dimension ref="B1:I26"/>
  <sheetViews>
    <sheetView topLeftCell="B1" zoomScale="70" zoomScaleNormal="70" workbookViewId="0">
      <selection activeCell="B9" sqref="B9:F13"/>
    </sheetView>
  </sheetViews>
  <sheetFormatPr baseColWidth="10" defaultRowHeight="14.4" x14ac:dyDescent="0.3"/>
  <cols>
    <col min="2" max="3" width="12" customWidth="1"/>
    <col min="4" max="4" width="38.44140625" customWidth="1"/>
    <col min="5" max="5" width="15.33203125" customWidth="1"/>
    <col min="6" max="6" width="11.33203125" style="35" bestFit="1" customWidth="1"/>
    <col min="7" max="7" width="17.33203125" style="35" bestFit="1" customWidth="1"/>
    <col min="8" max="8" width="20.5546875" customWidth="1"/>
    <col min="9" max="9" width="10.33203125" customWidth="1"/>
  </cols>
  <sheetData>
    <row r="1" spans="2:9" ht="20.25" customHeight="1" x14ac:dyDescent="0.3">
      <c r="B1" s="1"/>
      <c r="C1" s="1"/>
      <c r="D1" s="2" t="s">
        <v>0</v>
      </c>
      <c r="E1" s="2"/>
      <c r="F1" s="3"/>
      <c r="G1" s="3"/>
      <c r="H1" s="2"/>
      <c r="I1" s="4"/>
    </row>
    <row r="2" spans="2:9" ht="20.25" customHeight="1" x14ac:dyDescent="0.35">
      <c r="B2" s="223"/>
      <c r="C2" s="223"/>
      <c r="D2" s="224" t="s">
        <v>1</v>
      </c>
      <c r="E2" s="224"/>
      <c r="F2" s="224"/>
      <c r="G2" s="225" t="s">
        <v>2</v>
      </c>
      <c r="H2" s="226"/>
      <c r="I2" s="226"/>
    </row>
    <row r="3" spans="2:9" ht="21" x14ac:dyDescent="0.4">
      <c r="B3" s="1"/>
      <c r="C3" s="1"/>
      <c r="D3" s="227" t="s">
        <v>3</v>
      </c>
      <c r="E3" s="227"/>
      <c r="F3" s="227"/>
      <c r="G3" s="5"/>
      <c r="H3" s="6"/>
    </row>
    <row r="4" spans="2:9" ht="20.399999999999999" x14ac:dyDescent="0.35">
      <c r="B4" s="1"/>
      <c r="C4" s="1"/>
      <c r="D4" s="7"/>
      <c r="E4" s="7"/>
      <c r="F4" s="227" t="s">
        <v>4</v>
      </c>
      <c r="G4" s="227"/>
      <c r="H4" s="227"/>
      <c r="I4" s="8"/>
    </row>
    <row r="5" spans="2:9" ht="17.399999999999999" x14ac:dyDescent="0.3">
      <c r="B5" s="9"/>
      <c r="C5" s="9"/>
      <c r="D5" s="9"/>
      <c r="E5" s="9"/>
      <c r="F5" s="10"/>
      <c r="G5" s="11"/>
      <c r="H5" s="12"/>
    </row>
    <row r="6" spans="2:9" ht="18" x14ac:dyDescent="0.35">
      <c r="B6" s="13" t="s">
        <v>5</v>
      </c>
      <c r="C6" s="13"/>
      <c r="D6" s="14"/>
      <c r="E6" s="14"/>
      <c r="F6" s="15"/>
      <c r="G6" s="15"/>
      <c r="H6" s="16"/>
      <c r="I6" s="16"/>
    </row>
    <row r="7" spans="2:9" ht="17.399999999999999" x14ac:dyDescent="0.3">
      <c r="B7" s="1" t="s">
        <v>6</v>
      </c>
      <c r="C7" s="1"/>
      <c r="D7" s="17" t="s">
        <v>7</v>
      </c>
      <c r="E7" s="17"/>
      <c r="F7" s="18"/>
      <c r="G7" s="18"/>
    </row>
    <row r="8" spans="2:9" x14ac:dyDescent="0.3">
      <c r="B8" s="19" t="s">
        <v>8</v>
      </c>
      <c r="C8" s="19" t="s">
        <v>9</v>
      </c>
      <c r="D8" s="20" t="s">
        <v>10</v>
      </c>
      <c r="E8" s="21" t="s">
        <v>11</v>
      </c>
      <c r="F8" s="22" t="s">
        <v>12</v>
      </c>
      <c r="G8" s="22" t="s">
        <v>13</v>
      </c>
      <c r="H8" s="21" t="s">
        <v>14</v>
      </c>
      <c r="I8" s="23"/>
    </row>
    <row r="9" spans="2:9" s="29" customFormat="1" ht="39" customHeight="1" x14ac:dyDescent="0.3">
      <c r="B9" s="24">
        <v>1</v>
      </c>
      <c r="C9" s="25" t="s">
        <v>15</v>
      </c>
      <c r="D9" s="26" t="s">
        <v>16</v>
      </c>
      <c r="E9" s="25" t="s">
        <v>17</v>
      </c>
      <c r="F9" s="27">
        <v>1284.96</v>
      </c>
      <c r="G9" s="27">
        <f>+B9*F9</f>
        <v>1284.96</v>
      </c>
      <c r="H9" s="28"/>
      <c r="I9" s="28"/>
    </row>
    <row r="10" spans="2:9" s="29" customFormat="1" ht="39" customHeight="1" x14ac:dyDescent="0.3">
      <c r="B10" s="24">
        <v>4</v>
      </c>
      <c r="C10" s="25" t="s">
        <v>15</v>
      </c>
      <c r="D10" s="26" t="s">
        <v>18</v>
      </c>
      <c r="E10" s="25" t="s">
        <v>19</v>
      </c>
      <c r="F10" s="27">
        <v>16.21</v>
      </c>
      <c r="G10" s="27">
        <f>+B10*F10</f>
        <v>64.84</v>
      </c>
      <c r="H10" s="28"/>
      <c r="I10" s="28"/>
    </row>
    <row r="11" spans="2:9" s="34" customFormat="1" ht="33.6" customHeight="1" x14ac:dyDescent="0.3">
      <c r="B11" s="25">
        <v>2</v>
      </c>
      <c r="C11" s="30" t="s">
        <v>15</v>
      </c>
      <c r="D11" s="31" t="s">
        <v>20</v>
      </c>
      <c r="E11" s="32" t="s">
        <v>21</v>
      </c>
      <c r="F11" s="27">
        <v>214.74</v>
      </c>
      <c r="G11" s="27">
        <f>+B11*F11</f>
        <v>429.48</v>
      </c>
      <c r="H11" s="33"/>
      <c r="I11" s="33"/>
    </row>
    <row r="12" spans="2:9" s="34" customFormat="1" ht="33.6" customHeight="1" x14ac:dyDescent="0.3">
      <c r="B12" s="25">
        <v>2</v>
      </c>
      <c r="C12" s="30" t="s">
        <v>15</v>
      </c>
      <c r="D12" s="31" t="s">
        <v>22</v>
      </c>
      <c r="E12" s="32" t="s">
        <v>23</v>
      </c>
      <c r="F12" s="27">
        <v>76.17</v>
      </c>
      <c r="G12" s="27">
        <f>+B12*F12</f>
        <v>152.34</v>
      </c>
      <c r="H12" s="33"/>
      <c r="I12" s="33"/>
    </row>
    <row r="13" spans="2:9" s="34" customFormat="1" ht="33.6" customHeight="1" x14ac:dyDescent="0.3">
      <c r="B13" s="25">
        <v>15</v>
      </c>
      <c r="C13" s="30" t="s">
        <v>24</v>
      </c>
      <c r="D13" s="31" t="s">
        <v>25</v>
      </c>
      <c r="E13" s="32" t="s">
        <v>26</v>
      </c>
      <c r="F13" s="27">
        <v>32.409999999999997</v>
      </c>
      <c r="G13" s="27">
        <f>+B13*F13</f>
        <v>486.15</v>
      </c>
      <c r="H13" s="33"/>
      <c r="I13" s="33"/>
    </row>
    <row r="14" spans="2:9" ht="15.6" x14ac:dyDescent="0.3">
      <c r="G14" s="27"/>
    </row>
    <row r="15" spans="2:9" ht="15.6" x14ac:dyDescent="0.3">
      <c r="D15" s="36" t="s">
        <v>27</v>
      </c>
      <c r="E15" s="36"/>
      <c r="F15" s="37"/>
      <c r="G15" s="37">
        <f>SUM(G9:G13)</f>
        <v>2417.77</v>
      </c>
    </row>
    <row r="16" spans="2:9" ht="15.6" x14ac:dyDescent="0.3">
      <c r="D16" s="36" t="s">
        <v>28</v>
      </c>
      <c r="E16" s="36"/>
      <c r="F16" s="37"/>
      <c r="G16" s="37">
        <f>G15*0.16</f>
        <v>386.84320000000002</v>
      </c>
    </row>
    <row r="17" spans="2:9" ht="15.6" x14ac:dyDescent="0.3">
      <c r="D17" s="36" t="s">
        <v>29</v>
      </c>
      <c r="E17" s="36"/>
      <c r="F17" s="37"/>
      <c r="G17" s="37">
        <f>G15+G16</f>
        <v>2804.6131999999998</v>
      </c>
    </row>
    <row r="18" spans="2:9" ht="15.6" x14ac:dyDescent="0.3">
      <c r="D18" s="38"/>
      <c r="E18" s="38"/>
      <c r="F18" s="37"/>
      <c r="G18" s="37"/>
    </row>
    <row r="21" spans="2:9" x14ac:dyDescent="0.3">
      <c r="B21" s="39"/>
      <c r="C21" s="39"/>
      <c r="D21" s="40"/>
      <c r="E21" s="40"/>
      <c r="F21" s="41"/>
      <c r="G21" s="41"/>
      <c r="H21" s="40"/>
      <c r="I21" s="42"/>
    </row>
    <row r="22" spans="2:9" ht="15.6" x14ac:dyDescent="0.3">
      <c r="B22" s="228" t="s">
        <v>30</v>
      </c>
      <c r="C22" s="228"/>
      <c r="D22" s="43" t="s">
        <v>31</v>
      </c>
      <c r="E22" s="43"/>
      <c r="F22" s="229" t="s">
        <v>32</v>
      </c>
      <c r="G22" s="229"/>
      <c r="H22" s="229"/>
      <c r="I22" s="43"/>
    </row>
    <row r="23" spans="2:9" ht="15.6" x14ac:dyDescent="0.3">
      <c r="B23" s="222"/>
      <c r="C23" s="222"/>
      <c r="D23" s="44" t="s">
        <v>33</v>
      </c>
      <c r="E23" s="44"/>
      <c r="F23" s="222" t="s">
        <v>34</v>
      </c>
      <c r="G23" s="222"/>
      <c r="H23" s="222"/>
      <c r="I23" s="44"/>
    </row>
    <row r="24" spans="2:9" ht="15.6" x14ac:dyDescent="0.3">
      <c r="B24" s="45"/>
      <c r="C24" s="45"/>
      <c r="D24" s="45"/>
      <c r="E24" s="45"/>
      <c r="F24" s="46"/>
      <c r="G24" s="46"/>
      <c r="H24" s="45"/>
      <c r="I24" s="45"/>
    </row>
    <row r="26" spans="2:9" x14ac:dyDescent="0.3">
      <c r="B26" s="47"/>
      <c r="C26" s="47"/>
      <c r="D26" s="42"/>
      <c r="E26" s="42"/>
      <c r="F26" s="48"/>
      <c r="G26" s="48"/>
      <c r="H26" s="42"/>
      <c r="I26" s="42"/>
    </row>
  </sheetData>
  <mergeCells count="9">
    <mergeCell ref="B23:C23"/>
    <mergeCell ref="F23:H23"/>
    <mergeCell ref="B2:C2"/>
    <mergeCell ref="D2:F2"/>
    <mergeCell ref="G2:I2"/>
    <mergeCell ref="D3:F3"/>
    <mergeCell ref="F4:H4"/>
    <mergeCell ref="B22:C22"/>
    <mergeCell ref="F22:H22"/>
  </mergeCells>
  <dataValidations count="1">
    <dataValidation type="textLength" errorStyle="warning" allowBlank="1" showErrorMessage="1" errorTitle="Tipo de unidad" error="Escriba el tipo de unidad (bruto, cajas, docenas, paquetes, fajos, etc.) al que se refiere el precio unitario._x000a_" promptTitle="Tipo de unidad" sqref="B26 B21:B22" xr:uid="{A525B64A-5B0E-4456-9D47-38F0014CD061}">
      <formula1>0</formula1>
      <formula2>256</formula2>
    </dataValidation>
  </dataValidations>
  <pageMargins left="0.7" right="0.7" top="0.75" bottom="0.75" header="0.3" footer="0.3"/>
  <pageSetup scale="65"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26F82-5D01-4BAA-AEF4-B1F45FFC7206}">
  <dimension ref="A2:C15"/>
  <sheetViews>
    <sheetView workbookViewId="0">
      <selection activeCell="A2" sqref="A2:B15"/>
    </sheetView>
  </sheetViews>
  <sheetFormatPr baseColWidth="10" defaultRowHeight="14.4" x14ac:dyDescent="0.3"/>
  <cols>
    <col min="1" max="1" width="21.5546875" customWidth="1"/>
  </cols>
  <sheetData>
    <row r="2" spans="1:3" x14ac:dyDescent="0.3">
      <c r="A2" s="97" t="s">
        <v>177</v>
      </c>
      <c r="B2" s="97" t="s">
        <v>178</v>
      </c>
      <c r="C2" t="s">
        <v>178</v>
      </c>
    </row>
    <row r="3" spans="1:3" x14ac:dyDescent="0.3">
      <c r="A3" s="97" t="s">
        <v>179</v>
      </c>
      <c r="B3" s="97" t="s">
        <v>180</v>
      </c>
    </row>
    <row r="4" spans="1:3" x14ac:dyDescent="0.3">
      <c r="A4" s="97" t="s">
        <v>123</v>
      </c>
      <c r="B4" s="97" t="s">
        <v>180</v>
      </c>
    </row>
    <row r="5" spans="1:3" x14ac:dyDescent="0.3">
      <c r="A5" s="97" t="s">
        <v>181</v>
      </c>
      <c r="B5" s="97" t="s">
        <v>180</v>
      </c>
    </row>
    <row r="6" spans="1:3" x14ac:dyDescent="0.3">
      <c r="A6" s="97" t="s">
        <v>182</v>
      </c>
      <c r="B6" s="97" t="s">
        <v>180</v>
      </c>
    </row>
    <row r="7" spans="1:3" x14ac:dyDescent="0.3">
      <c r="A7" s="97" t="s">
        <v>183</v>
      </c>
      <c r="B7" s="97" t="s">
        <v>180</v>
      </c>
    </row>
    <row r="8" spans="1:3" x14ac:dyDescent="0.3">
      <c r="A8" s="97" t="s">
        <v>116</v>
      </c>
      <c r="B8" s="97" t="s">
        <v>180</v>
      </c>
    </row>
    <row r="9" spans="1:3" x14ac:dyDescent="0.3">
      <c r="A9" s="97" t="s">
        <v>122</v>
      </c>
      <c r="B9" s="97" t="s">
        <v>180</v>
      </c>
    </row>
    <row r="10" spans="1:3" x14ac:dyDescent="0.3">
      <c r="A10" s="97" t="s">
        <v>118</v>
      </c>
      <c r="B10" s="97" t="s">
        <v>180</v>
      </c>
    </row>
    <row r="11" spans="1:3" x14ac:dyDescent="0.3">
      <c r="A11" s="97" t="s">
        <v>184</v>
      </c>
      <c r="B11" s="97" t="s">
        <v>180</v>
      </c>
    </row>
    <row r="12" spans="1:3" x14ac:dyDescent="0.3">
      <c r="A12" s="97" t="s">
        <v>185</v>
      </c>
      <c r="B12" s="97" t="s">
        <v>180</v>
      </c>
    </row>
    <row r="13" spans="1:3" x14ac:dyDescent="0.3">
      <c r="A13" s="97" t="s">
        <v>186</v>
      </c>
      <c r="B13" s="97" t="s">
        <v>180</v>
      </c>
    </row>
    <row r="14" spans="1:3" x14ac:dyDescent="0.3">
      <c r="A14" s="97" t="s">
        <v>187</v>
      </c>
      <c r="B14" s="97" t="s">
        <v>180</v>
      </c>
    </row>
    <row r="15" spans="1:3" x14ac:dyDescent="0.3">
      <c r="A15" s="97" t="s">
        <v>188</v>
      </c>
      <c r="B15" s="97" t="s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35</vt:i4>
      </vt:variant>
    </vt:vector>
  </HeadingPairs>
  <TitlesOfParts>
    <vt:vector size="35" baseType="lpstr">
      <vt:lpstr>SEMANA 24</vt:lpstr>
      <vt:lpstr>SEMANA 23</vt:lpstr>
      <vt:lpstr>SEMANA 22</vt:lpstr>
      <vt:lpstr>SEMANA 21</vt:lpstr>
      <vt:lpstr>SEMANA 20</vt:lpstr>
      <vt:lpstr>semana 19</vt:lpstr>
      <vt:lpstr>Hoja2</vt:lpstr>
      <vt:lpstr>LIMPIA  (3)</vt:lpstr>
      <vt:lpstr>AZYCO</vt:lpstr>
      <vt:lpstr>0021 HOME DEPOT  (2)</vt:lpstr>
      <vt:lpstr>0021 HOME DEPOT </vt:lpstr>
      <vt:lpstr>0018 PLOMERIA CIMENTACIÓN P (5)</vt:lpstr>
      <vt:lpstr>0018 PLOMERIA CIMENTACIÓN P (4)</vt:lpstr>
      <vt:lpstr>0018 PLOMERIA CIMENTACIÓN P (3)</vt:lpstr>
      <vt:lpstr>0018 PLOMERIA CIMENTACIÓN P (2)</vt:lpstr>
      <vt:lpstr>0017 HOME DEPOT</vt:lpstr>
      <vt:lpstr>0016 PLOMERIA UNIVERSAL</vt:lpstr>
      <vt:lpstr>0015 TU CONSTRUYES</vt:lpstr>
      <vt:lpstr>0014 HOME DEPOT</vt:lpstr>
      <vt:lpstr>0013 JM MADERERA</vt:lpstr>
      <vt:lpstr>0012 HARMAK CEMENTO</vt:lpstr>
      <vt:lpstr>0011 JM MADERERA</vt:lpstr>
      <vt:lpstr>0010 HOME DEPOT</vt:lpstr>
      <vt:lpstr>0009 QUINZAÑO </vt:lpstr>
      <vt:lpstr>0008 PLOMERIA UNIVERSAL (2)</vt:lpstr>
      <vt:lpstr>0008 PLOMERIA UNIVERSAL</vt:lpstr>
      <vt:lpstr>0007 PLOMERIA CIMENTACIÓN PVC</vt:lpstr>
      <vt:lpstr>0006 JM MADERERA</vt:lpstr>
      <vt:lpstr>0005 HOME DEPOT </vt:lpstr>
      <vt:lpstr>0004 HOME DEPOT  (3)</vt:lpstr>
      <vt:lpstr>0003 HOME DEPOT  (2)</vt:lpstr>
      <vt:lpstr>0002 POLIACERO</vt:lpstr>
      <vt:lpstr>0001 HOME DEPOT </vt:lpstr>
      <vt:lpstr>142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Margarita Arza</dc:creator>
  <cp:lastModifiedBy>Rosy Lares</cp:lastModifiedBy>
  <cp:lastPrinted>2026-05-27T21:47:36Z</cp:lastPrinted>
  <dcterms:created xsi:type="dcterms:W3CDTF">2025-03-28T17:38:06Z</dcterms:created>
  <dcterms:modified xsi:type="dcterms:W3CDTF">2026-06-10T23:44:21Z</dcterms:modified>
</cp:coreProperties>
</file>